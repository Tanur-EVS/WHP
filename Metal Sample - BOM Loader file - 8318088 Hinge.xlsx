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 Loader" sheetId="1" r:id="rId4"/>
    <sheet state="visible" name="Data Validation" sheetId="2" r:id="rId5"/>
    <sheet state="visible" name="Module Data" sheetId="3" r:id="rId6"/>
    <sheet state="visible" name="PA Viewer Extract Summary View" sheetId="4" r:id="rId7"/>
    <sheet state="hidden" name="Imports" sheetId="5" r:id="rId8"/>
    <sheet state="visible" name="Version History" sheetId="6" r:id="rId9"/>
    <sheet state="hidden" name="XDO_NOT_DELETE" sheetId="7" r:id="rId10"/>
  </sheets>
  <definedNames>
    <definedName name="Filters">'Module Data'!$A$46:$A$47</definedName>
    <definedName name="PortableAppliances">'Module Data'!$A$39:$A$43</definedName>
    <definedName name="KitchenRefrigeration">'Module Data'!$A$25:$A$33</definedName>
    <definedName name="KitchenCooking">'Module Data'!$A$15:$A$20</definedName>
    <definedName name="Laundry">'Module Data'!$A$7:$A$11</definedName>
    <definedName name="KitchenCleaning">'Module Data'!$A$36</definedName>
  </definedNames>
  <calcPr/>
</workbook>
</file>

<file path=xl/sharedStrings.xml><?xml version="1.0" encoding="utf-8"?>
<sst xmlns="http://schemas.openxmlformats.org/spreadsheetml/2006/main" count="3070" uniqueCount="944">
  <si>
    <t xml:space="preserve"> </t>
  </si>
  <si>
    <t>1) Insert structured bill of material. Ensure all Required Inputs are populated else the upload will fail.</t>
  </si>
  <si>
    <t>Hide</t>
  </si>
  <si>
    <t>2) Save template in desired location.</t>
  </si>
  <si>
    <t>Upload Value</t>
  </si>
  <si>
    <t>3) When loading an assembly part but BOM structure is unknown, create a single part and select the Type (column C) as Assembly.</t>
  </si>
  <si>
    <t>aPriori Mapping</t>
  </si>
  <si>
    <t>Type</t>
  </si>
  <si>
    <t>Commodity Type</t>
  </si>
  <si>
    <t>Part Number</t>
  </si>
  <si>
    <t>Level</t>
  </si>
  <si>
    <t>Description</t>
  </si>
  <si>
    <t>Life Cycle State</t>
  </si>
  <si>
    <t>Version</t>
  </si>
  <si>
    <t>Quantity</t>
  </si>
  <si>
    <t>Production Volume</t>
  </si>
  <si>
    <t>Procurement Contact</t>
  </si>
  <si>
    <t>Engineering Contact</t>
  </si>
  <si>
    <t>Subsystem</t>
  </si>
  <si>
    <t>Module Type</t>
  </si>
  <si>
    <t>Windchill Package</t>
  </si>
  <si>
    <t>Process Control Code</t>
  </si>
  <si>
    <t>Project Name</t>
  </si>
  <si>
    <t>Date</t>
  </si>
  <si>
    <t>Date Cost Model Needed</t>
  </si>
  <si>
    <t>Requested By</t>
  </si>
  <si>
    <t>Reason for Costing</t>
  </si>
  <si>
    <t>Primary Mfg Region</t>
  </si>
  <si>
    <t>VPE</t>
  </si>
  <si>
    <t>Economic Date</t>
  </si>
  <si>
    <t>Product Line Name</t>
  </si>
  <si>
    <t>Platform Family</t>
  </si>
  <si>
    <t>Estimate Currency</t>
  </si>
  <si>
    <t>Requestor Comments</t>
  </si>
  <si>
    <t>Manually Costed</t>
  </si>
  <si>
    <t>Scenario</t>
  </si>
  <si>
    <t>Create Date</t>
  </si>
  <si>
    <t>Active</t>
  </si>
  <si>
    <t>Annual Volume</t>
  </si>
  <si>
    <t>Costing Status</t>
  </si>
  <si>
    <t>Data Type</t>
  </si>
  <si>
    <t>Standard Field</t>
  </si>
  <si>
    <t>UDA Searchable String</t>
  </si>
  <si>
    <t>UDA String</t>
  </si>
  <si>
    <t>UDA Searchable Date</t>
  </si>
  <si>
    <t>System Setting</t>
  </si>
  <si>
    <t>System Field</t>
  </si>
  <si>
    <t>type</t>
  </si>
  <si>
    <t>commodityType</t>
  </si>
  <si>
    <t>partNumber</t>
  </si>
  <si>
    <t>level</t>
  </si>
  <si>
    <t>description</t>
  </si>
  <si>
    <t>version</t>
  </si>
  <si>
    <t>quantity</t>
  </si>
  <si>
    <t>productionVolume</t>
  </si>
  <si>
    <t>procurementContact</t>
  </si>
  <si>
    <t>engineeringContact</t>
  </si>
  <si>
    <t>subsystem</t>
  </si>
  <si>
    <t>moduleType</t>
  </si>
  <si>
    <t>pkgNumber</t>
  </si>
  <si>
    <t>processControlCode</t>
  </si>
  <si>
    <t>projectName</t>
  </si>
  <si>
    <t>dateCostModelNeeded</t>
  </si>
  <si>
    <t>requestedBy</t>
  </si>
  <si>
    <t>reasonForCosting</t>
  </si>
  <si>
    <t>primaryMfgRegion</t>
  </si>
  <si>
    <t>vpe</t>
  </si>
  <si>
    <t>economicDate</t>
  </si>
  <si>
    <t>productLineName</t>
  </si>
  <si>
    <t>platformFamily</t>
  </si>
  <si>
    <t>estimateCurrency</t>
  </si>
  <si>
    <t>requestorComments</t>
  </si>
  <si>
    <t>manuallyCosted</t>
  </si>
  <si>
    <t>scenario</t>
  </si>
  <si>
    <t>createDate</t>
  </si>
  <si>
    <t>active</t>
  </si>
  <si>
    <t>annualVolume</t>
  </si>
  <si>
    <t>costing Status</t>
  </si>
  <si>
    <t>Predefined Values</t>
  </si>
  <si>
    <t>Yes</t>
  </si>
  <si>
    <t>= Production Volume</t>
  </si>
  <si>
    <t>Required Input</t>
  </si>
  <si>
    <t>No</t>
  </si>
  <si>
    <t>Optional</t>
  </si>
  <si>
    <t>Defined Criteria</t>
  </si>
  <si>
    <t>Drop-down selection:
 Assembly
 Part</t>
  </si>
  <si>
    <t>pre-defined selection list</t>
  </si>
  <si>
    <t>Primary Key
 Free form text</t>
  </si>
  <si>
    <t>Level of BOM
 1
 2
 3 and so on</t>
  </si>
  <si>
    <t>free form text</t>
  </si>
  <si>
    <t>Windchill CAD version or Package Number
 format = X.XX</t>
  </si>
  <si>
    <t>Numeric Value</t>
  </si>
  <si>
    <t>M = Make
 B = Buy
 S = Subcontract
 C = Co-location</t>
  </si>
  <si>
    <t>Enter today's date mm/dd/yyyy</t>
  </si>
  <si>
    <t>mm/dd/yyyy</t>
  </si>
  <si>
    <t>pre-defined selection list
 *** if commodity is Motor then China should be selected VPE ***</t>
  </si>
  <si>
    <t>Drop-down selection list</t>
  </si>
  <si>
    <t>Selection list dependant on Product Line Name selection</t>
  </si>
  <si>
    <t>System Value to Allow Costing Process change</t>
  </si>
  <si>
    <t>Formula Generated
 Version : Region</t>
  </si>
  <si>
    <t>Formula Generated
 Date</t>
  </si>
  <si>
    <t>Always False</t>
  </si>
  <si>
    <t>Always Unassigned so Managers can search and assign to cost engineer</t>
  </si>
  <si>
    <t>Part</t>
  </si>
  <si>
    <t>Other</t>
  </si>
  <si>
    <t>Hinge, LH</t>
  </si>
  <si>
    <t>PKG 123699</t>
  </si>
  <si>
    <t>Karen Yohen Perez</t>
  </si>
  <si>
    <t>Sidhant Patnaik</t>
  </si>
  <si>
    <t>B</t>
  </si>
  <si>
    <t>Maverick CL</t>
  </si>
  <si>
    <t>Glenn Mudd</t>
  </si>
  <si>
    <t>Correlation</t>
  </si>
  <si>
    <t>USA</t>
  </si>
  <si>
    <t>NAR USA</t>
  </si>
  <si>
    <t>2024 July</t>
  </si>
  <si>
    <t>Laundry</t>
  </si>
  <si>
    <t>Commercial Laundry</t>
  </si>
  <si>
    <t>USD</t>
  </si>
  <si>
    <t>Assembly - Plastic</t>
  </si>
  <si>
    <t>Assembly - Metals</t>
  </si>
  <si>
    <t>Electromechanical</t>
  </si>
  <si>
    <t>Electronic</t>
  </si>
  <si>
    <t>PCBA</t>
  </si>
  <si>
    <t>HMI</t>
  </si>
  <si>
    <t>Glass</t>
  </si>
  <si>
    <t>Assembly</t>
  </si>
  <si>
    <t>Harness</t>
  </si>
  <si>
    <t>Heater</t>
  </si>
  <si>
    <t>Metal - Stamping</t>
  </si>
  <si>
    <t>Metal - Die Casting</t>
  </si>
  <si>
    <t>Metal - Bar Turned</t>
  </si>
  <si>
    <t>Metal - Forged</t>
  </si>
  <si>
    <t>Motor</t>
  </si>
  <si>
    <t>EPS</t>
  </si>
  <si>
    <t>Carton</t>
  </si>
  <si>
    <t>Assembly - Carton</t>
  </si>
  <si>
    <t>Packaging / Literature</t>
  </si>
  <si>
    <t>Plastic</t>
  </si>
  <si>
    <t>Rubber</t>
  </si>
  <si>
    <t>Valve</t>
  </si>
  <si>
    <t>Compressor</t>
  </si>
  <si>
    <t>Evaprator</t>
  </si>
  <si>
    <t>Fastener</t>
  </si>
  <si>
    <t>TC Analysts</t>
  </si>
  <si>
    <t>Currency</t>
  </si>
  <si>
    <t>ProcessControlCode</t>
  </si>
  <si>
    <t>ReasonforCosting</t>
  </si>
  <si>
    <t>EconomicDate</t>
  </si>
  <si>
    <t>PrimaryMfgRegion</t>
  </si>
  <si>
    <t>CommodityType</t>
  </si>
  <si>
    <t>CostingStatus</t>
  </si>
  <si>
    <t>Aaron Cunningham</t>
  </si>
  <si>
    <t>M</t>
  </si>
  <si>
    <t>Area 1</t>
  </si>
  <si>
    <t>Unassigned</t>
  </si>
  <si>
    <t>Allison Vanderveld</t>
  </si>
  <si>
    <t>INR</t>
  </si>
  <si>
    <t>Design Change</t>
  </si>
  <si>
    <t>2024 January</t>
  </si>
  <si>
    <t>Argentina</t>
  </si>
  <si>
    <t>NAR Mexico</t>
  </si>
  <si>
    <t>Anima Srivastava</t>
  </si>
  <si>
    <t>ARS</t>
  </si>
  <si>
    <t>S</t>
  </si>
  <si>
    <t>ProductLine</t>
  </si>
  <si>
    <t>New Technology</t>
  </si>
  <si>
    <t>2023 July</t>
  </si>
  <si>
    <t>Brazil</t>
  </si>
  <si>
    <t>Asia China</t>
  </si>
  <si>
    <t>Anuj Malhotra</t>
  </si>
  <si>
    <t>BRL</t>
  </si>
  <si>
    <t>C</t>
  </si>
  <si>
    <t>Tradeoff Study</t>
  </si>
  <si>
    <t>2023 January</t>
  </si>
  <si>
    <t>Canada</t>
  </si>
  <si>
    <t>Asia Thailand</t>
  </si>
  <si>
    <t>Arkadiusz Szala</t>
  </si>
  <si>
    <t>COP</t>
  </si>
  <si>
    <t>Kitchen - Cooking</t>
  </si>
  <si>
    <t>Modeled Cost</t>
  </si>
  <si>
    <t>2022 October</t>
  </si>
  <si>
    <t>China</t>
  </si>
  <si>
    <t>Asia Vietnam</t>
  </si>
  <si>
    <t>Brad Bumgardner</t>
  </si>
  <si>
    <t>CNY</t>
  </si>
  <si>
    <t>Kitchen - Refrigeration</t>
  </si>
  <si>
    <t>x</t>
  </si>
  <si>
    <t>2022 July</t>
  </si>
  <si>
    <t>Colombia</t>
  </si>
  <si>
    <t>EMEA Italy</t>
  </si>
  <si>
    <t>Cailine Huang</t>
  </si>
  <si>
    <t>EUR</t>
  </si>
  <si>
    <t>Kitchen - Cleaning</t>
  </si>
  <si>
    <t>SSC/SSI</t>
  </si>
  <si>
    <t>2021 January</t>
  </si>
  <si>
    <t>France</t>
  </si>
  <si>
    <t>EMEA Poland</t>
  </si>
  <si>
    <t>Caio Aggio</t>
  </si>
  <si>
    <t>PLN</t>
  </si>
  <si>
    <t>Portable Appliances</t>
  </si>
  <si>
    <t>Initial Estimate</t>
  </si>
  <si>
    <t>2020 July</t>
  </si>
  <si>
    <t>Germany</t>
  </si>
  <si>
    <t>EMEA Romania</t>
  </si>
  <si>
    <t>Candy He</t>
  </si>
  <si>
    <t>RON</t>
  </si>
  <si>
    <t>Filters</t>
  </si>
  <si>
    <t>2020 January</t>
  </si>
  <si>
    <t>India</t>
  </si>
  <si>
    <t>EMEA Russia</t>
  </si>
  <si>
    <t>Cinzia Cozzi</t>
  </si>
  <si>
    <t>RUB</t>
  </si>
  <si>
    <t>2019 July</t>
  </si>
  <si>
    <t>Italy</t>
  </si>
  <si>
    <t>EMEA Slovakia</t>
  </si>
  <si>
    <t>Claudemir Carvalho</t>
  </si>
  <si>
    <t>THB</t>
  </si>
  <si>
    <t>2019 January</t>
  </si>
  <si>
    <t>Japan</t>
  </si>
  <si>
    <t>EMEA Turkey</t>
  </si>
  <si>
    <t>Giovanni Mezzopera</t>
  </si>
  <si>
    <t>TRY</t>
  </si>
  <si>
    <t>2018 July</t>
  </si>
  <si>
    <t>Korea</t>
  </si>
  <si>
    <t>Asia Pune</t>
  </si>
  <si>
    <t>VND</t>
  </si>
  <si>
    <t>2018 January</t>
  </si>
  <si>
    <t>Mexico</t>
  </si>
  <si>
    <t>Asia Pondicherry</t>
  </si>
  <si>
    <t>Gunner Wang</t>
  </si>
  <si>
    <t>ZAR</t>
  </si>
  <si>
    <t>2017 July</t>
  </si>
  <si>
    <t>Poland</t>
  </si>
  <si>
    <t>Asia Faridabad</t>
  </si>
  <si>
    <t>Gustavo Bortolini</t>
  </si>
  <si>
    <t>GBP</t>
  </si>
  <si>
    <t>2017 January</t>
  </si>
  <si>
    <t>Romania</t>
  </si>
  <si>
    <t>LAR Argentina</t>
  </si>
  <si>
    <t>Jeff Haselhoff</t>
  </si>
  <si>
    <t>Russia</t>
  </si>
  <si>
    <t>LAR Brazil</t>
  </si>
  <si>
    <t>Joe Knecht</t>
  </si>
  <si>
    <t>Slovakia</t>
  </si>
  <si>
    <t>LAR Colombia</t>
  </si>
  <si>
    <t>Kaitlyn Becker</t>
  </si>
  <si>
    <t>Switzerland</t>
  </si>
  <si>
    <t>EMEA UK</t>
  </si>
  <si>
    <t>Katarzyna Kobus</t>
  </si>
  <si>
    <t>Thailand</t>
  </si>
  <si>
    <t>Keith Westbrook</t>
  </si>
  <si>
    <t>Turkey</t>
  </si>
  <si>
    <t>Luis Kohntopp</t>
  </si>
  <si>
    <t>Vietnam</t>
  </si>
  <si>
    <t>Lukasz Rembiecha</t>
  </si>
  <si>
    <t>Mani Ganesan</t>
  </si>
  <si>
    <t>Cooling Assembly</t>
  </si>
  <si>
    <t>Marco Stura</t>
  </si>
  <si>
    <t>Melody Chi</t>
  </si>
  <si>
    <t>Norman Zhu</t>
  </si>
  <si>
    <t>Ricardo Swarowski</t>
  </si>
  <si>
    <t>Ruvitha Poojary</t>
  </si>
  <si>
    <t>Thambi</t>
  </si>
  <si>
    <t>Veronica Rizzello</t>
  </si>
  <si>
    <t>Fabric Care</t>
  </si>
  <si>
    <t>Dryer</t>
  </si>
  <si>
    <t>Horizontal Axis</t>
  </si>
  <si>
    <t>Vertical Axis</t>
  </si>
  <si>
    <t>Food Preparation</t>
  </si>
  <si>
    <t>Built In Oven</t>
  </si>
  <si>
    <t>Built In Cooktop</t>
  </si>
  <si>
    <t>FS Range</t>
  </si>
  <si>
    <t>MWO BI</t>
  </si>
  <si>
    <t>Warming Drawer</t>
  </si>
  <si>
    <t>Dishwashers</t>
  </si>
  <si>
    <t>Portables</t>
  </si>
  <si>
    <t>Refrigeration</t>
  </si>
  <si>
    <t>Product Line Platform</t>
  </si>
  <si>
    <t>BuiltInOven</t>
  </si>
  <si>
    <t>Aesthetics</t>
  </si>
  <si>
    <t>Cabinet BIO</t>
  </si>
  <si>
    <t>CabinetBIO</t>
  </si>
  <si>
    <t>ControlsBIC</t>
  </si>
  <si>
    <t>CabinetFSR</t>
  </si>
  <si>
    <t>CabinetMicrowave</t>
  </si>
  <si>
    <t>CabinetWD</t>
  </si>
  <si>
    <t>CabinetDishwasher</t>
  </si>
  <si>
    <t>Blender</t>
  </si>
  <si>
    <t>BowlsAndJars</t>
  </si>
  <si>
    <t>BottomMount</t>
  </si>
  <si>
    <t>CabinetFSS</t>
  </si>
  <si>
    <t>AirConditioner</t>
  </si>
  <si>
    <t>Console and HMI</t>
  </si>
  <si>
    <t>Cavity BIO</t>
  </si>
  <si>
    <t>Cavity Mounts</t>
  </si>
  <si>
    <t>Appliance Control Unit</t>
  </si>
  <si>
    <t>Chassis Top</t>
  </si>
  <si>
    <t>Cabinet - Microwave</t>
  </si>
  <si>
    <t>Cabinet Dishwasher</t>
  </si>
  <si>
    <t>Counter Weights</t>
  </si>
  <si>
    <t>Bowls And Jars</t>
  </si>
  <si>
    <t>Blades</t>
  </si>
  <si>
    <t>Cabinet FSS</t>
  </si>
  <si>
    <t>Cabinet Outer</t>
  </si>
  <si>
    <t>Cabinet AC</t>
  </si>
  <si>
    <t>HA Washer</t>
  </si>
  <si>
    <t>Dry Chassis</t>
  </si>
  <si>
    <t>Door</t>
  </si>
  <si>
    <t>Door and Entrance</t>
  </si>
  <si>
    <t>Enclosure and Structure</t>
  </si>
  <si>
    <t>Controls</t>
  </si>
  <si>
    <t>Power Cords</t>
  </si>
  <si>
    <t>Frame - Front</t>
  </si>
  <si>
    <t>Component Carrier</t>
  </si>
  <si>
    <t>Consoles</t>
  </si>
  <si>
    <t>Controls Dishwasher</t>
  </si>
  <si>
    <t>Drip Trays</t>
  </si>
  <si>
    <t>Cabinet Enclosure</t>
  </si>
  <si>
    <t>Jars</t>
  </si>
  <si>
    <t>Controls FSS</t>
  </si>
  <si>
    <t>Hinges</t>
  </si>
  <si>
    <t>Controls AC</t>
  </si>
  <si>
    <t>VA Washer</t>
  </si>
  <si>
    <t>Dry System</t>
  </si>
  <si>
    <t>Top and Front Panel</t>
  </si>
  <si>
    <t>Lid</t>
  </si>
  <si>
    <t>Documentation</t>
  </si>
  <si>
    <t>Panels - Back</t>
  </si>
  <si>
    <t>User Interface</t>
  </si>
  <si>
    <t>Motor Unit - Turn Table</t>
  </si>
  <si>
    <t>Dispensing System DW</t>
  </si>
  <si>
    <t>Panels - Side</t>
  </si>
  <si>
    <t>Controls Blender</t>
  </si>
  <si>
    <t>Lids - Jar</t>
  </si>
  <si>
    <t>Cooling System</t>
  </si>
  <si>
    <t>Liners - Cabinet Freezer Compartment</t>
  </si>
  <si>
    <t>Cooling System AC</t>
  </si>
  <si>
    <t>FSOU</t>
  </si>
  <si>
    <t>EES</t>
  </si>
  <si>
    <t>Lid Entrance</t>
  </si>
  <si>
    <t>Door Oven</t>
  </si>
  <si>
    <t>Wire Harness</t>
  </si>
  <si>
    <t>Documentation DW</t>
  </si>
  <si>
    <t>Panels - Toe</t>
  </si>
  <si>
    <t>Liners - Cabinet Refrigerator Compartment</t>
  </si>
  <si>
    <t>Actuator</t>
  </si>
  <si>
    <t>Packaging</t>
  </si>
  <si>
    <t>Structure Base</t>
  </si>
  <si>
    <t>Structural Brackets</t>
  </si>
  <si>
    <t>Trims Gap</t>
  </si>
  <si>
    <t>Door DW</t>
  </si>
  <si>
    <t>Plinth Panel</t>
  </si>
  <si>
    <t>Drive System Blender</t>
  </si>
  <si>
    <t>CabinetEnclosure</t>
  </si>
  <si>
    <t>Door And Drawer</t>
  </si>
  <si>
    <t>Mounting Plates Compressor</t>
  </si>
  <si>
    <t>Cab Enclosure</t>
  </si>
  <si>
    <t xml:space="preserve">ACU </t>
  </si>
  <si>
    <t>UI Console BIO</t>
  </si>
  <si>
    <t>Structure Feet</t>
  </si>
  <si>
    <t>Cooktop</t>
  </si>
  <si>
    <t>Switches Door</t>
  </si>
  <si>
    <t>Table Tops</t>
  </si>
  <si>
    <t>Brand Badges</t>
  </si>
  <si>
    <t>Ice And Water</t>
  </si>
  <si>
    <t>Pedestal</t>
  </si>
  <si>
    <t>Drum</t>
  </si>
  <si>
    <t>Ventilation BIO</t>
  </si>
  <si>
    <t>Burner Box</t>
  </si>
  <si>
    <t>Valves - Safety</t>
  </si>
  <si>
    <t>CavityWD</t>
  </si>
  <si>
    <t>Hydraulic System Distribution</t>
  </si>
  <si>
    <t>Cabinet Housing</t>
  </si>
  <si>
    <t>Interior Space Management</t>
  </si>
  <si>
    <t>Heat System</t>
  </si>
  <si>
    <t>Light</t>
  </si>
  <si>
    <t>ACU</t>
  </si>
  <si>
    <t>Burner Coils</t>
  </si>
  <si>
    <t>Bake Pans</t>
  </si>
  <si>
    <t>Hydraulic System Drain Assembly</t>
  </si>
  <si>
    <t>ControlsDishwasher</t>
  </si>
  <si>
    <t>ControlsFSS</t>
  </si>
  <si>
    <t>CabinetAC</t>
  </si>
  <si>
    <t>CT - Cooktop</t>
  </si>
  <si>
    <t>Wash Chassis</t>
  </si>
  <si>
    <t>Literature</t>
  </si>
  <si>
    <t>BuiltInCooktop</t>
  </si>
  <si>
    <t>CavityBIO</t>
  </si>
  <si>
    <t>Burners Induction</t>
  </si>
  <si>
    <t>CavityFSR</t>
  </si>
  <si>
    <t>CavityMicrowave</t>
  </si>
  <si>
    <t>Cavity Insulation</t>
  </si>
  <si>
    <t>Hydraulic System Fill</t>
  </si>
  <si>
    <t>ControlsBlender</t>
  </si>
  <si>
    <t>FSR - Free Standing Range</t>
  </si>
  <si>
    <t>Wash System</t>
  </si>
  <si>
    <t>Panels - Top</t>
  </si>
  <si>
    <t>Sensor</t>
  </si>
  <si>
    <t>Controls BIC</t>
  </si>
  <si>
    <t>Burners Radiant</t>
  </si>
  <si>
    <t>Cavity - Microwave</t>
  </si>
  <si>
    <t>Cavity Oven</t>
  </si>
  <si>
    <t>Hydraulic System Pump Sump Assembly And Heater</t>
  </si>
  <si>
    <t>External Communication</t>
  </si>
  <si>
    <t>Lighting Unit</t>
  </si>
  <si>
    <t>Panels - Front</t>
  </si>
  <si>
    <t>HD - Hoods</t>
  </si>
  <si>
    <t>Trim Parts - Entrance</t>
  </si>
  <si>
    <t>Wire and Cable</t>
  </si>
  <si>
    <t>Burners Surface</t>
  </si>
  <si>
    <t>Burner Gas Oven</t>
  </si>
  <si>
    <t>Interior Space Management Racks</t>
  </si>
  <si>
    <t>Junction Box</t>
  </si>
  <si>
    <t>SidebySide</t>
  </si>
  <si>
    <t>Lighting Unit - LED</t>
  </si>
  <si>
    <t>Separators Cabinet</t>
  </si>
  <si>
    <t>WO - Wall Ovens</t>
  </si>
  <si>
    <t>Detection Flame</t>
  </si>
  <si>
    <t>Door Structures</t>
  </si>
  <si>
    <t>Gaskets Door</t>
  </si>
  <si>
    <t>Interior Space Management Rails And Adjuster</t>
  </si>
  <si>
    <t>Power Supply</t>
  </si>
  <si>
    <t>BIMW - built-In Microwave</t>
  </si>
  <si>
    <t>Cover Convect</t>
  </si>
  <si>
    <t>Glass Top</t>
  </si>
  <si>
    <t>Forced Convection</t>
  </si>
  <si>
    <t>Heating Electric Bottom</t>
  </si>
  <si>
    <t>Sensor Pack</t>
  </si>
  <si>
    <t>DriveSystemBlender</t>
  </si>
  <si>
    <t>MWO - Microwave</t>
  </si>
  <si>
    <t>UI Console BIC</t>
  </si>
  <si>
    <t>Fans Cavity</t>
  </si>
  <si>
    <t>Grates</t>
  </si>
  <si>
    <t>Frame - Microwave Oven Door Inner</t>
  </si>
  <si>
    <t>Sound Reduction</t>
  </si>
  <si>
    <t>Timers</t>
  </si>
  <si>
    <t>Couplings</t>
  </si>
  <si>
    <t>ControlsAC</t>
  </si>
  <si>
    <t>CabinetEnclosureDryer</t>
  </si>
  <si>
    <t>Powertrain</t>
  </si>
  <si>
    <t>Ventilation BIC</t>
  </si>
  <si>
    <t>Housing Induction</t>
  </si>
  <si>
    <t>Tub Assembly</t>
  </si>
  <si>
    <t>Motors -Drive</t>
  </si>
  <si>
    <t>Cabinet Bottom</t>
  </si>
  <si>
    <t>Structure</t>
  </si>
  <si>
    <t>Cabinet Washer</t>
  </si>
  <si>
    <t>Ignitors</t>
  </si>
  <si>
    <t>Heating Electric Top</t>
  </si>
  <si>
    <t>ControlsWD</t>
  </si>
  <si>
    <t>Suspension</t>
  </si>
  <si>
    <t>FreestandingRange</t>
  </si>
  <si>
    <t>Heat Shields</t>
  </si>
  <si>
    <t>Manifold Gas</t>
  </si>
  <si>
    <t>Wash Unit</t>
  </si>
  <si>
    <t>Cabinet FSR</t>
  </si>
  <si>
    <t>Heating Electric Back</t>
  </si>
  <si>
    <t>Metal Top</t>
  </si>
  <si>
    <t>Hooks Door</t>
  </si>
  <si>
    <t>DispensingSystemDW</t>
  </si>
  <si>
    <t>Standmixer</t>
  </si>
  <si>
    <t>BowlsAndJarsStandmixer</t>
  </si>
  <si>
    <t>BM - Bottom Mount</t>
  </si>
  <si>
    <t>U Wrap</t>
  </si>
  <si>
    <t>Spin Algorithims</t>
  </si>
  <si>
    <t>Cavity FSR</t>
  </si>
  <si>
    <t>Mount Plates</t>
  </si>
  <si>
    <t>Sensors - Temperature</t>
  </si>
  <si>
    <t>Dispenser - Chemistry</t>
  </si>
  <si>
    <t>Bowls And Jars Standmixer</t>
  </si>
  <si>
    <t>Bowls</t>
  </si>
  <si>
    <t>CoolingSystem</t>
  </si>
  <si>
    <t>CoolingSystemAC</t>
  </si>
  <si>
    <t>FDBM - French Door Bottom Mount</t>
  </si>
  <si>
    <t>Piping Gas</t>
  </si>
  <si>
    <t>Magnetrons</t>
  </si>
  <si>
    <t>Cabinet Enclosure Standmixer</t>
  </si>
  <si>
    <t>Lids - Bowl</t>
  </si>
  <si>
    <t>Accumulators</t>
  </si>
  <si>
    <t>Compressors</t>
  </si>
  <si>
    <t>SBS - Side by Side</t>
  </si>
  <si>
    <t>ControlsDryer</t>
  </si>
  <si>
    <t>Cooktop FSR</t>
  </si>
  <si>
    <t>Source Gas</t>
  </si>
  <si>
    <t>Stirrer Antennas</t>
  </si>
  <si>
    <t>DocumentationDW</t>
  </si>
  <si>
    <t>Controls Blender Standmixer</t>
  </si>
  <si>
    <t>Condensers Forced</t>
  </si>
  <si>
    <t>BIR - Built in Refrigerator</t>
  </si>
  <si>
    <t>Bulk Dispense</t>
  </si>
  <si>
    <t>Racks Shelf</t>
  </si>
  <si>
    <t>Turn Table</t>
  </si>
  <si>
    <t>CabinetEnclosureStandmixer</t>
  </si>
  <si>
    <t>SingleDoor</t>
  </si>
  <si>
    <t>Condensers Clinched</t>
  </si>
  <si>
    <t>Ducts - Air Flow</t>
  </si>
  <si>
    <t>IM - Ice Make</t>
  </si>
  <si>
    <t>Inverters</t>
  </si>
  <si>
    <t>Door FSR</t>
  </si>
  <si>
    <t>Racks Side</t>
  </si>
  <si>
    <t>Valves Gas</t>
  </si>
  <si>
    <t>Valves Forced Convection</t>
  </si>
  <si>
    <t>DoorWD</t>
  </si>
  <si>
    <t>Installation And Accessories Pack</t>
  </si>
  <si>
    <t>Drive System Standmixer</t>
  </si>
  <si>
    <t>Condensers External</t>
  </si>
  <si>
    <t>Evaporators Fin On Tube</t>
  </si>
  <si>
    <t>TM - Top Mount</t>
  </si>
  <si>
    <t>Inlet</t>
  </si>
  <si>
    <t>Drawer</t>
  </si>
  <si>
    <t>Reflectors</t>
  </si>
  <si>
    <t>Cabinet Base</t>
  </si>
  <si>
    <t>Fan And Motor - Air Flow</t>
  </si>
  <si>
    <t>SD - Single Door</t>
  </si>
  <si>
    <t>Outlet Recirc</t>
  </si>
  <si>
    <t>Steamer</t>
  </si>
  <si>
    <t>UIConsoleBIC</t>
  </si>
  <si>
    <t>ControlsMicrowave</t>
  </si>
  <si>
    <t>DoorDW</t>
  </si>
  <si>
    <t>Condensers Pre</t>
  </si>
  <si>
    <t>Tubing - Connector</t>
  </si>
  <si>
    <t>UF - Upright Freezer</t>
  </si>
  <si>
    <t>Ventilation</t>
  </si>
  <si>
    <t>Clothes Mover</t>
  </si>
  <si>
    <t>UI Console FSR</t>
  </si>
  <si>
    <t>Trays Hidden Bake</t>
  </si>
  <si>
    <t>Knobs And Buttons</t>
  </si>
  <si>
    <t>Handles Door</t>
  </si>
  <si>
    <t>Locks Door - Mechanical</t>
  </si>
  <si>
    <t>Condensers Skin</t>
  </si>
  <si>
    <t>Valves - Refrigerant</t>
  </si>
  <si>
    <t>CF - Chest Freezer</t>
  </si>
  <si>
    <t>RFI Filters</t>
  </si>
  <si>
    <t>Wash Process</t>
  </si>
  <si>
    <t>Dispenser</t>
  </si>
  <si>
    <t>Ventilation FSR</t>
  </si>
  <si>
    <t>Support - Bowl</t>
  </si>
  <si>
    <t>Cover Evaporator</t>
  </si>
  <si>
    <t>Sensors - Control Board</t>
  </si>
  <si>
    <t>Heater and Steamer Algorithim</t>
  </si>
  <si>
    <t>VentilationBIC</t>
  </si>
  <si>
    <t>Magnetron Power Generation</t>
  </si>
  <si>
    <t>DrawerWD</t>
  </si>
  <si>
    <t>Door Balance</t>
  </si>
  <si>
    <t>Dampers -Air</t>
  </si>
  <si>
    <t>Switches - Modifier</t>
  </si>
  <si>
    <t>Hydraulic System</t>
  </si>
  <si>
    <t>MicrowaveOvenBuiltIn</t>
  </si>
  <si>
    <t>Blowers</t>
  </si>
  <si>
    <t>Mains Filter</t>
  </si>
  <si>
    <t>Door Inner</t>
  </si>
  <si>
    <t>ControlsBlenderStandmixer</t>
  </si>
  <si>
    <t>Defrost Drain</t>
  </si>
  <si>
    <t>Dishwasher</t>
  </si>
  <si>
    <t>Cabinet Microwave</t>
  </si>
  <si>
    <t>Exhaust Vent</t>
  </si>
  <si>
    <t>Drawer Bin</t>
  </si>
  <si>
    <t>Door Outer</t>
  </si>
  <si>
    <t>Drier Refrigerant</t>
  </si>
  <si>
    <t>Outlet and Recirculation</t>
  </si>
  <si>
    <t>Cavity Microwave</t>
  </si>
  <si>
    <t>CooktopFSR</t>
  </si>
  <si>
    <t>Sensors - Humidity</t>
  </si>
  <si>
    <t>Drawers Front</t>
  </si>
  <si>
    <t>Electric Heaters</t>
  </si>
  <si>
    <t>PortableAppliances</t>
  </si>
  <si>
    <t>Controls Microwave</t>
  </si>
  <si>
    <t>Glides Drawer</t>
  </si>
  <si>
    <t>Latches Door</t>
  </si>
  <si>
    <t>Evaporators Direct Cool</t>
  </si>
  <si>
    <t>User Interface - Mechanical</t>
  </si>
  <si>
    <t>DriveSystemStandmixer</t>
  </si>
  <si>
    <t>TopMount</t>
  </si>
  <si>
    <t>Kettle</t>
  </si>
  <si>
    <t>DispensingSystem</t>
  </si>
  <si>
    <t>Door Microwave</t>
  </si>
  <si>
    <t>Fans Evaporator</t>
  </si>
  <si>
    <t>Hand Mixer</t>
  </si>
  <si>
    <t>Control Unit - Dispenser</t>
  </si>
  <si>
    <t>VentilationWD</t>
  </si>
  <si>
    <t>DrySystem</t>
  </si>
  <si>
    <t>Planetary Output</t>
  </si>
  <si>
    <t>Fans Forced Condenser</t>
  </si>
  <si>
    <t>Dispenser - Drawer Type</t>
  </si>
  <si>
    <t>UI Console Microwave</t>
  </si>
  <si>
    <t>Dry Systems</t>
  </si>
  <si>
    <t>Transmission</t>
  </si>
  <si>
    <t>Heat Loop</t>
  </si>
  <si>
    <t>Beverage Machine</t>
  </si>
  <si>
    <t>Dispenser Cartridges - Chemistry</t>
  </si>
  <si>
    <t>Ventilation Microwave</t>
  </si>
  <si>
    <t>DoorOven</t>
  </si>
  <si>
    <t>DoorMicrowave</t>
  </si>
  <si>
    <t>Mullion</t>
  </si>
  <si>
    <t>Drain Pan</t>
  </si>
  <si>
    <t>HydraulicSystemDistribution</t>
  </si>
  <si>
    <t>MultiFlow</t>
  </si>
  <si>
    <t>Mixing - Chamber</t>
  </si>
  <si>
    <t>MicrowaveOvenCountertop</t>
  </si>
  <si>
    <t>Door Skin</t>
  </si>
  <si>
    <t>Harness - Cooktop</t>
  </si>
  <si>
    <t>Manifold Upper Spray Arm</t>
  </si>
  <si>
    <t>Panels - Vacuum</t>
  </si>
  <si>
    <t>AT - Air Treatment</t>
  </si>
  <si>
    <t>Nozzle - Dispenser</t>
  </si>
  <si>
    <t>Glass Door</t>
  </si>
  <si>
    <t>Manifold Water Feed</t>
  </si>
  <si>
    <t>Suction Lines - Heat Exchange</t>
  </si>
  <si>
    <t>WT - Water Treatment</t>
  </si>
  <si>
    <t>Water Supply</t>
  </si>
  <si>
    <t>Door Vents</t>
  </si>
  <si>
    <t>Spray Arm Lower</t>
  </si>
  <si>
    <t>Thermostats</t>
  </si>
  <si>
    <t>Frame - Door</t>
  </si>
  <si>
    <t>Spray Arm Upper</t>
  </si>
  <si>
    <t>Trays Evaporating</t>
  </si>
  <si>
    <t>UIConsoleMicrowave</t>
  </si>
  <si>
    <t>Turbo Zone</t>
  </si>
  <si>
    <t>Glass Cavity</t>
  </si>
  <si>
    <t>Console Overlays</t>
  </si>
  <si>
    <t>BuiltInIcemaker</t>
  </si>
  <si>
    <t>HydraulicSystemDrainAssembly</t>
  </si>
  <si>
    <t>Hose Drain</t>
  </si>
  <si>
    <t>DoorFSR</t>
  </si>
  <si>
    <t>Strips - Shelf</t>
  </si>
  <si>
    <t>Pumps Drain</t>
  </si>
  <si>
    <t>DoorAndDrawer</t>
  </si>
  <si>
    <t>MicrowaveOvenHoodCombination</t>
  </si>
  <si>
    <t>UIConsoleBIO</t>
  </si>
  <si>
    <t>HydraulicSystemFill</t>
  </si>
  <si>
    <t>VentilationMicrowave</t>
  </si>
  <si>
    <t>Break Inlet Siphon</t>
  </si>
  <si>
    <t>Door External</t>
  </si>
  <si>
    <t>Console End Caps</t>
  </si>
  <si>
    <t>Hose Water Supply</t>
  </si>
  <si>
    <t>Door Special Access Refrigerator Compartment</t>
  </si>
  <si>
    <t>DriveSystem</t>
  </si>
  <si>
    <t>Exhaust Unit</t>
  </si>
  <si>
    <t>Protection Flood</t>
  </si>
  <si>
    <t>Belt Tension System</t>
  </si>
  <si>
    <t>Regeneration Dosage</t>
  </si>
  <si>
    <t>HoodMicrowave</t>
  </si>
  <si>
    <t>Softeners</t>
  </si>
  <si>
    <t>Liners - Door Freezer compartment</t>
  </si>
  <si>
    <t>Hood Microwave</t>
  </si>
  <si>
    <t>Valves Water - Electromechanical</t>
  </si>
  <si>
    <t>Liners - Door Refrigerator Compartment</t>
  </si>
  <si>
    <t>VentilationBIO</t>
  </si>
  <si>
    <t>Filters - Hood</t>
  </si>
  <si>
    <t>DryerDrum</t>
  </si>
  <si>
    <t>HydraulicSystemPumpSumpAssemblyAndHeater</t>
  </si>
  <si>
    <t>Rail Systems</t>
  </si>
  <si>
    <t>Bulk Head Front</t>
  </si>
  <si>
    <t>Panels - Bottom</t>
  </si>
  <si>
    <t>Cup Filter</t>
  </si>
  <si>
    <t>Bulk Head Rear</t>
  </si>
  <si>
    <t>Vent Channels Bottom</t>
  </si>
  <si>
    <t>Dryer Drums</t>
  </si>
  <si>
    <t>WarmingDrawers</t>
  </si>
  <si>
    <t>Vent Channels Top</t>
  </si>
  <si>
    <t>Filters Fine</t>
  </si>
  <si>
    <t>IceAndWater</t>
  </si>
  <si>
    <t>Front Slider - Drum Bearing</t>
  </si>
  <si>
    <t>Cabinet WD</t>
  </si>
  <si>
    <t>Motor Pump</t>
  </si>
  <si>
    <t>Bezel Gravity Dispenser</t>
  </si>
  <si>
    <t>Grill Outlet</t>
  </si>
  <si>
    <t>Cavity WD</t>
  </si>
  <si>
    <t>Sumps</t>
  </si>
  <si>
    <t>Buckets - Twist Ice</t>
  </si>
  <si>
    <t>Lifter - Clothes</t>
  </si>
  <si>
    <t>Controls WD</t>
  </si>
  <si>
    <t>Zone Controls</t>
  </si>
  <si>
    <t>Door Aesthetic - User Interface</t>
  </si>
  <si>
    <t>Lint Chutes</t>
  </si>
  <si>
    <t>Warming - Baking Components</t>
  </si>
  <si>
    <t>Filling Devices Twist Ice</t>
  </si>
  <si>
    <t>Rollers Front And Rear</t>
  </si>
  <si>
    <t>Door WD</t>
  </si>
  <si>
    <t>InteriorSpaceManagementRacks</t>
  </si>
  <si>
    <t>Filters Water</t>
  </si>
  <si>
    <t>Sensors - Moisture</t>
  </si>
  <si>
    <t>Drawer WD</t>
  </si>
  <si>
    <t>UIConsoleFSR</t>
  </si>
  <si>
    <t>Accessorys - Basket</t>
  </si>
  <si>
    <t>Housing Crushing Ice Motor</t>
  </si>
  <si>
    <t>Cutlery Baskets</t>
  </si>
  <si>
    <t>Housing Dispenser - Ice And Water</t>
  </si>
  <si>
    <t>Ventilation WD</t>
  </si>
  <si>
    <t>Racks Dishwasher Lower</t>
  </si>
  <si>
    <t>Housing Filter</t>
  </si>
  <si>
    <t>Channel Heater</t>
  </si>
  <si>
    <t>Racks Dishwasher Third</t>
  </si>
  <si>
    <t>Ice Buckets Dispensing</t>
  </si>
  <si>
    <t>Racks Dishwasher Upper</t>
  </si>
  <si>
    <t>Ice Mold Assembly - Twist Ice</t>
  </si>
  <si>
    <t>Gas Heaters</t>
  </si>
  <si>
    <t>Ice Trays - Stand Alone</t>
  </si>
  <si>
    <t>Heat Exchangers - Condensing Dryer</t>
  </si>
  <si>
    <t>InteriorSpaceManagementRailsAndAdjuster</t>
  </si>
  <si>
    <t>Icemakers Automatic</t>
  </si>
  <si>
    <t>Rack Height Adjuster</t>
  </si>
  <si>
    <t>Lever - Ice And Water Dispenser</t>
  </si>
  <si>
    <t>VentilationFSR</t>
  </si>
  <si>
    <t>Motors Ice Crushing</t>
  </si>
  <si>
    <t>Pads - Ice And Water Dispenser</t>
  </si>
  <si>
    <t>SoundReduction</t>
  </si>
  <si>
    <t>Reservoir Water</t>
  </si>
  <si>
    <t>Separators Ice And Water</t>
  </si>
  <si>
    <t>UIConsole</t>
  </si>
  <si>
    <t>Support Twist Ice</t>
  </si>
  <si>
    <t>TubAssembly</t>
  </si>
  <si>
    <t>Tank Water Dispenser Gravity</t>
  </si>
  <si>
    <t>Leveler Foot</t>
  </si>
  <si>
    <t>Tubing Water</t>
  </si>
  <si>
    <t>WaterCollectionSystem</t>
  </si>
  <si>
    <t>Trim Strips Side</t>
  </si>
  <si>
    <t>Actuators - Hydraulic Outlet</t>
  </si>
  <si>
    <t>Tub Structure</t>
  </si>
  <si>
    <t>Valves Water - Mechanical</t>
  </si>
  <si>
    <t>Base - Condensing Dryer</t>
  </si>
  <si>
    <t>Wall Back</t>
  </si>
  <si>
    <t>Hose Inflow</t>
  </si>
  <si>
    <t>Wall Front</t>
  </si>
  <si>
    <t>InteriorSpaceManagement</t>
  </si>
  <si>
    <t>Sensors - Water Level</t>
  </si>
  <si>
    <t>Baskets - Cabinet</t>
  </si>
  <si>
    <t>Water Collection Unit</t>
  </si>
  <si>
    <t>Bins - Door</t>
  </si>
  <si>
    <t>Cover - Pans</t>
  </si>
  <si>
    <t>Ladders - Shelf</t>
  </si>
  <si>
    <t>Pans</t>
  </si>
  <si>
    <t>Shelf - Cantilever</t>
  </si>
  <si>
    <t>Shelf - Rail Mounted</t>
  </si>
  <si>
    <t>Product Group</t>
  </si>
  <si>
    <t>Modular System Group</t>
  </si>
  <si>
    <t>Module Set Type</t>
  </si>
  <si>
    <t>Module Types</t>
  </si>
  <si>
    <t>Air Treatment</t>
  </si>
  <si>
    <t>Window Room Air Conditioners</t>
  </si>
  <si>
    <t>Cabinet</t>
  </si>
  <si>
    <t>Dryers</t>
  </si>
  <si>
    <t>Blower</t>
  </si>
  <si>
    <t>Blower Wheels</t>
  </si>
  <si>
    <t>Exhaust Duct Blower</t>
  </si>
  <si>
    <t>Housing Blower</t>
  </si>
  <si>
    <t>Lint Filters</t>
  </si>
  <si>
    <t>Motor And Bracket Blower</t>
  </si>
  <si>
    <t>Cabinet - Aesthetic</t>
  </si>
  <si>
    <t>Handles Drawer</t>
  </si>
  <si>
    <t>Cabinet - Enclosure</t>
  </si>
  <si>
    <t>Dispensing System</t>
  </si>
  <si>
    <t>Drive System</t>
  </si>
  <si>
    <t>Dryer Drum</t>
  </si>
  <si>
    <t>UI Console</t>
  </si>
  <si>
    <t>Water Collection System</t>
  </si>
  <si>
    <t>Horizontal Axis Washers</t>
  </si>
  <si>
    <t>Feedback - Advanced</t>
  </si>
  <si>
    <t>Brackets - Cross Top</t>
  </si>
  <si>
    <t>Brackets - Front Top</t>
  </si>
  <si>
    <t>Cabinet - Entrance</t>
  </si>
  <si>
    <t>Locks Door - Electrical</t>
  </si>
  <si>
    <t>Appliance Control Unit - Expansion</t>
  </si>
  <si>
    <t>File - Data</t>
  </si>
  <si>
    <t>Software</t>
  </si>
  <si>
    <t>Switches - Ground</t>
  </si>
  <si>
    <t>Hydraulic System - Inlet</t>
  </si>
  <si>
    <t>Drip Trays - Aqua Stop</t>
  </si>
  <si>
    <t>Flow Meter</t>
  </si>
  <si>
    <t>Hose Dispenser Tub</t>
  </si>
  <si>
    <t>Hose Exhaust</t>
  </si>
  <si>
    <t>Hose Inlet External</t>
  </si>
  <si>
    <t>Hose Inlet Internal</t>
  </si>
  <si>
    <t>Pressure Switches</t>
  </si>
  <si>
    <t>Sensors Aquastop</t>
  </si>
  <si>
    <t>Window Rinse</t>
  </si>
  <si>
    <t>Hydraulic System - Outlet</t>
  </si>
  <si>
    <t>Hose - Tub And Pump</t>
  </si>
  <si>
    <t>Hose Drain - External</t>
  </si>
  <si>
    <t>Hose Drain - Internal</t>
  </si>
  <si>
    <t>Hydraulic System - Recirculation</t>
  </si>
  <si>
    <t>Actuators - Recirculation</t>
  </si>
  <si>
    <t>Hose Recirculation - Tub</t>
  </si>
  <si>
    <t>Steam</t>
  </si>
  <si>
    <t>Hose - Tub Steamer</t>
  </si>
  <si>
    <t>Hose - Valve Steamer</t>
  </si>
  <si>
    <t>Blower Active Vent</t>
  </si>
  <si>
    <t>Air Traps</t>
  </si>
  <si>
    <t>Bearings</t>
  </si>
  <si>
    <t>Bellows</t>
  </si>
  <si>
    <t>Body - Drum</t>
  </si>
  <si>
    <t>Crosspiece - Wash Drum</t>
  </si>
  <si>
    <t>Dampers - Suspension</t>
  </si>
  <si>
    <t>Pulleys</t>
  </si>
  <si>
    <t>Sensors - Load</t>
  </si>
  <si>
    <t>Sensors - Unbalance</t>
  </si>
  <si>
    <t>Springs Suspension</t>
  </si>
  <si>
    <t>Tub - Front</t>
  </si>
  <si>
    <t>Tub - Rear</t>
  </si>
  <si>
    <t>Vertical Axis Washers</t>
  </si>
  <si>
    <t>Cabinet Wrap</t>
  </si>
  <si>
    <t>Frames And Gussets - Cabinet</t>
  </si>
  <si>
    <t>Cabinet - Top And Lid</t>
  </si>
  <si>
    <t>Enclosure - Lid</t>
  </si>
  <si>
    <t>Enclosure - Top</t>
  </si>
  <si>
    <t>Lid Switch</t>
  </si>
  <si>
    <t>Cup Dispenser</t>
  </si>
  <si>
    <t>Dispenser Centrifugal</t>
  </si>
  <si>
    <t>Hose Pressure Switch</t>
  </si>
  <si>
    <t>Nozzle - Fresh Water</t>
  </si>
  <si>
    <t>Baskets - Washer</t>
  </si>
  <si>
    <t>Suspensions</t>
  </si>
  <si>
    <t>Tub Rings</t>
  </si>
  <si>
    <t>Wash Unit Tub</t>
  </si>
  <si>
    <t>Built In Ovens</t>
  </si>
  <si>
    <t>Cavity</t>
  </si>
  <si>
    <t>Cook Tops</t>
  </si>
  <si>
    <t>Free Standing Ranges</t>
  </si>
  <si>
    <t>Microwave Ovens - Built In</t>
  </si>
  <si>
    <t>Microwave Ovens - Counter Top</t>
  </si>
  <si>
    <t>Microwave Ovens - Hood Combination</t>
  </si>
  <si>
    <t>Hood - Microwave</t>
  </si>
  <si>
    <t>Warming Drawers</t>
  </si>
  <si>
    <t>Food Stream Solutions</t>
  </si>
  <si>
    <t>Refrigeration 50 cm To 70 cm</t>
  </si>
  <si>
    <t>Interior Space Management - Shelves And Bins</t>
  </si>
  <si>
    <t>Refrigeration XL</t>
  </si>
  <si>
    <t>Refrigeration XXL</t>
  </si>
  <si>
    <t>Speciality - Built In Refrigeration 50 cm To 60 cm</t>
  </si>
  <si>
    <t>Speciality - Refrigeration Freezers</t>
  </si>
  <si>
    <t>Speciality - Refrigeration Icemakers</t>
  </si>
  <si>
    <t>Home Cleaning</t>
  </si>
  <si>
    <t>Hydraulic System - Distribution</t>
  </si>
  <si>
    <t>Hydraulic System - Drain Assembly</t>
  </si>
  <si>
    <t>Hydraulic System - Fill</t>
  </si>
  <si>
    <t>Hydraulic System - Pump Sump Assembly And Heater</t>
  </si>
  <si>
    <t>Interior Space Management - Racks</t>
  </si>
  <si>
    <t>Interior Space Management - Rails And Adjuster</t>
  </si>
  <si>
    <t>Blenders</t>
  </si>
  <si>
    <t>Standmixers</t>
  </si>
  <si>
    <t>Storage Organization</t>
  </si>
  <si>
    <t>Water Products</t>
  </si>
  <si>
    <t>aPriori Data Type</t>
  </si>
  <si>
    <t>Revision</t>
  </si>
  <si>
    <t>Product Line</t>
  </si>
  <si>
    <t>Module</t>
  </si>
  <si>
    <t>Quoted Annual Volume</t>
  </si>
  <si>
    <t>Quoted Currency</t>
  </si>
  <si>
    <t>Target Completion Date</t>
  </si>
  <si>
    <t>Costing Engineer</t>
  </si>
  <si>
    <t>Analyst Comments</t>
  </si>
  <si>
    <t>Whirlpool Field</t>
  </si>
  <si>
    <t>Item Number</t>
  </si>
  <si>
    <t>Item Description</t>
  </si>
  <si>
    <t>Qty</t>
  </si>
  <si>
    <t>Part Rev Level</t>
  </si>
  <si>
    <t>Windchill Iteration</t>
  </si>
  <si>
    <t>Modular System: chg to Platform Family</t>
  </si>
  <si>
    <t>Module Set</t>
  </si>
  <si>
    <t>Module; chg to Module Type</t>
  </si>
  <si>
    <t>Cost Estimate Currency</t>
  </si>
  <si>
    <t>Material</t>
  </si>
  <si>
    <t>Reason For Costing</t>
  </si>
  <si>
    <t>Production Region</t>
  </si>
  <si>
    <t>Admin Info</t>
  </si>
  <si>
    <t>Change to Cost Type</t>
  </si>
  <si>
    <t>Workflow</t>
  </si>
  <si>
    <t>Output Only</t>
  </si>
  <si>
    <t>Required</t>
  </si>
  <si>
    <t>Option</t>
  </si>
  <si>
    <t>x.xx</t>
  </si>
  <si>
    <t>M, B, Z, X, S</t>
  </si>
  <si>
    <t>Accessories - Basket</t>
  </si>
  <si>
    <t>Joe Larson</t>
  </si>
  <si>
    <t>FC - Dryer</t>
  </si>
  <si>
    <t>Jeff Miller</t>
  </si>
  <si>
    <t>Z</t>
  </si>
  <si>
    <t>FC - Emerging Category</t>
  </si>
  <si>
    <t>S Thambidurai</t>
  </si>
  <si>
    <t>LAR</t>
  </si>
  <si>
    <t>X</t>
  </si>
  <si>
    <t>FC - Horizontal Axis Washer 27</t>
  </si>
  <si>
    <t>FC - Horizontal Axis Washer 60</t>
  </si>
  <si>
    <t>Luke Fitchner</t>
  </si>
  <si>
    <t>Europe East</t>
  </si>
  <si>
    <t>FC - Legacy and Specials</t>
  </si>
  <si>
    <t>Metal</t>
  </si>
  <si>
    <t>James Barber</t>
  </si>
  <si>
    <t>Europe West</t>
  </si>
  <si>
    <t>FC - Vertical Axis Washer</t>
  </si>
  <si>
    <t>India - Pune</t>
  </si>
  <si>
    <t>FP - Built In Cooktop</t>
  </si>
  <si>
    <t>Mark Young</t>
  </si>
  <si>
    <t>India - Pondicherry</t>
  </si>
  <si>
    <t>FP - Built In Oven</t>
  </si>
  <si>
    <t>Ken Whise</t>
  </si>
  <si>
    <t>India - Faridabad</t>
  </si>
  <si>
    <t>FP - Emerging Category</t>
  </si>
  <si>
    <t>Tony Molica</t>
  </si>
  <si>
    <t>FP - Freestanding Range</t>
  </si>
  <si>
    <t>Chip Vander Ark</t>
  </si>
  <si>
    <t>FP - Microwave Oven - Built In</t>
  </si>
  <si>
    <t>Heath Wall</t>
  </si>
  <si>
    <t>FP - Microwave Oven - Countertop</t>
  </si>
  <si>
    <t>Kelly Noland</t>
  </si>
  <si>
    <t>FP - Microwave Oven - Hood Combination</t>
  </si>
  <si>
    <t>FSS - Bottom Mount</t>
  </si>
  <si>
    <t>FSS - Emerging Category</t>
  </si>
  <si>
    <t>FSS - Side by Side</t>
  </si>
  <si>
    <t>FSS - Single Door</t>
  </si>
  <si>
    <t>FSS - Top Mount</t>
  </si>
  <si>
    <t>multi-dependent drop-down in excel</t>
  </si>
  <si>
    <t>HC - Dishwasher</t>
  </si>
  <si>
    <t>HC - Emerging Category</t>
  </si>
  <si>
    <t>HC - Trash Compactor / Misc</t>
  </si>
  <si>
    <t>PA - Blender</t>
  </si>
  <si>
    <t>PA - Emerging Category</t>
  </si>
  <si>
    <t>PA - Hand Mixer</t>
  </si>
  <si>
    <t>PA - Standmixer</t>
  </si>
  <si>
    <t>SO - Storage Organization</t>
  </si>
  <si>
    <t>WP - Water Products</t>
  </si>
  <si>
    <t>Change</t>
  </si>
  <si>
    <t>Responsible</t>
  </si>
  <si>
    <t>Added Data Validation to columns C, D, S, T, U, V &amp; X</t>
  </si>
  <si>
    <t>Jeff</t>
  </si>
  <si>
    <t>Moved "Commodity Type" column next to "Type" column</t>
  </si>
  <si>
    <t>Added error check and message to column A</t>
  </si>
  <si>
    <t>Removed Module and Subsystem data</t>
  </si>
  <si>
    <t>Moved Process Control Type to Column Q</t>
  </si>
  <si>
    <t xml:space="preserve">Named column H </t>
  </si>
  <si>
    <t>Deleted column AH and AI</t>
  </si>
  <si>
    <t>Added formula for column AG</t>
  </si>
  <si>
    <t>Copied formulas through document</t>
  </si>
  <si>
    <t>Added project column and primary mfg region column</t>
  </si>
  <si>
    <t>Added data validation to column Q</t>
  </si>
  <si>
    <t>Updated formulas in columns in AC &amp; AD</t>
  </si>
  <si>
    <t>Moved Date column and updated script file for checking required data</t>
  </si>
  <si>
    <t>Jeff &amp; Onix</t>
  </si>
  <si>
    <t>Updated script to clear data and reinput formulas</t>
  </si>
  <si>
    <t>Added Romania, Thailand, and Vietnam to sheet</t>
  </si>
  <si>
    <t>Added July 2019 and deleted 2016 July, 2016 January and 2015 July to Economic Date</t>
  </si>
  <si>
    <t>Added 2020 January to Economic Date</t>
  </si>
  <si>
    <t>Tony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</si>
</sst>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&quot;-&quot;mmm&quot;-&quot;yy"/>
    <numFmt numFmtId="166" formatCode="d&quot;-&quot;mmm&quot;-&quot;yy"/>
    <numFmt numFmtId="167" formatCode="d&quot;-&quot;mmm&quot;-&quot;yyyy"/>
    <numFmt numFmtId="168" formatCode="yyyy mmmm"/>
    <numFmt numFmtId="169" formatCode="mmmm yyyy"/>
  </numFmts>
  <fonts count="18">
    <font>
      <sz val="10.0"/>
      <color rgb="FF000000"/>
      <name val="Arial"/>
    </font>
    <font>
      <sz val="10.0"/>
      <color rgb="FF000000"/>
      <name val="Roboto"/>
    </font>
    <font>
      <sz val="8.0"/>
      <color rgb="FF000000"/>
      <name val="Roboto"/>
    </font>
    <font>
      <sz val="9.0"/>
      <color rgb="FF000000"/>
      <name val="Roboto"/>
    </font>
    <font>
      <i/>
      <sz val="9.0"/>
      <color rgb="FF000000"/>
      <name val="Roboto"/>
    </font>
    <font>
      <b/>
      <sz val="10.0"/>
      <color rgb="FF000000"/>
      <name val="Roboto"/>
    </font>
    <font>
      <u/>
      <sz val="10.0"/>
      <color rgb="FF000000"/>
      <name val="Roboto"/>
    </font>
    <font>
      <color rgb="FF000000"/>
      <name val="Roboto"/>
    </font>
    <font>
      <sz val="11.0"/>
      <color rgb="FF000000"/>
      <name val="Calibri"/>
    </font>
    <font>
      <name val="Arial"/>
    </font>
    <font>
      <sz val="11.0"/>
      <color rgb="FFFFFFFF"/>
      <name val="Roboto"/>
    </font>
    <font>
      <name val="Roboto"/>
    </font>
    <font>
      <color rgb="FF222222"/>
      <name val="Arial"/>
    </font>
    <font/>
    <font>
      <color rgb="FF333333"/>
      <name val="Roboto"/>
    </font>
    <font>
      <sz val="10.0"/>
      <name val="Roboto"/>
    </font>
    <font>
      <u/>
      <sz val="10.0"/>
      <color rgb="FF000000"/>
      <name val="Roboto"/>
    </font>
    <font>
      <sz val="11.0"/>
      <name val="Roboto"/>
    </font>
  </fonts>
  <fills count="1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9BBB59"/>
        <bgColor rgb="FF9BBB59"/>
      </patternFill>
    </fill>
    <fill>
      <patternFill patternType="solid">
        <fgColor rgb="FF93CDDD"/>
        <bgColor rgb="FF93CDDD"/>
      </patternFill>
    </fill>
    <fill>
      <patternFill patternType="solid">
        <fgColor rgb="FFDBEEF3"/>
        <bgColor rgb="FFDBEEF3"/>
      </patternFill>
    </fill>
    <fill>
      <patternFill patternType="solid">
        <fgColor rgb="FFD99795"/>
        <bgColor rgb="FFD99795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D8D8D8"/>
        <bgColor rgb="FFD8D8D8"/>
      </patternFill>
    </fill>
    <fill>
      <patternFill patternType="solid">
        <fgColor rgb="FFB7E1CD"/>
        <bgColor rgb="FFB7E1CD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rgb="FFCCECFF"/>
        <bgColor rgb="FFCCECFF"/>
      </patternFill>
    </fill>
    <fill>
      <patternFill patternType="solid">
        <fgColor rgb="FFCCCCFF"/>
        <bgColor rgb="FFCCCC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5" xfId="0" applyAlignment="1" applyFont="1" applyNumberForma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166" xfId="0" applyAlignment="1" applyFont="1" applyNumberFormat="1">
      <alignment shrinkToFit="0" vertical="bottom" wrapText="0"/>
    </xf>
    <xf borderId="0" fillId="2" fontId="3" numFmtId="0" xfId="0" applyAlignment="1" applyFill="1" applyFont="1">
      <alignment readingOrder="0" shrinkToFit="0" vertical="bottom" wrapText="0"/>
    </xf>
    <xf borderId="0" fillId="2" fontId="3" numFmtId="167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left" shrinkToFit="0" vertical="top" wrapText="0"/>
    </xf>
    <xf borderId="0" fillId="2" fontId="3" numFmtId="0" xfId="0" applyAlignment="1" applyFont="1">
      <alignment shrinkToFit="0" vertical="bottom" wrapText="0"/>
    </xf>
    <xf borderId="0" fillId="2" fontId="3" numFmtId="167" xfId="0" applyAlignment="1" applyFont="1" applyNumberFormat="1">
      <alignment shrinkToFit="0" vertical="bottom" wrapText="0"/>
    </xf>
    <xf borderId="1" fillId="3" fontId="3" numFmtId="0" xfId="0" applyAlignment="1" applyBorder="1" applyFill="1" applyFont="1">
      <alignment readingOrder="0" shrinkToFit="0" vertical="bottom" wrapText="0"/>
    </xf>
    <xf borderId="1" fillId="4" fontId="3" numFmtId="0" xfId="0" applyAlignment="1" applyBorder="1" applyFill="1" applyFont="1">
      <alignment readingOrder="0" shrinkToFit="0" vertical="bottom" wrapText="0"/>
    </xf>
    <xf borderId="1" fillId="5" fontId="3" numFmtId="0" xfId="0" applyAlignment="1" applyBorder="1" applyFill="1" applyFont="1">
      <alignment readingOrder="0" shrinkToFit="0" vertical="bottom" wrapText="0"/>
    </xf>
    <xf borderId="1" fillId="6" fontId="3" numFmtId="0" xfId="0" applyAlignment="1" applyBorder="1" applyFill="1" applyFont="1">
      <alignment readingOrder="0" shrinkToFit="0" vertical="bottom" wrapText="0"/>
    </xf>
    <xf borderId="1" fillId="4" fontId="4" numFmtId="0" xfId="0" applyAlignment="1" applyBorder="1" applyFont="1">
      <alignment readingOrder="0" shrinkToFit="0" wrapText="0"/>
    </xf>
    <xf borderId="1" fillId="6" fontId="3" numFmtId="164" xfId="0" applyAlignment="1" applyBorder="1" applyFont="1" applyNumberFormat="1">
      <alignment readingOrder="0" shrinkToFit="0" vertical="bottom" wrapText="0"/>
    </xf>
    <xf borderId="1" fillId="7" fontId="3" numFmtId="164" xfId="0" applyAlignment="1" applyBorder="1" applyFill="1" applyFont="1" applyNumberFormat="1">
      <alignment readingOrder="0" shrinkToFit="0" vertical="bottom" wrapText="0"/>
    </xf>
    <xf borderId="1" fillId="6" fontId="4" numFmtId="0" xfId="0" applyAlignment="1" applyBorder="1" applyFont="1">
      <alignment readingOrder="0" shrinkToFit="0" wrapText="0"/>
    </xf>
    <xf borderId="1" fillId="6" fontId="3" numFmtId="165" xfId="0" applyAlignment="1" applyBorder="1" applyFont="1" applyNumberFormat="1">
      <alignment readingOrder="0" shrinkToFit="0" vertical="bottom" wrapText="0"/>
    </xf>
    <xf borderId="1" fillId="2" fontId="3" numFmtId="0" xfId="0" applyAlignment="1" applyBorder="1" applyFont="1">
      <alignment readingOrder="0" shrinkToFit="0" vertical="bottom" wrapText="0"/>
    </xf>
    <xf borderId="1" fillId="2" fontId="3" numFmtId="167" xfId="0" applyAlignment="1" applyBorder="1" applyFont="1" applyNumberForma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4" fontId="3" numFmtId="0" xfId="0" applyAlignment="1" applyBorder="1" applyFont="1">
      <alignment readingOrder="0" shrinkToFit="0" wrapText="0"/>
    </xf>
    <xf borderId="1" fillId="6" fontId="3" numFmtId="0" xfId="0" applyAlignment="1" applyBorder="1" applyFont="1">
      <alignment readingOrder="0" shrinkToFit="0" wrapText="0"/>
    </xf>
    <xf borderId="1" fillId="2" fontId="3" numFmtId="0" xfId="0" applyAlignment="1" applyBorder="1" applyFont="1">
      <alignment shrinkToFit="0" vertical="bottom" wrapText="0"/>
    </xf>
    <xf borderId="1" fillId="8" fontId="3" numFmtId="0" xfId="0" applyAlignment="1" applyBorder="1" applyFill="1" applyFont="1">
      <alignment readingOrder="0" shrinkToFit="0" vertical="bottom" wrapText="0"/>
    </xf>
    <xf borderId="1" fillId="8" fontId="4" numFmtId="0" xfId="0" applyAlignment="1" applyBorder="1" applyFont="1">
      <alignment readingOrder="0" shrinkToFit="0" wrapText="0"/>
    </xf>
    <xf borderId="1" fillId="8" fontId="3" numFmtId="164" xfId="0" applyAlignment="1" applyBorder="1" applyFont="1" applyNumberFormat="1">
      <alignment shrinkToFit="0" vertical="bottom" wrapText="0"/>
    </xf>
    <xf borderId="1" fillId="8" fontId="3" numFmtId="164" xfId="0" applyAlignment="1" applyBorder="1" applyFont="1" applyNumberFormat="1">
      <alignment readingOrder="0" shrinkToFit="0" vertical="bottom" wrapText="0"/>
    </xf>
    <xf borderId="1" fillId="8" fontId="4" numFmtId="0" xfId="0" applyAlignment="1" applyBorder="1" applyFont="1">
      <alignment readingOrder="0"/>
    </xf>
    <xf borderId="1" fillId="8" fontId="3" numFmtId="165" xfId="0" applyAlignment="1" applyBorder="1" applyFont="1" applyNumberFormat="1">
      <alignment readingOrder="0" shrinkToFit="0" vertical="bottom" wrapText="0"/>
    </xf>
    <xf borderId="1" fillId="8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8" fontId="3" numFmtId="166" xfId="0" applyAlignment="1" applyBorder="1" applyFont="1" applyNumberFormat="1">
      <alignment shrinkToFit="0" vertical="bottom" wrapText="0"/>
    </xf>
    <xf borderId="1" fillId="8" fontId="3" numFmtId="0" xfId="0" applyAlignment="1" applyBorder="1" applyFont="1">
      <alignment readingOrder="0" vertical="bottom"/>
    </xf>
    <xf borderId="1" fillId="2" fontId="3" numFmtId="0" xfId="0" applyAlignment="1" applyBorder="1" applyFont="1">
      <alignment shrinkToFit="0" vertical="bottom" wrapText="0"/>
    </xf>
    <xf borderId="1" fillId="2" fontId="3" numFmtId="167" xfId="0" applyAlignment="1" applyBorder="1" applyFont="1" applyNumberFormat="1">
      <alignment shrinkToFit="0" vertical="bottom" wrapText="0"/>
    </xf>
    <xf quotePrefix="1" borderId="1" fillId="2" fontId="3" numFmtId="0" xfId="0" applyAlignment="1" applyBorder="1" applyFont="1">
      <alignment readingOrder="0" shrinkToFit="0" vertical="bottom" wrapText="0"/>
    </xf>
    <xf borderId="1" fillId="9" fontId="3" numFmtId="0" xfId="0" applyAlignment="1" applyBorder="1" applyFill="1" applyFont="1">
      <alignment readingOrder="0" shrinkToFit="0" vertical="bottom" wrapText="0"/>
    </xf>
    <xf borderId="1" fillId="10" fontId="3" numFmtId="0" xfId="0" applyAlignment="1" applyBorder="1" applyFill="1" applyFont="1">
      <alignment readingOrder="0" shrinkToFit="0" vertical="bottom" wrapText="0"/>
    </xf>
    <xf borderId="1" fillId="9" fontId="3" numFmtId="164" xfId="0" applyAlignment="1" applyBorder="1" applyFont="1" applyNumberFormat="1">
      <alignment readingOrder="0" shrinkToFit="0" vertical="bottom" wrapText="0"/>
    </xf>
    <xf borderId="1" fillId="9" fontId="3" numFmtId="165" xfId="0" applyAlignment="1" applyBorder="1" applyFont="1" applyNumberFormat="1">
      <alignment readingOrder="0" shrinkToFit="0" vertical="bottom" wrapText="0"/>
    </xf>
    <xf borderId="1" fillId="3" fontId="2" numFmtId="0" xfId="0" applyAlignment="1" applyBorder="1" applyFont="1">
      <alignment readingOrder="0" shrinkToFit="0" vertical="bottom" wrapText="1"/>
    </xf>
    <xf borderId="2" fillId="8" fontId="2" numFmtId="0" xfId="0" applyAlignment="1" applyBorder="1" applyFont="1">
      <alignment readingOrder="0" shrinkToFit="0" vertical="bottom" wrapText="1"/>
    </xf>
    <xf borderId="2" fillId="0" fontId="2" numFmtId="0" xfId="0" applyAlignment="1" applyBorder="1" applyFont="1">
      <alignment shrinkToFit="0" vertical="bottom" wrapText="1"/>
    </xf>
    <xf borderId="2" fillId="8" fontId="2" numFmtId="0" xfId="0" applyAlignment="1" applyBorder="1" applyFont="1">
      <alignment shrinkToFit="0" vertical="bottom" wrapText="1"/>
    </xf>
    <xf borderId="2" fillId="8" fontId="2" numFmtId="166" xfId="0" applyAlignment="1" applyBorder="1" applyFont="1" applyNumberFormat="1">
      <alignment readingOrder="0" shrinkToFit="0" vertical="bottom" wrapText="1"/>
    </xf>
    <xf borderId="2" fillId="8" fontId="2" numFmtId="0" xfId="0" applyAlignment="1" applyBorder="1" applyFont="1">
      <alignment readingOrder="0"/>
    </xf>
    <xf borderId="2" fillId="8" fontId="2" numFmtId="0" xfId="0" applyAlignment="1" applyBorder="1" applyFont="1">
      <alignment horizontal="left" readingOrder="0"/>
    </xf>
    <xf borderId="2" fillId="8" fontId="2" numFmtId="165" xfId="0" applyAlignment="1" applyBorder="1" applyFont="1" applyNumberFormat="1">
      <alignment readingOrder="0" shrinkToFit="0" vertical="bottom" wrapText="1"/>
    </xf>
    <xf borderId="1" fillId="8" fontId="2" numFmtId="0" xfId="0" applyAlignment="1" applyBorder="1" applyFont="1">
      <alignment readingOrder="0" shrinkToFit="0" vertical="bottom" wrapText="1"/>
    </xf>
    <xf borderId="1" fillId="2" fontId="2" numFmtId="0" xfId="0" applyAlignment="1" applyBorder="1" applyFont="1">
      <alignment readingOrder="0" shrinkToFit="0" vertical="bottom" wrapText="1"/>
    </xf>
    <xf borderId="1" fillId="2" fontId="2" numFmtId="167" xfId="0" applyAlignment="1" applyBorder="1" applyFont="1" applyNumberFormat="1">
      <alignment readingOrder="0" shrinkToFit="0" vertical="bottom" wrapText="1"/>
    </xf>
    <xf borderId="0" fillId="0" fontId="5" numFmtId="0" xfId="0" applyAlignment="1" applyFont="1">
      <alignment horizontal="center" shrinkToFit="0" vertical="bottom" wrapText="0"/>
    </xf>
    <xf borderId="0" fillId="11" fontId="1" numFmtId="0" xfId="0" applyAlignment="1" applyFill="1" applyFont="1">
      <alignment readingOrder="0" shrinkToFit="0" vertical="bottom" wrapText="0"/>
    </xf>
    <xf borderId="0" fillId="11" fontId="1" numFmtId="0" xfId="0" applyAlignment="1" applyFont="1">
      <alignment shrinkToFit="0" vertical="bottom" wrapText="0"/>
    </xf>
    <xf borderId="0" fillId="11" fontId="6" numFmtId="0" xfId="0" applyAlignment="1" applyFont="1">
      <alignment readingOrder="0" shrinkToFit="0" vertical="bottom" wrapText="0"/>
    </xf>
    <xf borderId="0" fillId="11" fontId="7" numFmtId="0" xfId="0" applyAlignment="1" applyFont="1">
      <alignment vertical="bottom"/>
    </xf>
    <xf borderId="0" fillId="11" fontId="8" numFmtId="0" xfId="0" applyAlignment="1" applyFont="1">
      <alignment horizontal="center" readingOrder="0" vertical="bottom"/>
    </xf>
    <xf borderId="0" fillId="11" fontId="8" numFmtId="0" xfId="0" applyAlignment="1" applyFont="1">
      <alignment readingOrder="0" vertical="bottom"/>
    </xf>
    <xf borderId="0" fillId="11" fontId="1" numFmtId="164" xfId="0" applyAlignment="1" applyFont="1" applyNumberFormat="1">
      <alignment shrinkToFit="0" vertical="bottom" wrapText="0"/>
    </xf>
    <xf borderId="0" fillId="11" fontId="8" numFmtId="164" xfId="0" applyAlignment="1" applyFont="1" applyNumberFormat="1">
      <alignment vertical="bottom"/>
    </xf>
    <xf borderId="3" fillId="12" fontId="9" numFmtId="0" xfId="0" applyAlignment="1" applyBorder="1" applyFill="1" applyFont="1">
      <alignment readingOrder="0" vertical="bottom"/>
    </xf>
    <xf borderId="3" fillId="11" fontId="9" numFmtId="0" xfId="0" applyAlignment="1" applyBorder="1" applyFont="1">
      <alignment readingOrder="0" vertical="bottom"/>
    </xf>
    <xf quotePrefix="1" borderId="3" fillId="11" fontId="7" numFmtId="0" xfId="0" applyAlignment="1" applyBorder="1" applyFont="1">
      <alignment readingOrder="0" vertical="bottom"/>
    </xf>
    <xf borderId="0" fillId="11" fontId="9" numFmtId="0" xfId="0" applyAlignment="1" applyFont="1">
      <alignment readingOrder="0" vertical="bottom"/>
    </xf>
    <xf borderId="0" fillId="2" fontId="1" numFmtId="0" xfId="0" applyAlignment="1" applyFont="1">
      <alignment shrinkToFit="0" vertical="bottom" wrapText="0"/>
    </xf>
    <xf borderId="0" fillId="2" fontId="1" numFmtId="164" xfId="0" applyAlignment="1" applyFont="1" applyNumberFormat="1">
      <alignment readingOrder="0" shrinkToFit="0" vertical="bottom" wrapText="0"/>
    </xf>
    <xf borderId="0" fillId="2" fontId="1" numFmtId="164" xfId="0" applyAlignment="1" applyFont="1" applyNumberFormat="1">
      <alignment shrinkToFit="0" vertical="bottom" wrapText="0"/>
    </xf>
    <xf borderId="0" fillId="11" fontId="1" numFmtId="0" xfId="0" applyAlignment="1" applyFont="1">
      <alignment shrinkToFit="0" vertical="bottom" wrapText="0"/>
    </xf>
    <xf borderId="0" fillId="11" fontId="9" numFmtId="0" xfId="0" applyAlignment="1" applyFont="1">
      <alignment vertical="bottom"/>
    </xf>
    <xf borderId="0" fillId="12" fontId="9" numFmtId="0" xfId="0" applyAlignment="1" applyFont="1">
      <alignment readingOrder="0" vertical="bottom"/>
    </xf>
    <xf borderId="0" fillId="11" fontId="7" numFmtId="0" xfId="0" applyAlignment="1" applyFont="1">
      <alignment readingOrder="0" vertical="bottom"/>
    </xf>
    <xf borderId="0" fillId="11" fontId="9" numFmtId="0" xfId="0" applyAlignment="1" applyFont="1">
      <alignment vertical="bottom"/>
    </xf>
    <xf borderId="0" fillId="11" fontId="9" numFmtId="0" xfId="0" applyAlignment="1" applyFont="1">
      <alignment vertical="bottom"/>
    </xf>
    <xf borderId="0" fillId="11" fontId="9" numFmtId="0" xfId="0" applyAlignment="1" applyFont="1">
      <alignment readingOrder="0" vertical="bottom"/>
    </xf>
    <xf borderId="0" fillId="11" fontId="9" numFmtId="166" xfId="0" applyAlignment="1" applyFont="1" applyNumberFormat="1">
      <alignment vertical="bottom"/>
    </xf>
    <xf borderId="0" fillId="11" fontId="1" numFmtId="166" xfId="0" applyAlignment="1" applyFont="1" applyNumberFormat="1">
      <alignment shrinkToFit="0" vertical="bottom" wrapText="0"/>
    </xf>
    <xf borderId="0" fillId="11" fontId="9" numFmtId="0" xfId="0" applyAlignment="1" applyFont="1">
      <alignment vertical="bottom"/>
    </xf>
    <xf borderId="0" fillId="11" fontId="1" numFmtId="0" xfId="0" applyAlignment="1" applyFont="1">
      <alignment horizontal="left" shrinkToFit="0" vertical="bottom" wrapText="0"/>
    </xf>
    <xf borderId="0" fillId="11" fontId="1" numFmtId="0" xfId="0" applyAlignment="1" applyFont="1">
      <alignment readingOrder="0" shrinkToFit="0" vertical="bottom" wrapText="0"/>
    </xf>
    <xf borderId="0" fillId="11" fontId="1" numFmtId="166" xfId="0" applyAlignment="1" applyFont="1" applyNumberFormat="1">
      <alignment readingOrder="0" shrinkToFit="0" vertical="bottom" wrapText="0"/>
    </xf>
    <xf borderId="0" fillId="11" fontId="8" numFmtId="164" xfId="0" applyAlignment="1" applyFont="1" applyNumberFormat="1">
      <alignment readingOrder="0" vertical="bottom"/>
    </xf>
    <xf borderId="0" fillId="3" fontId="1" numFmtId="0" xfId="0" applyAlignment="1" applyFont="1">
      <alignment shrinkToFit="0" vertical="bottom" wrapText="0"/>
    </xf>
    <xf borderId="0" fillId="3" fontId="1" numFmtId="166" xfId="0" applyAlignment="1" applyFont="1" applyNumberFormat="1">
      <alignment shrinkToFit="0" vertical="bottom" wrapText="0"/>
    </xf>
    <xf borderId="0" fillId="3" fontId="1" numFmtId="164" xfId="0" applyAlignment="1" applyFont="1" applyNumberFormat="1">
      <alignment shrinkToFit="0" vertical="bottom" wrapText="0"/>
    </xf>
    <xf borderId="0" fillId="12" fontId="7" numFmtId="0" xfId="0" applyAlignment="1" applyFont="1">
      <alignment readingOrder="0" vertical="bottom"/>
    </xf>
    <xf borderId="0" fillId="3" fontId="1" numFmtId="165" xfId="0" applyAlignment="1" applyFont="1" applyNumberFormat="1">
      <alignment shrinkToFit="0" vertical="bottom" wrapText="0"/>
    </xf>
    <xf borderId="0" fillId="2" fontId="1" numFmtId="167" xfId="0" applyAlignment="1" applyFont="1" applyNumberFormat="1">
      <alignment shrinkToFit="0" vertical="bottom" wrapText="0"/>
    </xf>
    <xf borderId="0" fillId="9" fontId="10" numFmtId="0" xfId="0" applyAlignment="1" applyFont="1">
      <alignment readingOrder="0" shrinkToFit="0" vertical="bottom" wrapText="0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quotePrefix="1" borderId="0" fillId="0" fontId="1" numFmtId="0" xfId="0" applyAlignment="1" applyFont="1">
      <alignment horizontal="left" readingOrder="0" shrinkToFit="0" vertical="bottom" wrapText="0"/>
    </xf>
    <xf borderId="0" fillId="0" fontId="11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9" numFmtId="0" xfId="0" applyAlignment="1" applyFont="1">
      <alignment vertical="bottom"/>
    </xf>
    <xf quotePrefix="1" borderId="0" fillId="0" fontId="1" numFmtId="0" xfId="0" applyAlignment="1" applyFont="1">
      <alignment readingOrder="0" shrinkToFit="0" vertical="bottom" wrapText="0"/>
    </xf>
    <xf quotePrefix="1" borderId="0" fillId="0" fontId="8" numFmtId="0" xfId="0" applyAlignment="1" applyFont="1">
      <alignment readingOrder="0" shrinkToFit="0" vertical="bottom" wrapText="0"/>
    </xf>
    <xf borderId="0" fillId="0" fontId="11" numFmtId="0" xfId="0" applyAlignment="1" applyFont="1">
      <alignment vertical="bottom"/>
    </xf>
    <xf borderId="0" fillId="3" fontId="7" numFmtId="0" xfId="0" applyAlignment="1" applyFont="1">
      <alignment readingOrder="0"/>
    </xf>
    <xf borderId="0" fillId="0" fontId="11" numFmtId="0" xfId="0" applyAlignment="1" applyFont="1">
      <alignment readingOrder="0" vertical="bottom"/>
    </xf>
    <xf borderId="0" fillId="0" fontId="14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0" fontId="8" numFmtId="168" xfId="0" applyAlignment="1" applyFont="1" applyNumberFormat="1">
      <alignment readingOrder="0" shrinkToFit="0" vertical="bottom" wrapText="0"/>
    </xf>
    <xf borderId="0" fillId="0" fontId="15" numFmtId="0" xfId="0" applyFont="1"/>
    <xf borderId="0" fillId="13" fontId="1" numFmtId="0" xfId="0" applyAlignment="1" applyFill="1" applyFont="1">
      <alignment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0" fillId="10" fontId="1" numFmtId="0" xfId="0" applyAlignment="1" applyFont="1">
      <alignment readingOrder="0" shrinkToFit="0" vertical="bottom" wrapText="0"/>
    </xf>
    <xf borderId="0" fillId="14" fontId="1" numFmtId="0" xfId="0" applyAlignment="1" applyFill="1" applyFont="1">
      <alignment readingOrder="0" shrinkToFit="0" vertical="bottom" wrapText="0"/>
    </xf>
    <xf borderId="5" fillId="14" fontId="1" numFmtId="0" xfId="0" applyAlignment="1" applyBorder="1" applyFont="1">
      <alignment readingOrder="0" shrinkToFit="0" vertical="bottom" wrapText="0"/>
    </xf>
    <xf borderId="5" fillId="13" fontId="1" numFmtId="0" xfId="0" applyAlignment="1" applyBorder="1" applyFont="1">
      <alignment readingOrder="0" shrinkToFit="0" vertical="bottom" wrapText="0"/>
    </xf>
    <xf borderId="0" fillId="15" fontId="1" numFmtId="0" xfId="0" applyAlignment="1" applyFill="1" applyFont="1">
      <alignment readingOrder="0" shrinkToFit="0" vertical="bottom" wrapText="0"/>
    </xf>
    <xf borderId="0" fillId="16" fontId="1" numFmtId="0" xfId="0" applyAlignment="1" applyFill="1" applyFont="1">
      <alignment readingOrder="0" shrinkToFit="0" vertical="bottom" wrapText="0"/>
    </xf>
    <xf borderId="0" fillId="17" fontId="1" numFmtId="0" xfId="0" applyAlignment="1" applyFill="1" applyFont="1">
      <alignment readingOrder="0" shrinkToFit="0" vertical="bottom" wrapText="0"/>
    </xf>
    <xf borderId="0" fillId="18" fontId="1" numFmtId="0" xfId="0" applyAlignment="1" applyFill="1" applyFont="1">
      <alignment readingOrder="0" shrinkToFit="0" vertical="bottom" wrapText="0"/>
    </xf>
    <xf borderId="6" fillId="13" fontId="1" numFmtId="0" xfId="0" applyAlignment="1" applyBorder="1" applyFont="1">
      <alignment readingOrder="0" shrinkToFit="0" vertical="bottom" wrapText="0"/>
    </xf>
    <xf borderId="5" fillId="18" fontId="1" numFmtId="0" xfId="0" applyAlignment="1" applyBorder="1" applyFont="1">
      <alignment readingOrder="0" shrinkToFit="0" vertical="bottom" wrapText="0"/>
    </xf>
    <xf borderId="7" fillId="18" fontId="1" numFmtId="0" xfId="0" applyAlignment="1" applyBorder="1" applyFont="1">
      <alignment shrinkToFit="0" vertical="bottom" wrapText="0"/>
    </xf>
    <xf borderId="0" fillId="18" fontId="1" numFmtId="0" xfId="0" applyAlignment="1" applyFont="1">
      <alignment shrinkToFit="0" vertical="bottom" wrapText="0"/>
    </xf>
    <xf borderId="0" fillId="14" fontId="1" numFmtId="0" xfId="0" applyAlignment="1" applyFont="1">
      <alignment shrinkToFit="0" vertical="bottom" wrapText="0"/>
    </xf>
    <xf borderId="0" fillId="13" fontId="1" numFmtId="0" xfId="0" applyAlignment="1" applyFont="1">
      <alignment shrinkToFit="0" vertical="bottom" wrapText="0"/>
    </xf>
    <xf borderId="0" fillId="17" fontId="1" numFmtId="0" xfId="0" applyAlignment="1" applyFont="1">
      <alignment shrinkToFit="0" vertical="bottom" wrapText="0"/>
    </xf>
    <xf borderId="0" fillId="15" fontId="1" numFmtId="0" xfId="0" applyAlignment="1" applyFont="1">
      <alignment shrinkToFit="0" vertical="bottom" wrapText="0"/>
    </xf>
    <xf borderId="0" fillId="16" fontId="1" numFmtId="0" xfId="0" applyAlignment="1" applyFont="1">
      <alignment shrinkToFit="0" vertical="bottom" wrapText="0"/>
    </xf>
    <xf borderId="0" fillId="3" fontId="1" numFmtId="0" xfId="0" applyAlignment="1" applyFont="1">
      <alignment readingOrder="0" shrinkToFit="0" vertical="bottom" wrapText="0"/>
    </xf>
    <xf borderId="0" fillId="4" fontId="1" numFmtId="0" xfId="0" applyAlignment="1" applyFont="1">
      <alignment readingOrder="0" shrinkToFit="0" vertical="bottom" wrapText="0"/>
    </xf>
    <xf borderId="0" fillId="6" fontId="1" numFmtId="0" xfId="0" applyAlignment="1" applyFont="1">
      <alignment readingOrder="0" shrinkToFit="0" vertical="bottom" wrapText="0"/>
    </xf>
    <xf borderId="0" fillId="5" fontId="1" numFmtId="0" xfId="0" applyAlignment="1" applyFont="1">
      <alignment readingOrder="0" shrinkToFit="0" vertical="bottom" wrapText="0"/>
    </xf>
    <xf borderId="0" fillId="7" fontId="1" numFmtId="0" xfId="0" applyAlignment="1" applyFont="1">
      <alignment readingOrder="0" shrinkToFit="0" vertical="bottom" wrapText="0"/>
    </xf>
    <xf borderId="0" fillId="6" fontId="1" numFmtId="0" xfId="0" applyAlignment="1" applyFont="1">
      <alignment shrinkToFit="0" vertical="bottom" wrapText="0"/>
    </xf>
    <xf borderId="0" fillId="4" fontId="1" numFmtId="0" xfId="0" applyAlignment="1" applyFont="1">
      <alignment shrinkToFit="0" vertical="bottom" wrapText="0"/>
    </xf>
    <xf borderId="0" fillId="8" fontId="1" numFmtId="0" xfId="0" applyAlignment="1" applyFont="1">
      <alignment readingOrder="0" shrinkToFit="0" vertical="bottom" wrapText="0"/>
    </xf>
    <xf borderId="0" fillId="8" fontId="1" numFmtId="0" xfId="0" applyAlignment="1" applyFont="1">
      <alignment shrinkToFit="0" vertical="bottom" wrapText="0"/>
    </xf>
    <xf borderId="0" fillId="8" fontId="16" numFmtId="0" xfId="0" applyAlignment="1" applyFont="1">
      <alignment readingOrder="0" shrinkToFit="0" vertical="bottom" wrapText="0"/>
    </xf>
    <xf borderId="0" fillId="0" fontId="1" numFmtId="169" xfId="0" applyAlignment="1" applyFont="1" applyNumberFormat="1">
      <alignment readingOrder="0" shrinkToFit="0" vertical="bottom" wrapText="0"/>
    </xf>
    <xf borderId="0" fillId="0" fontId="17" numFmtId="0" xfId="0" applyAlignment="1" applyFont="1">
      <alignment shrinkToFit="0" vertical="bottom" wrapText="1"/>
    </xf>
    <xf borderId="0" fillId="0" fontId="17" numFmtId="166" xfId="0" applyAlignment="1" applyFont="1" applyNumberFormat="1">
      <alignment vertical="bottom"/>
    </xf>
    <xf borderId="0" fillId="0" fontId="17" numFmtId="0" xfId="0" applyAlignment="1" applyFont="1">
      <alignment vertical="bottom"/>
    </xf>
    <xf borderId="0" fillId="0" fontId="13" numFmtId="0" xfId="0" applyAlignment="1" applyFont="1">
      <alignment readingOrder="0" shrinkToFit="0" wrapText="1"/>
    </xf>
    <xf borderId="0" fillId="0" fontId="13" numFmtId="166" xfId="0" applyAlignment="1" applyFont="1" applyNumberFormat="1">
      <alignment readingOrder="0"/>
    </xf>
    <xf borderId="0" fillId="0" fontId="13" numFmtId="166" xfId="0" applyAlignment="1" applyFont="1" applyNumberFormat="1">
      <alignment readingOrder="0" vertical="center"/>
    </xf>
    <xf borderId="0" fillId="0" fontId="13" numFmtId="0" xfId="0" applyAlignment="1" applyFont="1">
      <alignment shrinkToFit="0" wrapText="1"/>
    </xf>
    <xf borderId="0" fillId="0" fontId="13" numFmtId="166" xfId="0" applyFont="1" applyNumberFormat="1"/>
  </cellXfs>
  <cellStyles count="1">
    <cellStyle xfId="0" name="Normal" builtinId="0"/>
  </cellStyles>
  <dxfs count="2"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1304925</xdr:colOff>
      <xdr:row>1</xdr:row>
      <xdr:rowOff>28575</xdr:rowOff>
    </xdr:from>
    <xdr:ext cx="1219200" cy="600075"/>
    <xdr:sp>
      <xdr:nvSpPr>
        <xdr:cNvPr id="3" name="Shape 3"/>
        <xdr:cNvSpPr/>
      </xdr:nvSpPr>
      <xdr:spPr>
        <a:xfrm>
          <a:off x="3547400" y="1148750"/>
          <a:ext cx="1196100" cy="581700"/>
        </a:xfrm>
        <a:prstGeom prst="bevel">
          <a:avLst>
            <a:gd fmla="val 12500" name="adj"/>
          </a:avLst>
        </a:prstGeom>
        <a:solidFill>
          <a:srgbClr val="4787ED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rgbClr val="FFFFFF"/>
              </a:solidFill>
            </a:rPr>
            <a:t>Upload </a:t>
          </a:r>
          <a:endParaRPr b="1" sz="1200">
            <a:solidFill>
              <a:srgbClr val="FFFFF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rgbClr val="FFFFFF"/>
              </a:solidFill>
            </a:rPr>
            <a:t>Format</a:t>
          </a:r>
          <a:endParaRPr b="1" sz="12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1</xdr:row>
      <xdr:rowOff>28575</xdr:rowOff>
    </xdr:from>
    <xdr:ext cx="1190625" cy="600075"/>
    <xdr:sp>
      <xdr:nvSpPr>
        <xdr:cNvPr id="4" name="Shape 4"/>
        <xdr:cNvSpPr/>
      </xdr:nvSpPr>
      <xdr:spPr>
        <a:xfrm>
          <a:off x="3547400" y="1148750"/>
          <a:ext cx="1168500" cy="581700"/>
        </a:xfrm>
        <a:prstGeom prst="bevel">
          <a:avLst>
            <a:gd fmla="val 12500" name="adj"/>
          </a:avLst>
        </a:prstGeom>
        <a:solidFill>
          <a:srgbClr val="99999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rgbClr val="FFFFFF"/>
              </a:solidFill>
            </a:rPr>
            <a:t>Clear </a:t>
          </a:r>
          <a:endParaRPr b="1" sz="1200">
            <a:solidFill>
              <a:srgbClr val="FFFFF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rgbClr val="FFFFFF"/>
              </a:solidFill>
            </a:rPr>
            <a:t>Contents</a:t>
          </a:r>
          <a:endParaRPr b="1" sz="12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karen_yohen_perez@whirlpool.com" TargetMode="External"/><Relationship Id="rId2" Type="http://schemas.openxmlformats.org/officeDocument/2006/relationships/hyperlink" Target="mailto:sidhant_patnaik@whirlpool.com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x.xx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0.0" topLeftCell="G11" activePane="bottomRight" state="frozen"/>
      <selection activeCell="G1" sqref="G1" pane="topRight"/>
      <selection activeCell="A11" sqref="A11" pane="bottomLeft"/>
      <selection activeCell="G11" sqref="G11" pane="bottomRight"/>
    </sheetView>
  </sheetViews>
  <sheetFormatPr customHeight="1" defaultColWidth="12.63" defaultRowHeight="15.75"/>
  <cols>
    <col customWidth="1" min="1" max="1" width="36.0"/>
    <col customWidth="1" min="2" max="2" width="13.25"/>
    <col customWidth="1" min="3" max="3" width="17.13"/>
    <col customWidth="1" min="4" max="4" width="20.25"/>
    <col customWidth="1" min="5" max="5" width="10.63"/>
    <col customWidth="1" min="6" max="6" width="20.88"/>
    <col hidden="1" min="7" max="7" width="12.63"/>
    <col customWidth="1" min="9" max="9" width="11.13"/>
    <col customWidth="1" min="11" max="11" width="15.25"/>
    <col customWidth="1" min="12" max="12" width="16.13"/>
    <col customWidth="1" min="13" max="13" width="8.38"/>
    <col customWidth="1" min="14" max="14" width="9.5"/>
    <col customWidth="1" min="19" max="19" width="18.13"/>
    <col customWidth="1" min="20" max="20" width="16.0"/>
    <col customWidth="1" min="21" max="21" width="14.38"/>
    <col customWidth="1" min="22" max="22" width="15.5"/>
    <col customWidth="1" min="23" max="23" width="12.5"/>
    <col customWidth="1" min="24" max="24" width="11.13"/>
    <col customWidth="1" min="25" max="25" width="13.75"/>
    <col customWidth="1" min="26" max="26" width="16.0"/>
    <col customWidth="1" min="27" max="27" width="13.25"/>
    <col customWidth="1" min="28" max="28" width="36.75"/>
    <col customWidth="1" min="30" max="30" width="25.63"/>
  </cols>
  <sheetData>
    <row r="1">
      <c r="A1" s="1" t="s">
        <v>0</v>
      </c>
      <c r="B1" s="2" t="s">
        <v>1</v>
      </c>
      <c r="C1" s="3"/>
      <c r="D1" s="4"/>
      <c r="E1" s="4"/>
      <c r="F1" s="5"/>
      <c r="G1" s="4"/>
      <c r="H1" s="6"/>
      <c r="I1" s="6"/>
      <c r="K1" s="4"/>
      <c r="L1" s="4"/>
      <c r="M1" s="4"/>
      <c r="N1" s="4"/>
      <c r="O1" s="7"/>
      <c r="P1" s="6"/>
      <c r="Q1" s="7"/>
      <c r="R1" s="2" t="s">
        <v>1</v>
      </c>
      <c r="S1" s="3"/>
      <c r="T1" s="4"/>
      <c r="U1" s="4"/>
      <c r="V1" s="5"/>
      <c r="W1" s="4"/>
      <c r="X1" s="5"/>
      <c r="Y1" s="4"/>
      <c r="Z1" s="4"/>
      <c r="AA1" s="4"/>
      <c r="AB1" s="4"/>
      <c r="AC1" s="8" t="s">
        <v>2</v>
      </c>
      <c r="AD1" s="8" t="s">
        <v>2</v>
      </c>
      <c r="AE1" s="9" t="s">
        <v>2</v>
      </c>
      <c r="AF1" s="9" t="s">
        <v>2</v>
      </c>
      <c r="AG1" s="8" t="s">
        <v>2</v>
      </c>
      <c r="AH1" s="8" t="s">
        <v>2</v>
      </c>
      <c r="AI1" s="8" t="s">
        <v>2</v>
      </c>
    </row>
    <row r="2">
      <c r="A2" s="10"/>
      <c r="B2" s="2" t="s">
        <v>3</v>
      </c>
      <c r="C2" s="3"/>
      <c r="D2" s="4"/>
      <c r="E2" s="4"/>
      <c r="F2" s="5"/>
      <c r="G2" s="4"/>
      <c r="H2" s="6"/>
      <c r="I2" s="6"/>
      <c r="K2" s="4"/>
      <c r="L2" s="4"/>
      <c r="M2" s="4"/>
      <c r="N2" s="4"/>
      <c r="O2" s="7"/>
      <c r="P2" s="6"/>
      <c r="Q2" s="7"/>
      <c r="R2" s="2" t="s">
        <v>3</v>
      </c>
      <c r="S2" s="3"/>
      <c r="T2" s="4"/>
      <c r="U2" s="4"/>
      <c r="V2" s="5"/>
      <c r="W2" s="4"/>
      <c r="X2" s="5"/>
      <c r="Y2" s="4"/>
      <c r="Z2" s="4"/>
      <c r="AA2" s="4"/>
      <c r="AB2" s="4"/>
      <c r="AC2" s="8" t="s">
        <v>4</v>
      </c>
      <c r="AD2" s="8" t="s">
        <v>4</v>
      </c>
      <c r="AE2" s="9" t="s">
        <v>4</v>
      </c>
      <c r="AF2" s="9" t="s">
        <v>4</v>
      </c>
      <c r="AG2" s="8" t="s">
        <v>4</v>
      </c>
      <c r="AH2" s="8" t="s">
        <v>4</v>
      </c>
      <c r="AI2" s="8" t="s">
        <v>4</v>
      </c>
    </row>
    <row r="3">
      <c r="A3" s="4"/>
      <c r="B3" s="2" t="s">
        <v>5</v>
      </c>
      <c r="C3" s="3"/>
      <c r="D3" s="4"/>
      <c r="E3" s="4"/>
      <c r="F3" s="5"/>
      <c r="G3" s="4"/>
      <c r="H3" s="6"/>
      <c r="I3" s="6"/>
      <c r="K3" s="4"/>
      <c r="L3" s="4"/>
      <c r="M3" s="4"/>
      <c r="N3" s="4"/>
      <c r="O3" s="7"/>
      <c r="P3" s="7"/>
      <c r="Q3" s="7"/>
      <c r="R3" s="2" t="s">
        <v>5</v>
      </c>
      <c r="S3" s="3"/>
      <c r="T3" s="4"/>
      <c r="U3" s="4"/>
      <c r="V3" s="5"/>
      <c r="W3" s="4"/>
      <c r="X3" s="5"/>
      <c r="Y3" s="4"/>
      <c r="Z3" s="4"/>
      <c r="AA3" s="4"/>
      <c r="AB3" s="4"/>
      <c r="AC3" s="11"/>
      <c r="AD3" s="11"/>
      <c r="AE3" s="12"/>
      <c r="AF3" s="12"/>
      <c r="AG3" s="11"/>
      <c r="AH3" s="11"/>
      <c r="AI3" s="11"/>
    </row>
    <row r="4" ht="21.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7"/>
      <c r="P4" s="4"/>
      <c r="Q4" s="7"/>
      <c r="R4" s="3"/>
      <c r="S4" s="3"/>
      <c r="T4" s="4"/>
      <c r="U4" s="4"/>
      <c r="V4" s="5"/>
      <c r="W4" s="4"/>
      <c r="X4" s="5"/>
      <c r="Y4" s="4"/>
      <c r="Z4" s="4"/>
      <c r="AA4" s="4"/>
      <c r="AB4" s="4"/>
      <c r="AC4" s="11"/>
      <c r="AD4" s="11"/>
      <c r="AE4" s="12"/>
      <c r="AF4" s="12"/>
      <c r="AG4" s="11"/>
      <c r="AH4" s="11"/>
      <c r="AI4" s="11"/>
    </row>
    <row r="5">
      <c r="A5" s="13" t="s">
        <v>6</v>
      </c>
      <c r="B5" s="14" t="s">
        <v>7</v>
      </c>
      <c r="C5" s="15" t="s">
        <v>8</v>
      </c>
      <c r="D5" s="14" t="s">
        <v>9</v>
      </c>
      <c r="E5" s="14" t="s">
        <v>10</v>
      </c>
      <c r="F5" s="14" t="s">
        <v>11</v>
      </c>
      <c r="G5" s="13" t="s">
        <v>12</v>
      </c>
      <c r="H5" s="16" t="s">
        <v>13</v>
      </c>
      <c r="I5" s="14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7" t="s">
        <v>22</v>
      </c>
      <c r="R5" s="18" t="s">
        <v>23</v>
      </c>
      <c r="S5" s="19" t="s">
        <v>24</v>
      </c>
      <c r="T5" s="15" t="s">
        <v>25</v>
      </c>
      <c r="U5" s="16" t="s">
        <v>26</v>
      </c>
      <c r="V5" s="20" t="s">
        <v>27</v>
      </c>
      <c r="W5" s="16" t="s">
        <v>28</v>
      </c>
      <c r="X5" s="21" t="s">
        <v>29</v>
      </c>
      <c r="Y5" s="14" t="s">
        <v>30</v>
      </c>
      <c r="Z5" s="15" t="s">
        <v>31</v>
      </c>
      <c r="AA5" s="16" t="s">
        <v>32</v>
      </c>
      <c r="AB5" s="16" t="s">
        <v>33</v>
      </c>
      <c r="AC5" s="22" t="s">
        <v>34</v>
      </c>
      <c r="AD5" s="22" t="s">
        <v>35</v>
      </c>
      <c r="AE5" s="23" t="s">
        <v>36</v>
      </c>
      <c r="AF5" s="23" t="s">
        <v>24</v>
      </c>
      <c r="AG5" s="22" t="s">
        <v>37</v>
      </c>
      <c r="AH5" s="22" t="s">
        <v>38</v>
      </c>
      <c r="AI5" s="22" t="s">
        <v>39</v>
      </c>
    </row>
    <row r="6">
      <c r="A6" s="13" t="s">
        <v>40</v>
      </c>
      <c r="B6" s="14" t="s">
        <v>41</v>
      </c>
      <c r="C6" s="15" t="s">
        <v>42</v>
      </c>
      <c r="D6" s="14" t="s">
        <v>41</v>
      </c>
      <c r="E6" s="14" t="s">
        <v>41</v>
      </c>
      <c r="F6" s="14" t="s">
        <v>41</v>
      </c>
      <c r="G6" s="24"/>
      <c r="H6" s="16" t="s">
        <v>43</v>
      </c>
      <c r="I6" s="14" t="s">
        <v>41</v>
      </c>
      <c r="J6" s="16" t="s">
        <v>43</v>
      </c>
      <c r="K6" s="16" t="s">
        <v>43</v>
      </c>
      <c r="L6" s="16" t="s">
        <v>43</v>
      </c>
      <c r="M6" s="16" t="s">
        <v>43</v>
      </c>
      <c r="N6" s="16" t="s">
        <v>43</v>
      </c>
      <c r="O6" s="16" t="s">
        <v>43</v>
      </c>
      <c r="P6" s="16" t="s">
        <v>43</v>
      </c>
      <c r="Q6" s="25" t="s">
        <v>41</v>
      </c>
      <c r="R6" s="18" t="s">
        <v>43</v>
      </c>
      <c r="S6" s="19" t="s">
        <v>44</v>
      </c>
      <c r="T6" s="15" t="s">
        <v>42</v>
      </c>
      <c r="U6" s="16" t="s">
        <v>43</v>
      </c>
      <c r="V6" s="26" t="s">
        <v>43</v>
      </c>
      <c r="W6" s="16" t="s">
        <v>43</v>
      </c>
      <c r="X6" s="21" t="s">
        <v>43</v>
      </c>
      <c r="Y6" s="14" t="s">
        <v>41</v>
      </c>
      <c r="Z6" s="15" t="s">
        <v>42</v>
      </c>
      <c r="AA6" s="16" t="s">
        <v>43</v>
      </c>
      <c r="AB6" s="16" t="s">
        <v>43</v>
      </c>
      <c r="AC6" s="22" t="s">
        <v>45</v>
      </c>
      <c r="AD6" s="22" t="s">
        <v>43</v>
      </c>
      <c r="AE6" s="23" t="s">
        <v>43</v>
      </c>
      <c r="AF6" s="23" t="s">
        <v>43</v>
      </c>
      <c r="AG6" s="27"/>
      <c r="AH6" s="22" t="s">
        <v>41</v>
      </c>
      <c r="AI6" s="22" t="s">
        <v>42</v>
      </c>
    </row>
    <row r="7">
      <c r="A7" s="13" t="s">
        <v>46</v>
      </c>
      <c r="B7" s="28" t="s">
        <v>47</v>
      </c>
      <c r="C7" s="28" t="s">
        <v>48</v>
      </c>
      <c r="D7" s="28" t="s">
        <v>49</v>
      </c>
      <c r="E7" s="28" t="s">
        <v>50</v>
      </c>
      <c r="F7" s="28" t="s">
        <v>51</v>
      </c>
      <c r="G7" s="24"/>
      <c r="H7" s="28" t="s">
        <v>52</v>
      </c>
      <c r="I7" s="28" t="s">
        <v>53</v>
      </c>
      <c r="J7" s="28" t="s">
        <v>54</v>
      </c>
      <c r="K7" s="28" t="s">
        <v>55</v>
      </c>
      <c r="L7" s="28" t="s">
        <v>56</v>
      </c>
      <c r="M7" s="28" t="s">
        <v>57</v>
      </c>
      <c r="N7" s="28" t="s">
        <v>58</v>
      </c>
      <c r="O7" s="28" t="s">
        <v>59</v>
      </c>
      <c r="P7" s="28" t="s">
        <v>60</v>
      </c>
      <c r="Q7" s="29" t="s">
        <v>61</v>
      </c>
      <c r="R7" s="30"/>
      <c r="S7" s="31" t="s">
        <v>62</v>
      </c>
      <c r="T7" s="28" t="s">
        <v>63</v>
      </c>
      <c r="U7" s="28" t="s">
        <v>64</v>
      </c>
      <c r="V7" s="32" t="s">
        <v>65</v>
      </c>
      <c r="W7" s="28" t="s">
        <v>66</v>
      </c>
      <c r="X7" s="33" t="s">
        <v>67</v>
      </c>
      <c r="Y7" s="28" t="s">
        <v>68</v>
      </c>
      <c r="Z7" s="28" t="s">
        <v>69</v>
      </c>
      <c r="AA7" s="28" t="s">
        <v>70</v>
      </c>
      <c r="AB7" s="28" t="s">
        <v>71</v>
      </c>
      <c r="AC7" s="22" t="s">
        <v>72</v>
      </c>
      <c r="AD7" s="22" t="s">
        <v>73</v>
      </c>
      <c r="AE7" s="23" t="s">
        <v>74</v>
      </c>
      <c r="AF7" s="23" t="s">
        <v>62</v>
      </c>
      <c r="AG7" s="22" t="s">
        <v>75</v>
      </c>
      <c r="AH7" s="22" t="s">
        <v>76</v>
      </c>
      <c r="AI7" s="22" t="s">
        <v>77</v>
      </c>
    </row>
    <row r="8">
      <c r="A8" s="13" t="s">
        <v>78</v>
      </c>
      <c r="B8" s="28" t="s">
        <v>79</v>
      </c>
      <c r="C8" s="28" t="s">
        <v>79</v>
      </c>
      <c r="D8" s="34"/>
      <c r="E8" s="34"/>
      <c r="F8" s="34"/>
      <c r="G8" s="35"/>
      <c r="H8" s="34"/>
      <c r="I8" s="34"/>
      <c r="J8" s="34"/>
      <c r="K8" s="34"/>
      <c r="L8" s="34"/>
      <c r="M8" s="34"/>
      <c r="N8" s="34"/>
      <c r="O8" s="36"/>
      <c r="P8" s="28" t="s">
        <v>79</v>
      </c>
      <c r="Q8" s="36"/>
      <c r="R8" s="30"/>
      <c r="S8" s="30"/>
      <c r="T8" s="34"/>
      <c r="U8" s="28" t="s">
        <v>79</v>
      </c>
      <c r="V8" s="37" t="s">
        <v>79</v>
      </c>
      <c r="W8" s="28" t="s">
        <v>79</v>
      </c>
      <c r="X8" s="33" t="s">
        <v>79</v>
      </c>
      <c r="Y8" s="34"/>
      <c r="Z8" s="34"/>
      <c r="AA8" s="28" t="s">
        <v>79</v>
      </c>
      <c r="AB8" s="34"/>
      <c r="AC8" s="38"/>
      <c r="AD8" s="38"/>
      <c r="AE8" s="39"/>
      <c r="AF8" s="39"/>
      <c r="AG8" s="38"/>
      <c r="AH8" s="40" t="s">
        <v>80</v>
      </c>
      <c r="AI8" s="22" t="s">
        <v>79</v>
      </c>
    </row>
    <row r="9">
      <c r="A9" s="13" t="s">
        <v>81</v>
      </c>
      <c r="B9" s="41" t="s">
        <v>79</v>
      </c>
      <c r="C9" s="41" t="s">
        <v>79</v>
      </c>
      <c r="D9" s="41" t="s">
        <v>79</v>
      </c>
      <c r="E9" s="41" t="s">
        <v>79</v>
      </c>
      <c r="F9" s="41" t="s">
        <v>79</v>
      </c>
      <c r="G9" s="42" t="s">
        <v>82</v>
      </c>
      <c r="H9" s="41" t="s">
        <v>79</v>
      </c>
      <c r="I9" s="41" t="s">
        <v>79</v>
      </c>
      <c r="J9" s="41" t="s">
        <v>79</v>
      </c>
      <c r="K9" s="28" t="s">
        <v>83</v>
      </c>
      <c r="L9" s="28" t="s">
        <v>83</v>
      </c>
      <c r="M9" s="28" t="s">
        <v>83</v>
      </c>
      <c r="N9" s="28" t="s">
        <v>83</v>
      </c>
      <c r="O9" s="28" t="s">
        <v>83</v>
      </c>
      <c r="P9" s="41" t="s">
        <v>79</v>
      </c>
      <c r="Q9" s="41" t="s">
        <v>79</v>
      </c>
      <c r="R9" s="43" t="s">
        <v>79</v>
      </c>
      <c r="S9" s="43" t="s">
        <v>79</v>
      </c>
      <c r="T9" s="41" t="s">
        <v>79</v>
      </c>
      <c r="U9" s="41" t="s">
        <v>79</v>
      </c>
      <c r="V9" s="37" t="s">
        <v>83</v>
      </c>
      <c r="W9" s="41" t="s">
        <v>79</v>
      </c>
      <c r="X9" s="44" t="s">
        <v>79</v>
      </c>
      <c r="Y9" s="41" t="s">
        <v>79</v>
      </c>
      <c r="Z9" s="41" t="s">
        <v>79</v>
      </c>
      <c r="AA9" s="41" t="s">
        <v>79</v>
      </c>
      <c r="AB9" s="28" t="s">
        <v>83</v>
      </c>
      <c r="AC9" s="38"/>
      <c r="AD9" s="27"/>
      <c r="AE9" s="39"/>
      <c r="AF9" s="39"/>
      <c r="AG9" s="38"/>
      <c r="AH9" s="38"/>
      <c r="AI9" s="22" t="s">
        <v>79</v>
      </c>
    </row>
    <row r="10">
      <c r="A10" s="45" t="s">
        <v>84</v>
      </c>
      <c r="B10" s="46" t="s">
        <v>85</v>
      </c>
      <c r="C10" s="46" t="s">
        <v>86</v>
      </c>
      <c r="D10" s="46" t="s">
        <v>87</v>
      </c>
      <c r="E10" s="46" t="s">
        <v>88</v>
      </c>
      <c r="F10" s="46" t="s">
        <v>89</v>
      </c>
      <c r="G10" s="47"/>
      <c r="H10" s="46" t="s">
        <v>90</v>
      </c>
      <c r="I10" s="48"/>
      <c r="J10" s="46" t="s">
        <v>91</v>
      </c>
      <c r="K10" s="46" t="s">
        <v>89</v>
      </c>
      <c r="L10" s="46" t="s">
        <v>89</v>
      </c>
      <c r="M10" s="46"/>
      <c r="N10" s="46"/>
      <c r="O10" s="49"/>
      <c r="P10" s="46" t="s">
        <v>92</v>
      </c>
      <c r="Q10" s="50" t="s">
        <v>89</v>
      </c>
      <c r="R10" s="46" t="s">
        <v>93</v>
      </c>
      <c r="S10" s="46" t="s">
        <v>94</v>
      </c>
      <c r="T10" s="46" t="s">
        <v>89</v>
      </c>
      <c r="U10" s="46" t="s">
        <v>86</v>
      </c>
      <c r="V10" s="51" t="s">
        <v>86</v>
      </c>
      <c r="W10" s="46" t="s">
        <v>95</v>
      </c>
      <c r="X10" s="52" t="s">
        <v>86</v>
      </c>
      <c r="Y10" s="53" t="s">
        <v>96</v>
      </c>
      <c r="Z10" s="46" t="s">
        <v>97</v>
      </c>
      <c r="AA10" s="46" t="s">
        <v>96</v>
      </c>
      <c r="AB10" s="46" t="s">
        <v>89</v>
      </c>
      <c r="AC10" s="54" t="s">
        <v>98</v>
      </c>
      <c r="AD10" s="54" t="s">
        <v>99</v>
      </c>
      <c r="AE10" s="55" t="s">
        <v>100</v>
      </c>
      <c r="AF10" s="55" t="s">
        <v>100</v>
      </c>
      <c r="AG10" s="54" t="s">
        <v>101</v>
      </c>
      <c r="AH10" s="54" t="s">
        <v>91</v>
      </c>
      <c r="AI10" s="54" t="s">
        <v>102</v>
      </c>
    </row>
    <row r="11">
      <c r="A11" s="56" t="str">
        <f>IFERROR(IF(B11=VLOOKUP(C11,$I$995:$J$1019,2,FALSE),"Error",""),"")</f>
        <v/>
      </c>
      <c r="B11" s="57" t="s">
        <v>103</v>
      </c>
      <c r="C11" s="57" t="s">
        <v>104</v>
      </c>
      <c r="D11" s="57">
        <v>8318088.0</v>
      </c>
      <c r="E11" s="58">
        <v>1.0</v>
      </c>
      <c r="F11" s="57" t="s">
        <v>105</v>
      </c>
      <c r="G11" s="58"/>
      <c r="H11" s="57" t="s">
        <v>106</v>
      </c>
      <c r="I11" s="58">
        <v>1.0</v>
      </c>
      <c r="J11" s="57">
        <v>120000.0</v>
      </c>
      <c r="K11" s="59" t="s">
        <v>107</v>
      </c>
      <c r="L11" s="59" t="s">
        <v>108</v>
      </c>
      <c r="M11" s="60"/>
      <c r="N11" s="60"/>
      <c r="O11" s="57" t="s">
        <v>106</v>
      </c>
      <c r="P11" s="61" t="s">
        <v>109</v>
      </c>
      <c r="Q11" s="62" t="s">
        <v>110</v>
      </c>
      <c r="R11" s="63">
        <f>IF(D11 = "","", today())</f>
        <v>46066</v>
      </c>
      <c r="S11" s="64">
        <f>IF(D11 = "","", R11+14)</f>
        <v>46080</v>
      </c>
      <c r="T11" s="65" t="s">
        <v>111</v>
      </c>
      <c r="U11" s="66" t="s">
        <v>112</v>
      </c>
      <c r="V11" s="66" t="s">
        <v>113</v>
      </c>
      <c r="W11" s="66" t="s">
        <v>114</v>
      </c>
      <c r="X11" s="67" t="s">
        <v>115</v>
      </c>
      <c r="Y11" s="68" t="s">
        <v>116</v>
      </c>
      <c r="Z11" s="66" t="s">
        <v>117</v>
      </c>
      <c r="AA11" s="66" t="s">
        <v>118</v>
      </c>
      <c r="AB11" s="66"/>
      <c r="AC11" s="69" t="str">
        <f>IF(J11&gt;0,"False","")</f>
        <v>False</v>
      </c>
      <c r="AD11" s="69" t="str">
        <f>IF(J11=0,"",H11&amp;" "&amp;W11&amp;" "&amp;X11)</f>
        <v>PKG 123699 NAR USA 2024 July</v>
      </c>
      <c r="AE11" s="70">
        <f>if(J11=0,"",R11)</f>
        <v>46066</v>
      </c>
      <c r="AF11" s="71">
        <f>if(J11=0,"",S11)</f>
        <v>46080</v>
      </c>
      <c r="AG11" s="69" t="str">
        <f>IF(J11=0,"","False")</f>
        <v>False</v>
      </c>
      <c r="AH11" s="69">
        <f>if(J11&gt;0,J11,"")</f>
        <v>120000</v>
      </c>
      <c r="AI11" s="72" t="str">
        <f>IF(J11=0,"","Unassigned")</f>
        <v>Unassigned</v>
      </c>
    </row>
    <row r="12">
      <c r="A12" s="56"/>
      <c r="B12" s="72"/>
      <c r="C12" s="72"/>
      <c r="D12" s="58"/>
      <c r="E12" s="58"/>
      <c r="F12" s="58"/>
      <c r="G12" s="58"/>
      <c r="H12" s="58"/>
      <c r="I12" s="58"/>
      <c r="J12" s="57"/>
      <c r="K12" s="58"/>
      <c r="L12" s="58"/>
      <c r="M12" s="60"/>
      <c r="N12" s="60"/>
      <c r="O12" s="73"/>
      <c r="P12" s="61"/>
      <c r="Q12" s="62"/>
      <c r="R12" s="63"/>
      <c r="S12" s="64"/>
      <c r="T12" s="74"/>
      <c r="U12" s="68"/>
      <c r="V12" s="68"/>
      <c r="W12" s="68"/>
      <c r="X12" s="75"/>
      <c r="Y12" s="68"/>
      <c r="Z12" s="68"/>
      <c r="AA12" s="68"/>
      <c r="AB12" s="76"/>
      <c r="AC12" s="69"/>
      <c r="AD12" s="69"/>
      <c r="AE12" s="70"/>
      <c r="AF12" s="71"/>
      <c r="AG12" s="69"/>
      <c r="AH12" s="69"/>
      <c r="AI12" s="72"/>
    </row>
    <row r="13">
      <c r="A13" s="56"/>
      <c r="B13" s="72"/>
      <c r="C13" s="72"/>
      <c r="D13" s="58"/>
      <c r="E13" s="58"/>
      <c r="F13" s="58"/>
      <c r="G13" s="58"/>
      <c r="H13" s="58"/>
      <c r="I13" s="58"/>
      <c r="J13" s="57"/>
      <c r="K13" s="58"/>
      <c r="L13" s="58"/>
      <c r="M13" s="60"/>
      <c r="N13" s="60"/>
      <c r="O13" s="77"/>
      <c r="P13" s="61"/>
      <c r="Q13" s="62"/>
      <c r="R13" s="63"/>
      <c r="S13" s="64"/>
      <c r="T13" s="74"/>
      <c r="U13" s="68"/>
      <c r="V13" s="68"/>
      <c r="W13" s="68"/>
      <c r="X13" s="75"/>
      <c r="Y13" s="68"/>
      <c r="Z13" s="68"/>
      <c r="AA13" s="68"/>
      <c r="AB13" s="68"/>
      <c r="AC13" s="69"/>
      <c r="AD13" s="69"/>
      <c r="AE13" s="70"/>
      <c r="AF13" s="71"/>
      <c r="AG13" s="69"/>
      <c r="AH13" s="69"/>
      <c r="AI13" s="72"/>
    </row>
    <row r="14">
      <c r="A14" s="56"/>
      <c r="B14" s="72"/>
      <c r="C14" s="72"/>
      <c r="D14" s="58"/>
      <c r="E14" s="58"/>
      <c r="F14" s="58"/>
      <c r="G14" s="58"/>
      <c r="H14" s="58"/>
      <c r="I14" s="58"/>
      <c r="J14" s="57"/>
      <c r="K14" s="58"/>
      <c r="L14" s="58"/>
      <c r="M14" s="60"/>
      <c r="N14" s="60"/>
      <c r="O14" s="78"/>
      <c r="P14" s="61"/>
      <c r="Q14" s="62"/>
      <c r="R14" s="63"/>
      <c r="S14" s="64"/>
      <c r="T14" s="74"/>
      <c r="U14" s="68"/>
      <c r="V14" s="68"/>
      <c r="W14" s="68"/>
      <c r="X14" s="75"/>
      <c r="Y14" s="68"/>
      <c r="Z14" s="68"/>
      <c r="AA14" s="68"/>
      <c r="AB14" s="76"/>
      <c r="AC14" s="69"/>
      <c r="AD14" s="69"/>
      <c r="AE14" s="70"/>
      <c r="AF14" s="71"/>
      <c r="AG14" s="69"/>
      <c r="AH14" s="69"/>
      <c r="AI14" s="72"/>
    </row>
    <row r="15">
      <c r="A15" s="56"/>
      <c r="B15" s="72"/>
      <c r="C15" s="72"/>
      <c r="D15" s="58"/>
      <c r="E15" s="58"/>
      <c r="F15" s="58"/>
      <c r="G15" s="58"/>
      <c r="H15" s="58"/>
      <c r="I15" s="58"/>
      <c r="J15" s="57"/>
      <c r="K15" s="58"/>
      <c r="L15" s="58"/>
      <c r="M15" s="60"/>
      <c r="N15" s="60"/>
      <c r="O15" s="77"/>
      <c r="P15" s="61"/>
      <c r="Q15" s="62"/>
      <c r="R15" s="63"/>
      <c r="S15" s="64"/>
      <c r="T15" s="74"/>
      <c r="U15" s="68"/>
      <c r="V15" s="68"/>
      <c r="W15" s="68"/>
      <c r="X15" s="75"/>
      <c r="Y15" s="68"/>
      <c r="Z15" s="68"/>
      <c r="AA15" s="68"/>
      <c r="AB15" s="76"/>
      <c r="AC15" s="69"/>
      <c r="AD15" s="69"/>
      <c r="AE15" s="70"/>
      <c r="AF15" s="71"/>
      <c r="AG15" s="69"/>
      <c r="AH15" s="69"/>
      <c r="AI15" s="72"/>
    </row>
    <row r="16">
      <c r="A16" s="56"/>
      <c r="B16" s="72"/>
      <c r="C16" s="72"/>
      <c r="D16" s="58"/>
      <c r="E16" s="58"/>
      <c r="F16" s="58"/>
      <c r="G16" s="58"/>
      <c r="H16" s="58"/>
      <c r="I16" s="58"/>
      <c r="J16" s="57"/>
      <c r="K16" s="58"/>
      <c r="L16" s="58"/>
      <c r="M16" s="60"/>
      <c r="N16" s="60"/>
      <c r="O16" s="79"/>
      <c r="P16" s="61"/>
      <c r="Q16" s="62"/>
      <c r="R16" s="63"/>
      <c r="S16" s="64"/>
      <c r="T16" s="74"/>
      <c r="U16" s="68"/>
      <c r="V16" s="68"/>
      <c r="W16" s="68"/>
      <c r="X16" s="75"/>
      <c r="Y16" s="68"/>
      <c r="Z16" s="68"/>
      <c r="AA16" s="68"/>
      <c r="AB16" s="76"/>
      <c r="AC16" s="69"/>
      <c r="AD16" s="69"/>
      <c r="AE16" s="70"/>
      <c r="AF16" s="71"/>
      <c r="AG16" s="69"/>
      <c r="AH16" s="69"/>
      <c r="AI16" s="72"/>
    </row>
    <row r="17">
      <c r="A17" s="56"/>
      <c r="B17" s="72"/>
      <c r="C17" s="72"/>
      <c r="D17" s="58"/>
      <c r="E17" s="58"/>
      <c r="F17" s="58"/>
      <c r="G17" s="58"/>
      <c r="H17" s="58"/>
      <c r="I17" s="58"/>
      <c r="J17" s="57"/>
      <c r="K17" s="58"/>
      <c r="L17" s="58"/>
      <c r="M17" s="60"/>
      <c r="N17" s="60"/>
      <c r="O17" s="79"/>
      <c r="P17" s="61"/>
      <c r="Q17" s="62"/>
      <c r="R17" s="63"/>
      <c r="S17" s="64"/>
      <c r="T17" s="74"/>
      <c r="U17" s="68"/>
      <c r="V17" s="68"/>
      <c r="W17" s="68"/>
      <c r="X17" s="75"/>
      <c r="Y17" s="68"/>
      <c r="Z17" s="68"/>
      <c r="AA17" s="68"/>
      <c r="AB17" s="76"/>
      <c r="AC17" s="69"/>
      <c r="AD17" s="69"/>
      <c r="AE17" s="70"/>
      <c r="AF17" s="71"/>
      <c r="AG17" s="69"/>
      <c r="AH17" s="69"/>
      <c r="AI17" s="72"/>
    </row>
    <row r="18">
      <c r="A18" s="56"/>
      <c r="B18" s="72"/>
      <c r="C18" s="72"/>
      <c r="D18" s="58"/>
      <c r="E18" s="58"/>
      <c r="F18" s="58"/>
      <c r="G18" s="58"/>
      <c r="H18" s="58"/>
      <c r="I18" s="58"/>
      <c r="J18" s="57"/>
      <c r="K18" s="58"/>
      <c r="L18" s="58"/>
      <c r="M18" s="60"/>
      <c r="N18" s="60"/>
      <c r="O18" s="79"/>
      <c r="P18" s="61"/>
      <c r="Q18" s="62"/>
      <c r="R18" s="63"/>
      <c r="S18" s="64"/>
      <c r="T18" s="74"/>
      <c r="U18" s="68"/>
      <c r="V18" s="68"/>
      <c r="W18" s="68"/>
      <c r="X18" s="75"/>
      <c r="Y18" s="68"/>
      <c r="Z18" s="68"/>
      <c r="AA18" s="68"/>
      <c r="AB18" s="76"/>
      <c r="AC18" s="69"/>
      <c r="AD18" s="69"/>
      <c r="AE18" s="70"/>
      <c r="AF18" s="71"/>
      <c r="AG18" s="69"/>
      <c r="AH18" s="69"/>
      <c r="AI18" s="72"/>
    </row>
    <row r="19" ht="18.0" customHeight="1">
      <c r="A19" s="56"/>
      <c r="B19" s="72"/>
      <c r="C19" s="72"/>
      <c r="D19" s="58"/>
      <c r="E19" s="58"/>
      <c r="F19" s="58"/>
      <c r="G19" s="58"/>
      <c r="H19" s="58"/>
      <c r="I19" s="58"/>
      <c r="J19" s="57"/>
      <c r="K19" s="58"/>
      <c r="L19" s="58"/>
      <c r="M19" s="60"/>
      <c r="N19" s="60"/>
      <c r="O19" s="79"/>
      <c r="P19" s="61"/>
      <c r="Q19" s="62"/>
      <c r="R19" s="63"/>
      <c r="S19" s="64"/>
      <c r="T19" s="74"/>
      <c r="U19" s="68"/>
      <c r="V19" s="68"/>
      <c r="W19" s="68"/>
      <c r="X19" s="75"/>
      <c r="Y19" s="68"/>
      <c r="Z19" s="68"/>
      <c r="AA19" s="68"/>
      <c r="AB19" s="76"/>
      <c r="AC19" s="69"/>
      <c r="AD19" s="69"/>
      <c r="AE19" s="70"/>
      <c r="AF19" s="71"/>
      <c r="AG19" s="69"/>
      <c r="AH19" s="69"/>
      <c r="AI19" s="72"/>
    </row>
    <row r="20" ht="14.25" customHeight="1">
      <c r="A20" s="56" t="str">
        <f t="shared" ref="A20:A499" si="1">IFERROR(IF(B20=VLOOKUP(C20,$I$995:$J$1019,2,FALSE),"Error",""),"")</f>
        <v/>
      </c>
      <c r="B20" s="72"/>
      <c r="C20" s="72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80"/>
      <c r="P20" s="58"/>
      <c r="Q20" s="80"/>
      <c r="R20" s="63"/>
      <c r="S20" s="64" t="str">
        <f t="shared" ref="S20:S504" si="2">IF(D20 = "","", R20+14)</f>
        <v/>
      </c>
      <c r="T20" s="76"/>
      <c r="U20" s="76"/>
      <c r="V20" s="76"/>
      <c r="W20" s="76"/>
      <c r="X20" s="75"/>
      <c r="Y20" s="68"/>
      <c r="Z20" s="68"/>
      <c r="AA20" s="76"/>
      <c r="AB20" s="76"/>
      <c r="AC20" s="69"/>
      <c r="AD20" s="69"/>
      <c r="AE20" s="70"/>
      <c r="AF20" s="71"/>
      <c r="AG20" s="69"/>
      <c r="AH20" s="69"/>
      <c r="AI20" s="81" t="str">
        <f t="shared" ref="AI20:AI499" si="3">IF(J20=0,"","Unassigned")</f>
        <v/>
      </c>
    </row>
    <row r="21">
      <c r="A21" s="56" t="str">
        <f t="shared" si="1"/>
        <v/>
      </c>
      <c r="B21" s="72"/>
      <c r="C21" s="72"/>
      <c r="D21" s="57"/>
      <c r="E21" s="58"/>
      <c r="F21" s="57"/>
      <c r="G21" s="58"/>
      <c r="H21" s="58"/>
      <c r="I21" s="58"/>
      <c r="J21" s="58"/>
      <c r="K21" s="58"/>
      <c r="L21" s="58"/>
      <c r="M21" s="58"/>
      <c r="N21" s="58"/>
      <c r="O21" s="80"/>
      <c r="P21" s="58"/>
      <c r="Q21" s="80"/>
      <c r="R21" s="63"/>
      <c r="S21" s="64" t="str">
        <f t="shared" si="2"/>
        <v/>
      </c>
      <c r="T21" s="76"/>
      <c r="U21" s="76"/>
      <c r="V21" s="76"/>
      <c r="W21" s="76"/>
      <c r="X21" s="75"/>
      <c r="Y21" s="68"/>
      <c r="Z21" s="68"/>
      <c r="AA21" s="76"/>
      <c r="AB21" s="76"/>
      <c r="AC21" s="69"/>
      <c r="AD21" s="69"/>
      <c r="AE21" s="70"/>
      <c r="AF21" s="71"/>
      <c r="AG21" s="69"/>
      <c r="AH21" s="69"/>
      <c r="AI21" s="81" t="str">
        <f t="shared" si="3"/>
        <v/>
      </c>
    </row>
    <row r="22">
      <c r="A22" s="56" t="str">
        <f t="shared" si="1"/>
        <v/>
      </c>
      <c r="B22" s="72"/>
      <c r="C22" s="72"/>
      <c r="D22" s="57"/>
      <c r="E22" s="58"/>
      <c r="F22" s="57"/>
      <c r="G22" s="58"/>
      <c r="H22" s="58"/>
      <c r="I22" s="58"/>
      <c r="J22" s="58"/>
      <c r="K22" s="58"/>
      <c r="L22" s="58"/>
      <c r="M22" s="58"/>
      <c r="N22" s="58"/>
      <c r="O22" s="80"/>
      <c r="P22" s="58"/>
      <c r="Q22" s="80"/>
      <c r="R22" s="63"/>
      <c r="S22" s="64" t="str">
        <f t="shared" si="2"/>
        <v/>
      </c>
      <c r="T22" s="76"/>
      <c r="U22" s="76"/>
      <c r="V22" s="76"/>
      <c r="W22" s="76"/>
      <c r="X22" s="75"/>
      <c r="Y22" s="68"/>
      <c r="Z22" s="68"/>
      <c r="AA22" s="76"/>
      <c r="AB22" s="76"/>
      <c r="AC22" s="69"/>
      <c r="AD22" s="69"/>
      <c r="AE22" s="70"/>
      <c r="AF22" s="71"/>
      <c r="AG22" s="69"/>
      <c r="AH22" s="69"/>
      <c r="AI22" s="81" t="str">
        <f t="shared" si="3"/>
        <v/>
      </c>
    </row>
    <row r="23">
      <c r="A23" s="56" t="str">
        <f t="shared" si="1"/>
        <v/>
      </c>
      <c r="B23" s="72"/>
      <c r="C23" s="72"/>
      <c r="D23" s="57"/>
      <c r="E23" s="58"/>
      <c r="F23" s="57"/>
      <c r="G23" s="58"/>
      <c r="H23" s="58"/>
      <c r="I23" s="58"/>
      <c r="J23" s="58"/>
      <c r="K23" s="58"/>
      <c r="L23" s="58"/>
      <c r="M23" s="58"/>
      <c r="N23" s="58"/>
      <c r="O23" s="80"/>
      <c r="P23" s="58"/>
      <c r="Q23" s="80"/>
      <c r="R23" s="63"/>
      <c r="S23" s="64" t="str">
        <f t="shared" si="2"/>
        <v/>
      </c>
      <c r="T23" s="76"/>
      <c r="U23" s="76"/>
      <c r="V23" s="76"/>
      <c r="W23" s="76"/>
      <c r="X23" s="75"/>
      <c r="Y23" s="68"/>
      <c r="Z23" s="68"/>
      <c r="AA23" s="76"/>
      <c r="AB23" s="76"/>
      <c r="AC23" s="69"/>
      <c r="AD23" s="69"/>
      <c r="AE23" s="70"/>
      <c r="AF23" s="71"/>
      <c r="AG23" s="69"/>
      <c r="AH23" s="69"/>
      <c r="AI23" s="81" t="str">
        <f t="shared" si="3"/>
        <v/>
      </c>
    </row>
    <row r="24">
      <c r="A24" s="56" t="str">
        <f t="shared" si="1"/>
        <v/>
      </c>
      <c r="B24" s="72"/>
      <c r="C24" s="72"/>
      <c r="D24" s="57"/>
      <c r="E24" s="58"/>
      <c r="F24" s="57"/>
      <c r="G24" s="58"/>
      <c r="H24" s="58"/>
      <c r="I24" s="58"/>
      <c r="J24" s="58"/>
      <c r="K24" s="58"/>
      <c r="L24" s="58"/>
      <c r="M24" s="58"/>
      <c r="N24" s="58"/>
      <c r="O24" s="80"/>
      <c r="P24" s="58"/>
      <c r="Q24" s="80"/>
      <c r="R24" s="63"/>
      <c r="S24" s="64" t="str">
        <f t="shared" si="2"/>
        <v/>
      </c>
      <c r="T24" s="76"/>
      <c r="U24" s="76"/>
      <c r="V24" s="76"/>
      <c r="W24" s="76"/>
      <c r="X24" s="75"/>
      <c r="Y24" s="68"/>
      <c r="Z24" s="68"/>
      <c r="AA24" s="76"/>
      <c r="AB24" s="76"/>
      <c r="AC24" s="69"/>
      <c r="AD24" s="69"/>
      <c r="AE24" s="70"/>
      <c r="AF24" s="71"/>
      <c r="AG24" s="69"/>
      <c r="AH24" s="69"/>
      <c r="AI24" s="81" t="str">
        <f t="shared" si="3"/>
        <v/>
      </c>
    </row>
    <row r="25">
      <c r="A25" s="56" t="str">
        <f t="shared" si="1"/>
        <v/>
      </c>
      <c r="B25" s="72"/>
      <c r="C25" s="72"/>
      <c r="D25" s="57"/>
      <c r="E25" s="58"/>
      <c r="F25" s="57"/>
      <c r="G25" s="58"/>
      <c r="H25" s="58"/>
      <c r="I25" s="58"/>
      <c r="J25" s="58"/>
      <c r="K25" s="58"/>
      <c r="L25" s="58"/>
      <c r="M25" s="58"/>
      <c r="N25" s="58"/>
      <c r="O25" s="80"/>
      <c r="P25" s="58"/>
      <c r="Q25" s="80"/>
      <c r="R25" s="63"/>
      <c r="S25" s="64" t="str">
        <f t="shared" si="2"/>
        <v/>
      </c>
      <c r="T25" s="76"/>
      <c r="U25" s="76"/>
      <c r="V25" s="76"/>
      <c r="W25" s="76"/>
      <c r="X25" s="75"/>
      <c r="Y25" s="68"/>
      <c r="Z25" s="68"/>
      <c r="AA25" s="76"/>
      <c r="AB25" s="76"/>
      <c r="AC25" s="69"/>
      <c r="AD25" s="69"/>
      <c r="AE25" s="70"/>
      <c r="AF25" s="71"/>
      <c r="AG25" s="69"/>
      <c r="AH25" s="69"/>
      <c r="AI25" s="81" t="str">
        <f t="shared" si="3"/>
        <v/>
      </c>
    </row>
    <row r="26">
      <c r="A26" s="56" t="str">
        <f t="shared" si="1"/>
        <v/>
      </c>
      <c r="B26" s="72"/>
      <c r="C26" s="72"/>
      <c r="D26" s="57"/>
      <c r="E26" s="58"/>
      <c r="F26" s="57"/>
      <c r="G26" s="58"/>
      <c r="H26" s="58"/>
      <c r="I26" s="58"/>
      <c r="J26" s="58"/>
      <c r="K26" s="58"/>
      <c r="L26" s="58"/>
      <c r="M26" s="58"/>
      <c r="N26" s="58"/>
      <c r="O26" s="80"/>
      <c r="P26" s="58"/>
      <c r="Q26" s="80"/>
      <c r="R26" s="63"/>
      <c r="S26" s="64" t="str">
        <f t="shared" si="2"/>
        <v/>
      </c>
      <c r="T26" s="76"/>
      <c r="U26" s="76"/>
      <c r="V26" s="76"/>
      <c r="W26" s="76"/>
      <c r="X26" s="75"/>
      <c r="Y26" s="68"/>
      <c r="Z26" s="68"/>
      <c r="AA26" s="76"/>
      <c r="AB26" s="76"/>
      <c r="AC26" s="69"/>
      <c r="AD26" s="69"/>
      <c r="AE26" s="70"/>
      <c r="AF26" s="71"/>
      <c r="AG26" s="69"/>
      <c r="AH26" s="69"/>
      <c r="AI26" s="81" t="str">
        <f t="shared" si="3"/>
        <v/>
      </c>
    </row>
    <row r="27">
      <c r="A27" s="56" t="str">
        <f t="shared" si="1"/>
        <v/>
      </c>
      <c r="B27" s="72"/>
      <c r="C27" s="72"/>
      <c r="D27" s="57"/>
      <c r="E27" s="58"/>
      <c r="F27" s="57"/>
      <c r="G27" s="58"/>
      <c r="H27" s="58"/>
      <c r="I27" s="58"/>
      <c r="J27" s="58"/>
      <c r="K27" s="58"/>
      <c r="L27" s="58"/>
      <c r="M27" s="58"/>
      <c r="N27" s="58"/>
      <c r="O27" s="80"/>
      <c r="P27" s="58"/>
      <c r="Q27" s="80"/>
      <c r="R27" s="63"/>
      <c r="S27" s="64" t="str">
        <f t="shared" si="2"/>
        <v/>
      </c>
      <c r="T27" s="76"/>
      <c r="U27" s="76"/>
      <c r="V27" s="76"/>
      <c r="W27" s="76"/>
      <c r="X27" s="75"/>
      <c r="Y27" s="68"/>
      <c r="Z27" s="68"/>
      <c r="AA27" s="76"/>
      <c r="AB27" s="76"/>
      <c r="AC27" s="69"/>
      <c r="AD27" s="69"/>
      <c r="AE27" s="70"/>
      <c r="AF27" s="71"/>
      <c r="AG27" s="69"/>
      <c r="AH27" s="69"/>
      <c r="AI27" s="81" t="str">
        <f t="shared" si="3"/>
        <v/>
      </c>
    </row>
    <row r="28">
      <c r="A28" s="56" t="str">
        <f t="shared" si="1"/>
        <v/>
      </c>
      <c r="B28" s="72"/>
      <c r="C28" s="72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80"/>
      <c r="P28" s="58"/>
      <c r="Q28" s="80"/>
      <c r="R28" s="63"/>
      <c r="S28" s="64" t="str">
        <f t="shared" si="2"/>
        <v/>
      </c>
      <c r="T28" s="76"/>
      <c r="U28" s="76"/>
      <c r="V28" s="76"/>
      <c r="W28" s="76"/>
      <c r="X28" s="75"/>
      <c r="Y28" s="68"/>
      <c r="Z28" s="68"/>
      <c r="AA28" s="76"/>
      <c r="AB28" s="76"/>
      <c r="AC28" s="69"/>
      <c r="AD28" s="69"/>
      <c r="AE28" s="70"/>
      <c r="AF28" s="71"/>
      <c r="AG28" s="69"/>
      <c r="AH28" s="69"/>
      <c r="AI28" s="81" t="str">
        <f t="shared" si="3"/>
        <v/>
      </c>
    </row>
    <row r="29">
      <c r="A29" s="56" t="str">
        <f t="shared" si="1"/>
        <v/>
      </c>
      <c r="B29" s="72"/>
      <c r="C29" s="72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80"/>
      <c r="P29" s="58"/>
      <c r="Q29" s="80"/>
      <c r="R29" s="63"/>
      <c r="S29" s="64" t="str">
        <f t="shared" si="2"/>
        <v/>
      </c>
      <c r="T29" s="76"/>
      <c r="U29" s="76"/>
      <c r="V29" s="76"/>
      <c r="W29" s="76"/>
      <c r="X29" s="75"/>
      <c r="Y29" s="68"/>
      <c r="Z29" s="68"/>
      <c r="AA29" s="76"/>
      <c r="AB29" s="76"/>
      <c r="AC29" s="69"/>
      <c r="AD29" s="69"/>
      <c r="AE29" s="70"/>
      <c r="AF29" s="71"/>
      <c r="AG29" s="69"/>
      <c r="AH29" s="69"/>
      <c r="AI29" s="81" t="str">
        <f t="shared" si="3"/>
        <v/>
      </c>
    </row>
    <row r="30">
      <c r="A30" s="56" t="str">
        <f t="shared" si="1"/>
        <v/>
      </c>
      <c r="B30" s="72"/>
      <c r="C30" s="72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80"/>
      <c r="P30" s="58"/>
      <c r="Q30" s="80"/>
      <c r="R30" s="63"/>
      <c r="S30" s="64" t="str">
        <f t="shared" si="2"/>
        <v/>
      </c>
      <c r="T30" s="76"/>
      <c r="U30" s="76"/>
      <c r="V30" s="76"/>
      <c r="W30" s="76"/>
      <c r="X30" s="75"/>
      <c r="Y30" s="68"/>
      <c r="Z30" s="68"/>
      <c r="AA30" s="76"/>
      <c r="AB30" s="76"/>
      <c r="AC30" s="69"/>
      <c r="AD30" s="69"/>
      <c r="AE30" s="70"/>
      <c r="AF30" s="71"/>
      <c r="AG30" s="69"/>
      <c r="AH30" s="69"/>
      <c r="AI30" s="81" t="str">
        <f t="shared" si="3"/>
        <v/>
      </c>
    </row>
    <row r="31">
      <c r="A31" s="56" t="str">
        <f t="shared" si="1"/>
        <v/>
      </c>
      <c r="B31" s="72"/>
      <c r="C31" s="72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80"/>
      <c r="P31" s="58"/>
      <c r="Q31" s="80"/>
      <c r="R31" s="63" t="str">
        <f t="shared" ref="R31:R504" si="4">IF(D31 = "","", today())</f>
        <v/>
      </c>
      <c r="S31" s="64" t="str">
        <f t="shared" si="2"/>
        <v/>
      </c>
      <c r="T31" s="76"/>
      <c r="U31" s="76"/>
      <c r="V31" s="76"/>
      <c r="W31" s="76"/>
      <c r="X31" s="75"/>
      <c r="Y31" s="68"/>
      <c r="Z31" s="68"/>
      <c r="AA31" s="76"/>
      <c r="AB31" s="76"/>
      <c r="AC31" s="69" t="str">
        <f t="shared" ref="AC31:AC499" si="5">IF(J31&gt;0,"False","")</f>
        <v/>
      </c>
      <c r="AD31" s="69" t="str">
        <f t="shared" ref="AD31:AD499" si="6">IF(J31=0,"",H31&amp;" "&amp;W31&amp;" "&amp;X31)</f>
        <v/>
      </c>
      <c r="AE31" s="70" t="str">
        <f t="shared" ref="AE31:AE499" si="7">if(J31=0,"",R31)</f>
        <v/>
      </c>
      <c r="AF31" s="71" t="str">
        <f t="shared" ref="AF31:AF499" si="8">if(J31=0,"",S31)</f>
        <v/>
      </c>
      <c r="AG31" s="69" t="str">
        <f t="shared" ref="AG31:AG499" si="9">IF(J31=0,"","False")</f>
        <v/>
      </c>
      <c r="AH31" s="69" t="str">
        <f t="shared" ref="AH31:AH499" si="10">if(J31&gt;0,J31,"")</f>
        <v/>
      </c>
      <c r="AI31" s="81" t="str">
        <f t="shared" si="3"/>
        <v/>
      </c>
    </row>
    <row r="32">
      <c r="A32" s="56" t="str">
        <f t="shared" si="1"/>
        <v/>
      </c>
      <c r="B32" s="72"/>
      <c r="C32" s="72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80"/>
      <c r="P32" s="58"/>
      <c r="Q32" s="80"/>
      <c r="R32" s="63" t="str">
        <f t="shared" si="4"/>
        <v/>
      </c>
      <c r="S32" s="64" t="str">
        <f t="shared" si="2"/>
        <v/>
      </c>
      <c r="T32" s="76"/>
      <c r="U32" s="76"/>
      <c r="V32" s="76"/>
      <c r="W32" s="76"/>
      <c r="X32" s="75"/>
      <c r="Y32" s="68"/>
      <c r="Z32" s="68"/>
      <c r="AA32" s="76"/>
      <c r="AB32" s="76"/>
      <c r="AC32" s="69" t="str">
        <f t="shared" si="5"/>
        <v/>
      </c>
      <c r="AD32" s="69" t="str">
        <f t="shared" si="6"/>
        <v/>
      </c>
      <c r="AE32" s="70" t="str">
        <f t="shared" si="7"/>
        <v/>
      </c>
      <c r="AF32" s="71" t="str">
        <f t="shared" si="8"/>
        <v/>
      </c>
      <c r="AG32" s="69" t="str">
        <f t="shared" si="9"/>
        <v/>
      </c>
      <c r="AH32" s="69" t="str">
        <f t="shared" si="10"/>
        <v/>
      </c>
      <c r="AI32" s="81" t="str">
        <f t="shared" si="3"/>
        <v/>
      </c>
    </row>
    <row r="33">
      <c r="A33" s="56" t="str">
        <f t="shared" si="1"/>
        <v/>
      </c>
      <c r="B33" s="72"/>
      <c r="C33" s="72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80"/>
      <c r="P33" s="58"/>
      <c r="Q33" s="80"/>
      <c r="R33" s="63" t="str">
        <f t="shared" si="4"/>
        <v/>
      </c>
      <c r="S33" s="64" t="str">
        <f t="shared" si="2"/>
        <v/>
      </c>
      <c r="T33" s="76"/>
      <c r="U33" s="76"/>
      <c r="V33" s="76"/>
      <c r="W33" s="76"/>
      <c r="X33" s="75"/>
      <c r="Y33" s="68"/>
      <c r="Z33" s="68"/>
      <c r="AA33" s="76"/>
      <c r="AB33" s="76"/>
      <c r="AC33" s="69" t="str">
        <f t="shared" si="5"/>
        <v/>
      </c>
      <c r="AD33" s="69" t="str">
        <f t="shared" si="6"/>
        <v/>
      </c>
      <c r="AE33" s="70" t="str">
        <f t="shared" si="7"/>
        <v/>
      </c>
      <c r="AF33" s="71" t="str">
        <f t="shared" si="8"/>
        <v/>
      </c>
      <c r="AG33" s="69" t="str">
        <f t="shared" si="9"/>
        <v/>
      </c>
      <c r="AH33" s="69" t="str">
        <f t="shared" si="10"/>
        <v/>
      </c>
      <c r="AI33" s="81" t="str">
        <f t="shared" si="3"/>
        <v/>
      </c>
    </row>
    <row r="34">
      <c r="A34" s="56" t="str">
        <f t="shared" si="1"/>
        <v/>
      </c>
      <c r="B34" s="72"/>
      <c r="C34" s="72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80"/>
      <c r="P34" s="58"/>
      <c r="Q34" s="80"/>
      <c r="R34" s="63" t="str">
        <f t="shared" si="4"/>
        <v/>
      </c>
      <c r="S34" s="64" t="str">
        <f t="shared" si="2"/>
        <v/>
      </c>
      <c r="T34" s="76"/>
      <c r="U34" s="76"/>
      <c r="V34" s="76"/>
      <c r="W34" s="76"/>
      <c r="X34" s="75"/>
      <c r="Y34" s="68"/>
      <c r="Z34" s="68"/>
      <c r="AA34" s="76"/>
      <c r="AB34" s="76"/>
      <c r="AC34" s="69" t="str">
        <f t="shared" si="5"/>
        <v/>
      </c>
      <c r="AD34" s="69" t="str">
        <f t="shared" si="6"/>
        <v/>
      </c>
      <c r="AE34" s="70" t="str">
        <f t="shared" si="7"/>
        <v/>
      </c>
      <c r="AF34" s="71" t="str">
        <f t="shared" si="8"/>
        <v/>
      </c>
      <c r="AG34" s="69" t="str">
        <f t="shared" si="9"/>
        <v/>
      </c>
      <c r="AH34" s="69" t="str">
        <f t="shared" si="10"/>
        <v/>
      </c>
      <c r="AI34" s="81" t="str">
        <f t="shared" si="3"/>
        <v/>
      </c>
    </row>
    <row r="35">
      <c r="A35" s="56" t="str">
        <f t="shared" si="1"/>
        <v/>
      </c>
      <c r="B35" s="72"/>
      <c r="C35" s="72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80"/>
      <c r="P35" s="58"/>
      <c r="Q35" s="80"/>
      <c r="R35" s="63" t="str">
        <f t="shared" si="4"/>
        <v/>
      </c>
      <c r="S35" s="64" t="str">
        <f t="shared" si="2"/>
        <v/>
      </c>
      <c r="T35" s="76"/>
      <c r="U35" s="76"/>
      <c r="V35" s="76"/>
      <c r="W35" s="76"/>
      <c r="X35" s="75"/>
      <c r="Y35" s="68"/>
      <c r="Z35" s="68"/>
      <c r="AA35" s="76"/>
      <c r="AB35" s="76"/>
      <c r="AC35" s="69" t="str">
        <f t="shared" si="5"/>
        <v/>
      </c>
      <c r="AD35" s="69" t="str">
        <f t="shared" si="6"/>
        <v/>
      </c>
      <c r="AE35" s="70" t="str">
        <f t="shared" si="7"/>
        <v/>
      </c>
      <c r="AF35" s="71" t="str">
        <f t="shared" si="8"/>
        <v/>
      </c>
      <c r="AG35" s="69" t="str">
        <f t="shared" si="9"/>
        <v/>
      </c>
      <c r="AH35" s="69" t="str">
        <f t="shared" si="10"/>
        <v/>
      </c>
      <c r="AI35" s="81" t="str">
        <f t="shared" si="3"/>
        <v/>
      </c>
    </row>
    <row r="36">
      <c r="A36" s="56" t="str">
        <f t="shared" si="1"/>
        <v/>
      </c>
      <c r="B36" s="72"/>
      <c r="C36" s="72"/>
      <c r="D36" s="82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80"/>
      <c r="P36" s="58"/>
      <c r="Q36" s="80"/>
      <c r="R36" s="63" t="str">
        <f t="shared" si="4"/>
        <v/>
      </c>
      <c r="S36" s="64" t="str">
        <f t="shared" si="2"/>
        <v/>
      </c>
      <c r="T36" s="76"/>
      <c r="U36" s="76"/>
      <c r="V36" s="76"/>
      <c r="W36" s="76"/>
      <c r="X36" s="75"/>
      <c r="Y36" s="68"/>
      <c r="Z36" s="68"/>
      <c r="AA36" s="76"/>
      <c r="AB36" s="76"/>
      <c r="AC36" s="69" t="str">
        <f t="shared" si="5"/>
        <v/>
      </c>
      <c r="AD36" s="69" t="str">
        <f t="shared" si="6"/>
        <v/>
      </c>
      <c r="AE36" s="70" t="str">
        <f t="shared" si="7"/>
        <v/>
      </c>
      <c r="AF36" s="71" t="str">
        <f t="shared" si="8"/>
        <v/>
      </c>
      <c r="AG36" s="69" t="str">
        <f t="shared" si="9"/>
        <v/>
      </c>
      <c r="AH36" s="69" t="str">
        <f t="shared" si="10"/>
        <v/>
      </c>
      <c r="AI36" s="81" t="str">
        <f t="shared" si="3"/>
        <v/>
      </c>
    </row>
    <row r="37">
      <c r="A37" s="56" t="str">
        <f t="shared" si="1"/>
        <v/>
      </c>
      <c r="B37" s="72"/>
      <c r="C37" s="72"/>
      <c r="D37" s="58"/>
      <c r="E37" s="58"/>
      <c r="F37" s="58"/>
      <c r="G37" s="58"/>
      <c r="H37" s="58"/>
      <c r="I37" s="58"/>
      <c r="J37" s="58"/>
      <c r="K37" s="58"/>
      <c r="L37" s="58"/>
      <c r="M37" s="72"/>
      <c r="N37" s="58"/>
      <c r="O37" s="80"/>
      <c r="P37" s="72"/>
      <c r="Q37" s="80"/>
      <c r="R37" s="63" t="str">
        <f t="shared" si="4"/>
        <v/>
      </c>
      <c r="S37" s="64" t="str">
        <f t="shared" si="2"/>
        <v/>
      </c>
      <c r="T37" s="76"/>
      <c r="U37" s="76"/>
      <c r="V37" s="76"/>
      <c r="W37" s="76"/>
      <c r="X37" s="75"/>
      <c r="Y37" s="68"/>
      <c r="Z37" s="68"/>
      <c r="AA37" s="76"/>
      <c r="AB37" s="76"/>
      <c r="AC37" s="69" t="str">
        <f t="shared" si="5"/>
        <v/>
      </c>
      <c r="AD37" s="69" t="str">
        <f t="shared" si="6"/>
        <v/>
      </c>
      <c r="AE37" s="70" t="str">
        <f t="shared" si="7"/>
        <v/>
      </c>
      <c r="AF37" s="71" t="str">
        <f t="shared" si="8"/>
        <v/>
      </c>
      <c r="AG37" s="69" t="str">
        <f t="shared" si="9"/>
        <v/>
      </c>
      <c r="AH37" s="69" t="str">
        <f t="shared" si="10"/>
        <v/>
      </c>
      <c r="AI37" s="81" t="str">
        <f t="shared" si="3"/>
        <v/>
      </c>
    </row>
    <row r="38">
      <c r="A38" s="56" t="str">
        <f t="shared" si="1"/>
        <v/>
      </c>
      <c r="B38" s="72"/>
      <c r="C38" s="72"/>
      <c r="D38" s="58"/>
      <c r="E38" s="58"/>
      <c r="F38" s="58"/>
      <c r="G38" s="58"/>
      <c r="H38" s="58"/>
      <c r="I38" s="58"/>
      <c r="J38" s="58"/>
      <c r="K38" s="58"/>
      <c r="L38" s="58"/>
      <c r="M38" s="72"/>
      <c r="N38" s="58"/>
      <c r="O38" s="80"/>
      <c r="P38" s="72"/>
      <c r="Q38" s="80"/>
      <c r="R38" s="63" t="str">
        <f t="shared" si="4"/>
        <v/>
      </c>
      <c r="S38" s="64" t="str">
        <f t="shared" si="2"/>
        <v/>
      </c>
      <c r="T38" s="76"/>
      <c r="U38" s="76"/>
      <c r="V38" s="76"/>
      <c r="W38" s="76"/>
      <c r="X38" s="75"/>
      <c r="Y38" s="68"/>
      <c r="Z38" s="68"/>
      <c r="AA38" s="76"/>
      <c r="AB38" s="76"/>
      <c r="AC38" s="69" t="str">
        <f t="shared" si="5"/>
        <v/>
      </c>
      <c r="AD38" s="69" t="str">
        <f t="shared" si="6"/>
        <v/>
      </c>
      <c r="AE38" s="70" t="str">
        <f t="shared" si="7"/>
        <v/>
      </c>
      <c r="AF38" s="71" t="str">
        <f t="shared" si="8"/>
        <v/>
      </c>
      <c r="AG38" s="69" t="str">
        <f t="shared" si="9"/>
        <v/>
      </c>
      <c r="AH38" s="69" t="str">
        <f t="shared" si="10"/>
        <v/>
      </c>
      <c r="AI38" s="81" t="str">
        <f t="shared" si="3"/>
        <v/>
      </c>
    </row>
    <row r="39">
      <c r="A39" s="56" t="str">
        <f t="shared" si="1"/>
        <v/>
      </c>
      <c r="B39" s="72"/>
      <c r="C39" s="72"/>
      <c r="D39" s="58"/>
      <c r="E39" s="58"/>
      <c r="F39" s="58"/>
      <c r="G39" s="58"/>
      <c r="H39" s="58"/>
      <c r="I39" s="58"/>
      <c r="J39" s="58"/>
      <c r="K39" s="58"/>
      <c r="L39" s="58"/>
      <c r="M39" s="72"/>
      <c r="N39" s="58"/>
      <c r="O39" s="80"/>
      <c r="P39" s="72"/>
      <c r="Q39" s="80"/>
      <c r="R39" s="63" t="str">
        <f t="shared" si="4"/>
        <v/>
      </c>
      <c r="S39" s="64" t="str">
        <f t="shared" si="2"/>
        <v/>
      </c>
      <c r="T39" s="76"/>
      <c r="U39" s="76"/>
      <c r="V39" s="76"/>
      <c r="W39" s="76"/>
      <c r="X39" s="75"/>
      <c r="Y39" s="68"/>
      <c r="Z39" s="68"/>
      <c r="AA39" s="76"/>
      <c r="AB39" s="76"/>
      <c r="AC39" s="69" t="str">
        <f t="shared" si="5"/>
        <v/>
      </c>
      <c r="AD39" s="69" t="str">
        <f t="shared" si="6"/>
        <v/>
      </c>
      <c r="AE39" s="70" t="str">
        <f t="shared" si="7"/>
        <v/>
      </c>
      <c r="AF39" s="71" t="str">
        <f t="shared" si="8"/>
        <v/>
      </c>
      <c r="AG39" s="69" t="str">
        <f t="shared" si="9"/>
        <v/>
      </c>
      <c r="AH39" s="69" t="str">
        <f t="shared" si="10"/>
        <v/>
      </c>
      <c r="AI39" s="81" t="str">
        <f t="shared" si="3"/>
        <v/>
      </c>
    </row>
    <row r="40">
      <c r="A40" s="56" t="str">
        <f t="shared" si="1"/>
        <v/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72"/>
      <c r="M40" s="72"/>
      <c r="N40" s="58"/>
      <c r="O40" s="80"/>
      <c r="P40" s="72"/>
      <c r="Q40" s="80"/>
      <c r="R40" s="63" t="str">
        <f t="shared" si="4"/>
        <v/>
      </c>
      <c r="S40" s="64" t="str">
        <f t="shared" si="2"/>
        <v/>
      </c>
      <c r="T40" s="76"/>
      <c r="U40" s="76"/>
      <c r="V40" s="76"/>
      <c r="W40" s="76"/>
      <c r="X40" s="75"/>
      <c r="Y40" s="68"/>
      <c r="Z40" s="68"/>
      <c r="AA40" s="76"/>
      <c r="AB40" s="76"/>
      <c r="AC40" s="69" t="str">
        <f t="shared" si="5"/>
        <v/>
      </c>
      <c r="AD40" s="69" t="str">
        <f t="shared" si="6"/>
        <v/>
      </c>
      <c r="AE40" s="70" t="str">
        <f t="shared" si="7"/>
        <v/>
      </c>
      <c r="AF40" s="71" t="str">
        <f t="shared" si="8"/>
        <v/>
      </c>
      <c r="AG40" s="69" t="str">
        <f t="shared" si="9"/>
        <v/>
      </c>
      <c r="AH40" s="69" t="str">
        <f t="shared" si="10"/>
        <v/>
      </c>
      <c r="AI40" s="81" t="str">
        <f t="shared" si="3"/>
        <v/>
      </c>
    </row>
    <row r="41">
      <c r="A41" s="56" t="str">
        <f t="shared" si="1"/>
        <v/>
      </c>
      <c r="B41" s="72"/>
      <c r="C41" s="72"/>
      <c r="D41" s="58"/>
      <c r="E41" s="58"/>
      <c r="F41" s="58"/>
      <c r="G41" s="58"/>
      <c r="H41" s="58"/>
      <c r="I41" s="58"/>
      <c r="J41" s="58"/>
      <c r="K41" s="58"/>
      <c r="L41" s="72"/>
      <c r="M41" s="72"/>
      <c r="N41" s="58"/>
      <c r="O41" s="80"/>
      <c r="P41" s="72"/>
      <c r="Q41" s="80"/>
      <c r="R41" s="63" t="str">
        <f t="shared" si="4"/>
        <v/>
      </c>
      <c r="S41" s="64" t="str">
        <f t="shared" si="2"/>
        <v/>
      </c>
      <c r="T41" s="76"/>
      <c r="U41" s="76"/>
      <c r="V41" s="76"/>
      <c r="W41" s="76"/>
      <c r="X41" s="75"/>
      <c r="Y41" s="68"/>
      <c r="Z41" s="68"/>
      <c r="AA41" s="76"/>
      <c r="AB41" s="76"/>
      <c r="AC41" s="69" t="str">
        <f t="shared" si="5"/>
        <v/>
      </c>
      <c r="AD41" s="69" t="str">
        <f t="shared" si="6"/>
        <v/>
      </c>
      <c r="AE41" s="70" t="str">
        <f t="shared" si="7"/>
        <v/>
      </c>
      <c r="AF41" s="71" t="str">
        <f t="shared" si="8"/>
        <v/>
      </c>
      <c r="AG41" s="69" t="str">
        <f t="shared" si="9"/>
        <v/>
      </c>
      <c r="AH41" s="69" t="str">
        <f t="shared" si="10"/>
        <v/>
      </c>
      <c r="AI41" s="81" t="str">
        <f t="shared" si="3"/>
        <v/>
      </c>
    </row>
    <row r="42">
      <c r="A42" s="56" t="str">
        <f t="shared" si="1"/>
        <v/>
      </c>
      <c r="B42" s="72"/>
      <c r="C42" s="72"/>
      <c r="D42" s="58"/>
      <c r="E42" s="58"/>
      <c r="F42" s="58"/>
      <c r="G42" s="58"/>
      <c r="H42" s="58"/>
      <c r="I42" s="58"/>
      <c r="J42" s="58"/>
      <c r="K42" s="72"/>
      <c r="L42" s="72"/>
      <c r="M42" s="72"/>
      <c r="N42" s="58"/>
      <c r="O42" s="80"/>
      <c r="P42" s="72"/>
      <c r="Q42" s="80"/>
      <c r="R42" s="63" t="str">
        <f t="shared" si="4"/>
        <v/>
      </c>
      <c r="S42" s="64" t="str">
        <f t="shared" si="2"/>
        <v/>
      </c>
      <c r="T42" s="76"/>
      <c r="U42" s="76"/>
      <c r="V42" s="76"/>
      <c r="W42" s="76"/>
      <c r="X42" s="75"/>
      <c r="Y42" s="68"/>
      <c r="Z42" s="68"/>
      <c r="AA42" s="76"/>
      <c r="AB42" s="76"/>
      <c r="AC42" s="69" t="str">
        <f t="shared" si="5"/>
        <v/>
      </c>
      <c r="AD42" s="69" t="str">
        <f t="shared" si="6"/>
        <v/>
      </c>
      <c r="AE42" s="70" t="str">
        <f t="shared" si="7"/>
        <v/>
      </c>
      <c r="AF42" s="71" t="str">
        <f t="shared" si="8"/>
        <v/>
      </c>
      <c r="AG42" s="69" t="str">
        <f t="shared" si="9"/>
        <v/>
      </c>
      <c r="AH42" s="69" t="str">
        <f t="shared" si="10"/>
        <v/>
      </c>
      <c r="AI42" s="81" t="str">
        <f t="shared" si="3"/>
        <v/>
      </c>
    </row>
    <row r="43">
      <c r="A43" s="56" t="str">
        <f t="shared" si="1"/>
        <v/>
      </c>
      <c r="B43" s="72"/>
      <c r="C43" s="72"/>
      <c r="D43" s="58"/>
      <c r="E43" s="58"/>
      <c r="F43" s="58"/>
      <c r="G43" s="58"/>
      <c r="H43" s="58"/>
      <c r="I43" s="58"/>
      <c r="J43" s="58"/>
      <c r="K43" s="58"/>
      <c r="L43" s="72"/>
      <c r="M43" s="72"/>
      <c r="N43" s="58"/>
      <c r="O43" s="80"/>
      <c r="P43" s="72"/>
      <c r="Q43" s="80"/>
      <c r="R43" s="63" t="str">
        <f t="shared" si="4"/>
        <v/>
      </c>
      <c r="S43" s="64" t="str">
        <f t="shared" si="2"/>
        <v/>
      </c>
      <c r="T43" s="76"/>
      <c r="U43" s="76"/>
      <c r="V43" s="76"/>
      <c r="W43" s="76"/>
      <c r="X43" s="75"/>
      <c r="Y43" s="68"/>
      <c r="Z43" s="68"/>
      <c r="AA43" s="76"/>
      <c r="AB43" s="76"/>
      <c r="AC43" s="69" t="str">
        <f t="shared" si="5"/>
        <v/>
      </c>
      <c r="AD43" s="69" t="str">
        <f t="shared" si="6"/>
        <v/>
      </c>
      <c r="AE43" s="70" t="str">
        <f t="shared" si="7"/>
        <v/>
      </c>
      <c r="AF43" s="71" t="str">
        <f t="shared" si="8"/>
        <v/>
      </c>
      <c r="AG43" s="69" t="str">
        <f t="shared" si="9"/>
        <v/>
      </c>
      <c r="AH43" s="69" t="str">
        <f t="shared" si="10"/>
        <v/>
      </c>
      <c r="AI43" s="81" t="str">
        <f t="shared" si="3"/>
        <v/>
      </c>
    </row>
    <row r="44">
      <c r="A44" s="56" t="str">
        <f t="shared" si="1"/>
        <v/>
      </c>
      <c r="B44" s="72"/>
      <c r="C44" s="72"/>
      <c r="D44" s="58"/>
      <c r="E44" s="58"/>
      <c r="F44" s="58"/>
      <c r="G44" s="58"/>
      <c r="H44" s="58"/>
      <c r="I44" s="58"/>
      <c r="J44" s="58"/>
      <c r="K44" s="72"/>
      <c r="L44" s="72"/>
      <c r="M44" s="72"/>
      <c r="N44" s="58"/>
      <c r="O44" s="80"/>
      <c r="P44" s="72"/>
      <c r="Q44" s="80"/>
      <c r="R44" s="63" t="str">
        <f t="shared" si="4"/>
        <v/>
      </c>
      <c r="S44" s="64" t="str">
        <f t="shared" si="2"/>
        <v/>
      </c>
      <c r="T44" s="76"/>
      <c r="U44" s="76"/>
      <c r="V44" s="76"/>
      <c r="W44" s="76"/>
      <c r="X44" s="75"/>
      <c r="Y44" s="68"/>
      <c r="Z44" s="68"/>
      <c r="AA44" s="76"/>
      <c r="AB44" s="76"/>
      <c r="AC44" s="69" t="str">
        <f t="shared" si="5"/>
        <v/>
      </c>
      <c r="AD44" s="69" t="str">
        <f t="shared" si="6"/>
        <v/>
      </c>
      <c r="AE44" s="70" t="str">
        <f t="shared" si="7"/>
        <v/>
      </c>
      <c r="AF44" s="71" t="str">
        <f t="shared" si="8"/>
        <v/>
      </c>
      <c r="AG44" s="69" t="str">
        <f t="shared" si="9"/>
        <v/>
      </c>
      <c r="AH44" s="69" t="str">
        <f t="shared" si="10"/>
        <v/>
      </c>
      <c r="AI44" s="81" t="str">
        <f t="shared" si="3"/>
        <v/>
      </c>
    </row>
    <row r="45">
      <c r="A45" s="56" t="str">
        <f t="shared" si="1"/>
        <v/>
      </c>
      <c r="B45" s="72"/>
      <c r="C45" s="72"/>
      <c r="D45" s="58"/>
      <c r="E45" s="58"/>
      <c r="F45" s="58"/>
      <c r="G45" s="58"/>
      <c r="H45" s="58"/>
      <c r="I45" s="58"/>
      <c r="J45" s="58"/>
      <c r="K45" s="72"/>
      <c r="L45" s="72"/>
      <c r="M45" s="72"/>
      <c r="N45" s="58"/>
      <c r="O45" s="80"/>
      <c r="P45" s="72"/>
      <c r="Q45" s="80"/>
      <c r="R45" s="63" t="str">
        <f t="shared" si="4"/>
        <v/>
      </c>
      <c r="S45" s="64" t="str">
        <f t="shared" si="2"/>
        <v/>
      </c>
      <c r="T45" s="76"/>
      <c r="U45" s="76"/>
      <c r="V45" s="76"/>
      <c r="W45" s="76"/>
      <c r="X45" s="75"/>
      <c r="Y45" s="68"/>
      <c r="Z45" s="68"/>
      <c r="AA45" s="76"/>
      <c r="AB45" s="76"/>
      <c r="AC45" s="69" t="str">
        <f t="shared" si="5"/>
        <v/>
      </c>
      <c r="AD45" s="69" t="str">
        <f t="shared" si="6"/>
        <v/>
      </c>
      <c r="AE45" s="70" t="str">
        <f t="shared" si="7"/>
        <v/>
      </c>
      <c r="AF45" s="71" t="str">
        <f t="shared" si="8"/>
        <v/>
      </c>
      <c r="AG45" s="69" t="str">
        <f t="shared" si="9"/>
        <v/>
      </c>
      <c r="AH45" s="69" t="str">
        <f t="shared" si="10"/>
        <v/>
      </c>
      <c r="AI45" s="81" t="str">
        <f t="shared" si="3"/>
        <v/>
      </c>
    </row>
    <row r="46">
      <c r="A46" s="56" t="str">
        <f t="shared" si="1"/>
        <v/>
      </c>
      <c r="B46" s="72"/>
      <c r="C46" s="72"/>
      <c r="D46" s="58"/>
      <c r="E46" s="58"/>
      <c r="F46" s="58"/>
      <c r="G46" s="58"/>
      <c r="H46" s="58"/>
      <c r="I46" s="58"/>
      <c r="J46" s="58"/>
      <c r="K46" s="72"/>
      <c r="L46" s="72"/>
      <c r="M46" s="58"/>
      <c r="N46" s="58"/>
      <c r="O46" s="80"/>
      <c r="P46" s="72"/>
      <c r="Q46" s="80"/>
      <c r="R46" s="63" t="str">
        <f t="shared" si="4"/>
        <v/>
      </c>
      <c r="S46" s="64" t="str">
        <f t="shared" si="2"/>
        <v/>
      </c>
      <c r="T46" s="76"/>
      <c r="U46" s="76"/>
      <c r="V46" s="76"/>
      <c r="W46" s="76"/>
      <c r="X46" s="75"/>
      <c r="Y46" s="68"/>
      <c r="Z46" s="68"/>
      <c r="AA46" s="76"/>
      <c r="AB46" s="76"/>
      <c r="AC46" s="69" t="str">
        <f t="shared" si="5"/>
        <v/>
      </c>
      <c r="AD46" s="69" t="str">
        <f t="shared" si="6"/>
        <v/>
      </c>
      <c r="AE46" s="70" t="str">
        <f t="shared" si="7"/>
        <v/>
      </c>
      <c r="AF46" s="71" t="str">
        <f t="shared" si="8"/>
        <v/>
      </c>
      <c r="AG46" s="69" t="str">
        <f t="shared" si="9"/>
        <v/>
      </c>
      <c r="AH46" s="69" t="str">
        <f t="shared" si="10"/>
        <v/>
      </c>
      <c r="AI46" s="81" t="str">
        <f t="shared" si="3"/>
        <v/>
      </c>
    </row>
    <row r="47">
      <c r="A47" s="56" t="str">
        <f t="shared" si="1"/>
        <v/>
      </c>
      <c r="B47" s="72"/>
      <c r="C47" s="72"/>
      <c r="D47" s="58"/>
      <c r="E47" s="58"/>
      <c r="F47" s="58"/>
      <c r="G47" s="58"/>
      <c r="H47" s="58"/>
      <c r="I47" s="58"/>
      <c r="J47" s="58"/>
      <c r="K47" s="58"/>
      <c r="L47" s="72"/>
      <c r="M47" s="72"/>
      <c r="N47" s="58"/>
      <c r="O47" s="80"/>
      <c r="P47" s="72"/>
      <c r="Q47" s="80"/>
      <c r="R47" s="63" t="str">
        <f t="shared" si="4"/>
        <v/>
      </c>
      <c r="S47" s="64" t="str">
        <f t="shared" si="2"/>
        <v/>
      </c>
      <c r="T47" s="76"/>
      <c r="U47" s="76"/>
      <c r="V47" s="76"/>
      <c r="W47" s="76"/>
      <c r="X47" s="75"/>
      <c r="Y47" s="68"/>
      <c r="Z47" s="68"/>
      <c r="AA47" s="76"/>
      <c r="AB47" s="76"/>
      <c r="AC47" s="69" t="str">
        <f t="shared" si="5"/>
        <v/>
      </c>
      <c r="AD47" s="69" t="str">
        <f t="shared" si="6"/>
        <v/>
      </c>
      <c r="AE47" s="70" t="str">
        <f t="shared" si="7"/>
        <v/>
      </c>
      <c r="AF47" s="71" t="str">
        <f t="shared" si="8"/>
        <v/>
      </c>
      <c r="AG47" s="69" t="str">
        <f t="shared" si="9"/>
        <v/>
      </c>
      <c r="AH47" s="69" t="str">
        <f t="shared" si="10"/>
        <v/>
      </c>
      <c r="AI47" s="81" t="str">
        <f t="shared" si="3"/>
        <v/>
      </c>
    </row>
    <row r="48">
      <c r="A48" s="56" t="str">
        <f t="shared" si="1"/>
        <v/>
      </c>
      <c r="B48" s="83"/>
      <c r="C48" s="83"/>
      <c r="D48" s="57"/>
      <c r="E48" s="57"/>
      <c r="F48" s="57"/>
      <c r="G48" s="57"/>
      <c r="H48" s="57"/>
      <c r="I48" s="57"/>
      <c r="J48" s="57"/>
      <c r="K48" s="83"/>
      <c r="L48" s="83"/>
      <c r="M48" s="58"/>
      <c r="N48" s="57"/>
      <c r="O48" s="80"/>
      <c r="P48" s="72"/>
      <c r="Q48" s="80"/>
      <c r="R48" s="63" t="str">
        <f t="shared" si="4"/>
        <v/>
      </c>
      <c r="S48" s="64" t="str">
        <f t="shared" si="2"/>
        <v/>
      </c>
      <c r="T48" s="76"/>
      <c r="U48" s="76"/>
      <c r="V48" s="76"/>
      <c r="W48" s="76"/>
      <c r="X48" s="75"/>
      <c r="Y48" s="68"/>
      <c r="Z48" s="68"/>
      <c r="AA48" s="76"/>
      <c r="AB48" s="76"/>
      <c r="AC48" s="69" t="str">
        <f t="shared" si="5"/>
        <v/>
      </c>
      <c r="AD48" s="69" t="str">
        <f t="shared" si="6"/>
        <v/>
      </c>
      <c r="AE48" s="70" t="str">
        <f t="shared" si="7"/>
        <v/>
      </c>
      <c r="AF48" s="71" t="str">
        <f t="shared" si="8"/>
        <v/>
      </c>
      <c r="AG48" s="69" t="str">
        <f t="shared" si="9"/>
        <v/>
      </c>
      <c r="AH48" s="69" t="str">
        <f t="shared" si="10"/>
        <v/>
      </c>
      <c r="AI48" s="69" t="str">
        <f t="shared" si="3"/>
        <v/>
      </c>
    </row>
    <row r="49">
      <c r="A49" s="56" t="str">
        <f t="shared" si="1"/>
        <v/>
      </c>
      <c r="B49" s="83"/>
      <c r="C49" s="83"/>
      <c r="D49" s="57"/>
      <c r="E49" s="57"/>
      <c r="F49" s="57"/>
      <c r="G49" s="57"/>
      <c r="H49" s="57"/>
      <c r="I49" s="57"/>
      <c r="J49" s="57"/>
      <c r="K49" s="57"/>
      <c r="L49" s="83"/>
      <c r="M49" s="83"/>
      <c r="N49" s="57"/>
      <c r="O49" s="80"/>
      <c r="P49" s="83"/>
      <c r="Q49" s="84"/>
      <c r="R49" s="63" t="str">
        <f t="shared" si="4"/>
        <v/>
      </c>
      <c r="S49" s="64" t="str">
        <f t="shared" si="2"/>
        <v/>
      </c>
      <c r="T49" s="76"/>
      <c r="U49" s="76"/>
      <c r="V49" s="76"/>
      <c r="W49" s="76"/>
      <c r="X49" s="75"/>
      <c r="Y49" s="68"/>
      <c r="Z49" s="68"/>
      <c r="AA49" s="76"/>
      <c r="AB49" s="76"/>
      <c r="AC49" s="69" t="str">
        <f t="shared" si="5"/>
        <v/>
      </c>
      <c r="AD49" s="69" t="str">
        <f t="shared" si="6"/>
        <v/>
      </c>
      <c r="AE49" s="70" t="str">
        <f t="shared" si="7"/>
        <v/>
      </c>
      <c r="AF49" s="71" t="str">
        <f t="shared" si="8"/>
        <v/>
      </c>
      <c r="AG49" s="69" t="str">
        <f t="shared" si="9"/>
        <v/>
      </c>
      <c r="AH49" s="69" t="str">
        <f t="shared" si="10"/>
        <v/>
      </c>
      <c r="AI49" s="69" t="str">
        <f t="shared" si="3"/>
        <v/>
      </c>
    </row>
    <row r="50">
      <c r="A50" s="56" t="str">
        <f t="shared" si="1"/>
        <v/>
      </c>
      <c r="B50" s="83"/>
      <c r="C50" s="83"/>
      <c r="D50" s="57"/>
      <c r="E50" s="57"/>
      <c r="F50" s="57"/>
      <c r="G50" s="57"/>
      <c r="H50" s="57"/>
      <c r="I50" s="57"/>
      <c r="J50" s="57"/>
      <c r="K50" s="83"/>
      <c r="L50" s="83"/>
      <c r="M50" s="57"/>
      <c r="N50" s="57"/>
      <c r="O50" s="80"/>
      <c r="P50" s="83"/>
      <c r="Q50" s="84"/>
      <c r="R50" s="63" t="str">
        <f t="shared" si="4"/>
        <v/>
      </c>
      <c r="S50" s="64" t="str">
        <f t="shared" si="2"/>
        <v/>
      </c>
      <c r="T50" s="76"/>
      <c r="U50" s="76"/>
      <c r="V50" s="76"/>
      <c r="W50" s="76"/>
      <c r="X50" s="75"/>
      <c r="Y50" s="68"/>
      <c r="Z50" s="68"/>
      <c r="AA50" s="76"/>
      <c r="AB50" s="76"/>
      <c r="AC50" s="69" t="str">
        <f t="shared" si="5"/>
        <v/>
      </c>
      <c r="AD50" s="69" t="str">
        <f t="shared" si="6"/>
        <v/>
      </c>
      <c r="AE50" s="70" t="str">
        <f t="shared" si="7"/>
        <v/>
      </c>
      <c r="AF50" s="71" t="str">
        <f t="shared" si="8"/>
        <v/>
      </c>
      <c r="AG50" s="69" t="str">
        <f t="shared" si="9"/>
        <v/>
      </c>
      <c r="AH50" s="69" t="str">
        <f t="shared" si="10"/>
        <v/>
      </c>
      <c r="AI50" s="69" t="str">
        <f t="shared" si="3"/>
        <v/>
      </c>
    </row>
    <row r="51">
      <c r="A51" s="56" t="str">
        <f t="shared" si="1"/>
        <v/>
      </c>
      <c r="B51" s="83"/>
      <c r="C51" s="83"/>
      <c r="D51" s="57"/>
      <c r="E51" s="57"/>
      <c r="F51" s="57"/>
      <c r="G51" s="57"/>
      <c r="H51" s="57"/>
      <c r="I51" s="57"/>
      <c r="J51" s="57"/>
      <c r="K51" s="83"/>
      <c r="L51" s="83"/>
      <c r="M51" s="57"/>
      <c r="N51" s="57"/>
      <c r="O51" s="80"/>
      <c r="P51" s="83"/>
      <c r="Q51" s="84"/>
      <c r="R51" s="63" t="str">
        <f t="shared" si="4"/>
        <v/>
      </c>
      <c r="S51" s="64" t="str">
        <f t="shared" si="2"/>
        <v/>
      </c>
      <c r="T51" s="76"/>
      <c r="U51" s="76"/>
      <c r="V51" s="76"/>
      <c r="W51" s="76"/>
      <c r="X51" s="75"/>
      <c r="Y51" s="68"/>
      <c r="Z51" s="68"/>
      <c r="AA51" s="76"/>
      <c r="AB51" s="76"/>
      <c r="AC51" s="69" t="str">
        <f t="shared" si="5"/>
        <v/>
      </c>
      <c r="AD51" s="69" t="str">
        <f t="shared" si="6"/>
        <v/>
      </c>
      <c r="AE51" s="70" t="str">
        <f t="shared" si="7"/>
        <v/>
      </c>
      <c r="AF51" s="71" t="str">
        <f t="shared" si="8"/>
        <v/>
      </c>
      <c r="AG51" s="69" t="str">
        <f t="shared" si="9"/>
        <v/>
      </c>
      <c r="AH51" s="69" t="str">
        <f t="shared" si="10"/>
        <v/>
      </c>
      <c r="AI51" s="69" t="str">
        <f t="shared" si="3"/>
        <v/>
      </c>
    </row>
    <row r="52">
      <c r="A52" s="56" t="str">
        <f t="shared" si="1"/>
        <v/>
      </c>
      <c r="B52" s="83"/>
      <c r="C52" s="83"/>
      <c r="D52" s="57"/>
      <c r="E52" s="57"/>
      <c r="F52" s="57"/>
      <c r="G52" s="57"/>
      <c r="H52" s="57"/>
      <c r="I52" s="57"/>
      <c r="J52" s="57"/>
      <c r="K52" s="57"/>
      <c r="L52" s="83"/>
      <c r="M52" s="72"/>
      <c r="N52" s="57"/>
      <c r="O52" s="80"/>
      <c r="P52" s="83"/>
      <c r="Q52" s="84"/>
      <c r="R52" s="63" t="str">
        <f t="shared" si="4"/>
        <v/>
      </c>
      <c r="S52" s="85" t="str">
        <f t="shared" si="2"/>
        <v/>
      </c>
      <c r="T52" s="76"/>
      <c r="U52" s="76"/>
      <c r="V52" s="76"/>
      <c r="W52" s="76"/>
      <c r="X52" s="75"/>
      <c r="Y52" s="68"/>
      <c r="Z52" s="68"/>
      <c r="AA52" s="76"/>
      <c r="AB52" s="76"/>
      <c r="AC52" s="69" t="str">
        <f t="shared" si="5"/>
        <v/>
      </c>
      <c r="AD52" s="69" t="str">
        <f t="shared" si="6"/>
        <v/>
      </c>
      <c r="AE52" s="70" t="str">
        <f t="shared" si="7"/>
        <v/>
      </c>
      <c r="AF52" s="71" t="str">
        <f t="shared" si="8"/>
        <v/>
      </c>
      <c r="AG52" s="69" t="str">
        <f t="shared" si="9"/>
        <v/>
      </c>
      <c r="AH52" s="69" t="str">
        <f t="shared" si="10"/>
        <v/>
      </c>
      <c r="AI52" s="69" t="str">
        <f t="shared" si="3"/>
        <v/>
      </c>
    </row>
    <row r="53">
      <c r="A53" s="56" t="str">
        <f t="shared" si="1"/>
        <v/>
      </c>
      <c r="B53" s="83"/>
      <c r="C53" s="83"/>
      <c r="D53" s="57"/>
      <c r="E53" s="57"/>
      <c r="F53" s="57"/>
      <c r="G53" s="57"/>
      <c r="H53" s="57"/>
      <c r="I53" s="57"/>
      <c r="J53" s="57"/>
      <c r="K53" s="57"/>
      <c r="L53" s="83"/>
      <c r="M53" s="72"/>
      <c r="N53" s="57"/>
      <c r="O53" s="80"/>
      <c r="P53" s="83"/>
      <c r="Q53" s="84"/>
      <c r="R53" s="63" t="str">
        <f t="shared" si="4"/>
        <v/>
      </c>
      <c r="S53" s="85" t="str">
        <f t="shared" si="2"/>
        <v/>
      </c>
      <c r="T53" s="76"/>
      <c r="U53" s="76"/>
      <c r="V53" s="76"/>
      <c r="W53" s="76"/>
      <c r="X53" s="75"/>
      <c r="Y53" s="68"/>
      <c r="Z53" s="68"/>
      <c r="AA53" s="76"/>
      <c r="AB53" s="76"/>
      <c r="AC53" s="69" t="str">
        <f t="shared" si="5"/>
        <v/>
      </c>
      <c r="AD53" s="69" t="str">
        <f t="shared" si="6"/>
        <v/>
      </c>
      <c r="AE53" s="70" t="str">
        <f t="shared" si="7"/>
        <v/>
      </c>
      <c r="AF53" s="71" t="str">
        <f t="shared" si="8"/>
        <v/>
      </c>
      <c r="AG53" s="69" t="str">
        <f t="shared" si="9"/>
        <v/>
      </c>
      <c r="AH53" s="69" t="str">
        <f t="shared" si="10"/>
        <v/>
      </c>
      <c r="AI53" s="69" t="str">
        <f t="shared" si="3"/>
        <v/>
      </c>
    </row>
    <row r="54">
      <c r="A54" s="56" t="str">
        <f t="shared" si="1"/>
        <v/>
      </c>
      <c r="B54" s="83"/>
      <c r="C54" s="83"/>
      <c r="D54" s="57"/>
      <c r="E54" s="57"/>
      <c r="F54" s="57"/>
      <c r="G54" s="57"/>
      <c r="H54" s="57"/>
      <c r="I54" s="57"/>
      <c r="J54" s="57"/>
      <c r="K54" s="57"/>
      <c r="L54" s="83"/>
      <c r="M54" s="72"/>
      <c r="N54" s="57"/>
      <c r="O54" s="80"/>
      <c r="P54" s="83"/>
      <c r="Q54" s="84"/>
      <c r="R54" s="63" t="str">
        <f t="shared" si="4"/>
        <v/>
      </c>
      <c r="S54" s="85" t="str">
        <f t="shared" si="2"/>
        <v/>
      </c>
      <c r="T54" s="76"/>
      <c r="U54" s="76"/>
      <c r="V54" s="76"/>
      <c r="W54" s="76"/>
      <c r="X54" s="75"/>
      <c r="Y54" s="68"/>
      <c r="Z54" s="68"/>
      <c r="AA54" s="76"/>
      <c r="AB54" s="76"/>
      <c r="AC54" s="69" t="str">
        <f t="shared" si="5"/>
        <v/>
      </c>
      <c r="AD54" s="69" t="str">
        <f t="shared" si="6"/>
        <v/>
      </c>
      <c r="AE54" s="70" t="str">
        <f t="shared" si="7"/>
        <v/>
      </c>
      <c r="AF54" s="71" t="str">
        <f t="shared" si="8"/>
        <v/>
      </c>
      <c r="AG54" s="69" t="str">
        <f t="shared" si="9"/>
        <v/>
      </c>
      <c r="AH54" s="69" t="str">
        <f t="shared" si="10"/>
        <v/>
      </c>
      <c r="AI54" s="69" t="str">
        <f t="shared" si="3"/>
        <v/>
      </c>
    </row>
    <row r="55">
      <c r="A55" s="56" t="str">
        <f t="shared" si="1"/>
        <v/>
      </c>
      <c r="B55" s="83"/>
      <c r="C55" s="83"/>
      <c r="D55" s="57"/>
      <c r="E55" s="57"/>
      <c r="F55" s="57"/>
      <c r="G55" s="57"/>
      <c r="H55" s="57"/>
      <c r="I55" s="57"/>
      <c r="J55" s="57"/>
      <c r="K55" s="57"/>
      <c r="L55" s="83"/>
      <c r="M55" s="83"/>
      <c r="N55" s="57"/>
      <c r="O55" s="80"/>
      <c r="P55" s="83"/>
      <c r="Q55" s="84"/>
      <c r="R55" s="63" t="str">
        <f t="shared" si="4"/>
        <v/>
      </c>
      <c r="S55" s="85" t="str">
        <f t="shared" si="2"/>
        <v/>
      </c>
      <c r="T55" s="76"/>
      <c r="U55" s="76"/>
      <c r="V55" s="76"/>
      <c r="W55" s="76"/>
      <c r="X55" s="75"/>
      <c r="Y55" s="68"/>
      <c r="Z55" s="68"/>
      <c r="AA55" s="76"/>
      <c r="AB55" s="76"/>
      <c r="AC55" s="69" t="str">
        <f t="shared" si="5"/>
        <v/>
      </c>
      <c r="AD55" s="69" t="str">
        <f t="shared" si="6"/>
        <v/>
      </c>
      <c r="AE55" s="70" t="str">
        <f t="shared" si="7"/>
        <v/>
      </c>
      <c r="AF55" s="71" t="str">
        <f t="shared" si="8"/>
        <v/>
      </c>
      <c r="AG55" s="69" t="str">
        <f t="shared" si="9"/>
        <v/>
      </c>
      <c r="AH55" s="69" t="str">
        <f t="shared" si="10"/>
        <v/>
      </c>
      <c r="AI55" s="69" t="str">
        <f t="shared" si="3"/>
        <v/>
      </c>
    </row>
    <row r="56">
      <c r="A56" s="56" t="str">
        <f t="shared" si="1"/>
        <v/>
      </c>
      <c r="B56" s="83"/>
      <c r="C56" s="83"/>
      <c r="D56" s="57"/>
      <c r="E56" s="57"/>
      <c r="F56" s="57"/>
      <c r="G56" s="57"/>
      <c r="H56" s="57"/>
      <c r="I56" s="57"/>
      <c r="J56" s="57"/>
      <c r="K56" s="57"/>
      <c r="L56" s="83"/>
      <c r="M56" s="57"/>
      <c r="N56" s="57"/>
      <c r="O56" s="80"/>
      <c r="P56" s="83"/>
      <c r="Q56" s="84"/>
      <c r="R56" s="63" t="str">
        <f t="shared" si="4"/>
        <v/>
      </c>
      <c r="S56" s="85" t="str">
        <f t="shared" si="2"/>
        <v/>
      </c>
      <c r="T56" s="76"/>
      <c r="U56" s="76"/>
      <c r="V56" s="76"/>
      <c r="W56" s="76"/>
      <c r="X56" s="75"/>
      <c r="Y56" s="68"/>
      <c r="Z56" s="68"/>
      <c r="AA56" s="76"/>
      <c r="AB56" s="76"/>
      <c r="AC56" s="69" t="str">
        <f t="shared" si="5"/>
        <v/>
      </c>
      <c r="AD56" s="69" t="str">
        <f t="shared" si="6"/>
        <v/>
      </c>
      <c r="AE56" s="70" t="str">
        <f t="shared" si="7"/>
        <v/>
      </c>
      <c r="AF56" s="71" t="str">
        <f t="shared" si="8"/>
        <v/>
      </c>
      <c r="AG56" s="69" t="str">
        <f t="shared" si="9"/>
        <v/>
      </c>
      <c r="AH56" s="69" t="str">
        <f t="shared" si="10"/>
        <v/>
      </c>
      <c r="AI56" s="69" t="str">
        <f t="shared" si="3"/>
        <v/>
      </c>
    </row>
    <row r="57">
      <c r="A57" s="56" t="str">
        <f t="shared" si="1"/>
        <v/>
      </c>
      <c r="B57" s="72"/>
      <c r="C57" s="72"/>
      <c r="D57" s="57"/>
      <c r="E57" s="57"/>
      <c r="F57" s="57"/>
      <c r="G57" s="57"/>
      <c r="H57" s="57"/>
      <c r="I57" s="57"/>
      <c r="J57" s="57"/>
      <c r="K57" s="57"/>
      <c r="L57" s="72"/>
      <c r="M57" s="72"/>
      <c r="N57" s="57"/>
      <c r="O57" s="80"/>
      <c r="P57" s="72"/>
      <c r="Q57" s="80"/>
      <c r="R57" s="63" t="str">
        <f t="shared" si="4"/>
        <v/>
      </c>
      <c r="S57" s="85" t="str">
        <f t="shared" si="2"/>
        <v/>
      </c>
      <c r="T57" s="76"/>
      <c r="U57" s="76"/>
      <c r="V57" s="76"/>
      <c r="W57" s="76"/>
      <c r="X57" s="75"/>
      <c r="Y57" s="68"/>
      <c r="Z57" s="68"/>
      <c r="AA57" s="76"/>
      <c r="AB57" s="76"/>
      <c r="AC57" s="69" t="str">
        <f t="shared" si="5"/>
        <v/>
      </c>
      <c r="AD57" s="69" t="str">
        <f t="shared" si="6"/>
        <v/>
      </c>
      <c r="AE57" s="70" t="str">
        <f t="shared" si="7"/>
        <v/>
      </c>
      <c r="AF57" s="71" t="str">
        <f t="shared" si="8"/>
        <v/>
      </c>
      <c r="AG57" s="69" t="str">
        <f t="shared" si="9"/>
        <v/>
      </c>
      <c r="AH57" s="69" t="str">
        <f t="shared" si="10"/>
        <v/>
      </c>
      <c r="AI57" s="69" t="str">
        <f t="shared" si="3"/>
        <v/>
      </c>
    </row>
    <row r="58">
      <c r="A58" s="56" t="str">
        <f t="shared" si="1"/>
        <v/>
      </c>
      <c r="B58" s="72"/>
      <c r="C58" s="72"/>
      <c r="D58" s="57"/>
      <c r="E58" s="57"/>
      <c r="F58" s="57"/>
      <c r="G58" s="57"/>
      <c r="H58" s="57"/>
      <c r="I58" s="57"/>
      <c r="J58" s="57"/>
      <c r="K58" s="57"/>
      <c r="L58" s="57"/>
      <c r="M58" s="72"/>
      <c r="N58" s="57"/>
      <c r="O58" s="80"/>
      <c r="P58" s="72"/>
      <c r="Q58" s="80"/>
      <c r="R58" s="63" t="str">
        <f t="shared" si="4"/>
        <v/>
      </c>
      <c r="S58" s="85" t="str">
        <f t="shared" si="2"/>
        <v/>
      </c>
      <c r="T58" s="76"/>
      <c r="U58" s="76"/>
      <c r="V58" s="76"/>
      <c r="W58" s="76"/>
      <c r="X58" s="75"/>
      <c r="Y58" s="68"/>
      <c r="Z58" s="68"/>
      <c r="AA58" s="76"/>
      <c r="AB58" s="76"/>
      <c r="AC58" s="69" t="str">
        <f t="shared" si="5"/>
        <v/>
      </c>
      <c r="AD58" s="69" t="str">
        <f t="shared" si="6"/>
        <v/>
      </c>
      <c r="AE58" s="70" t="str">
        <f t="shared" si="7"/>
        <v/>
      </c>
      <c r="AF58" s="71" t="str">
        <f t="shared" si="8"/>
        <v/>
      </c>
      <c r="AG58" s="69" t="str">
        <f t="shared" si="9"/>
        <v/>
      </c>
      <c r="AH58" s="69" t="str">
        <f t="shared" si="10"/>
        <v/>
      </c>
      <c r="AI58" s="69" t="str">
        <f t="shared" si="3"/>
        <v/>
      </c>
    </row>
    <row r="59">
      <c r="A59" s="56" t="str">
        <f t="shared" si="1"/>
        <v/>
      </c>
      <c r="B59" s="72"/>
      <c r="C59" s="72"/>
      <c r="D59" s="57"/>
      <c r="E59" s="57"/>
      <c r="F59" s="57"/>
      <c r="G59" s="57"/>
      <c r="H59" s="57"/>
      <c r="I59" s="57"/>
      <c r="J59" s="57"/>
      <c r="K59" s="57"/>
      <c r="L59" s="72"/>
      <c r="M59" s="72"/>
      <c r="N59" s="57"/>
      <c r="O59" s="80"/>
      <c r="P59" s="72"/>
      <c r="Q59" s="80"/>
      <c r="R59" s="63" t="str">
        <f t="shared" si="4"/>
        <v/>
      </c>
      <c r="S59" s="85" t="str">
        <f t="shared" si="2"/>
        <v/>
      </c>
      <c r="T59" s="76"/>
      <c r="U59" s="76"/>
      <c r="V59" s="76"/>
      <c r="W59" s="76"/>
      <c r="X59" s="75"/>
      <c r="Y59" s="68"/>
      <c r="Z59" s="68"/>
      <c r="AA59" s="76"/>
      <c r="AB59" s="76"/>
      <c r="AC59" s="69" t="str">
        <f t="shared" si="5"/>
        <v/>
      </c>
      <c r="AD59" s="69" t="str">
        <f t="shared" si="6"/>
        <v/>
      </c>
      <c r="AE59" s="70" t="str">
        <f t="shared" si="7"/>
        <v/>
      </c>
      <c r="AF59" s="71" t="str">
        <f t="shared" si="8"/>
        <v/>
      </c>
      <c r="AG59" s="69" t="str">
        <f t="shared" si="9"/>
        <v/>
      </c>
      <c r="AH59" s="69" t="str">
        <f t="shared" si="10"/>
        <v/>
      </c>
      <c r="AI59" s="69" t="str">
        <f t="shared" si="3"/>
        <v/>
      </c>
    </row>
    <row r="60">
      <c r="A60" s="56" t="str">
        <f t="shared" si="1"/>
        <v/>
      </c>
      <c r="B60" s="72"/>
      <c r="C60" s="72"/>
      <c r="D60" s="57"/>
      <c r="E60" s="57"/>
      <c r="F60" s="57"/>
      <c r="G60" s="57"/>
      <c r="H60" s="57"/>
      <c r="I60" s="57"/>
      <c r="J60" s="57"/>
      <c r="K60" s="72"/>
      <c r="L60" s="72"/>
      <c r="M60" s="72"/>
      <c r="N60" s="57"/>
      <c r="O60" s="80"/>
      <c r="P60" s="72"/>
      <c r="Q60" s="80"/>
      <c r="R60" s="63" t="str">
        <f t="shared" si="4"/>
        <v/>
      </c>
      <c r="S60" s="85" t="str">
        <f t="shared" si="2"/>
        <v/>
      </c>
      <c r="T60" s="76"/>
      <c r="U60" s="76"/>
      <c r="V60" s="76"/>
      <c r="W60" s="76"/>
      <c r="X60" s="75"/>
      <c r="Y60" s="68"/>
      <c r="Z60" s="68"/>
      <c r="AA60" s="76"/>
      <c r="AB60" s="76"/>
      <c r="AC60" s="69" t="str">
        <f t="shared" si="5"/>
        <v/>
      </c>
      <c r="AD60" s="69" t="str">
        <f t="shared" si="6"/>
        <v/>
      </c>
      <c r="AE60" s="70" t="str">
        <f t="shared" si="7"/>
        <v/>
      </c>
      <c r="AF60" s="71" t="str">
        <f t="shared" si="8"/>
        <v/>
      </c>
      <c r="AG60" s="69" t="str">
        <f t="shared" si="9"/>
        <v/>
      </c>
      <c r="AH60" s="69" t="str">
        <f t="shared" si="10"/>
        <v/>
      </c>
      <c r="AI60" s="69" t="str">
        <f t="shared" si="3"/>
        <v/>
      </c>
    </row>
    <row r="61">
      <c r="A61" s="56" t="str">
        <f t="shared" si="1"/>
        <v/>
      </c>
      <c r="B61" s="72"/>
      <c r="C61" s="72"/>
      <c r="D61" s="57"/>
      <c r="E61" s="57"/>
      <c r="F61" s="57"/>
      <c r="G61" s="57"/>
      <c r="H61" s="57"/>
      <c r="I61" s="57"/>
      <c r="J61" s="57"/>
      <c r="K61" s="57"/>
      <c r="L61" s="72"/>
      <c r="M61" s="72"/>
      <c r="N61" s="57"/>
      <c r="O61" s="80"/>
      <c r="P61" s="72"/>
      <c r="Q61" s="80"/>
      <c r="R61" s="63" t="str">
        <f t="shared" si="4"/>
        <v/>
      </c>
      <c r="S61" s="85" t="str">
        <f t="shared" si="2"/>
        <v/>
      </c>
      <c r="T61" s="76"/>
      <c r="U61" s="76"/>
      <c r="V61" s="76"/>
      <c r="W61" s="76"/>
      <c r="X61" s="75"/>
      <c r="Y61" s="68"/>
      <c r="Z61" s="68"/>
      <c r="AA61" s="76"/>
      <c r="AB61" s="76"/>
      <c r="AC61" s="69" t="str">
        <f t="shared" si="5"/>
        <v/>
      </c>
      <c r="AD61" s="69" t="str">
        <f t="shared" si="6"/>
        <v/>
      </c>
      <c r="AE61" s="70" t="str">
        <f t="shared" si="7"/>
        <v/>
      </c>
      <c r="AF61" s="71" t="str">
        <f t="shared" si="8"/>
        <v/>
      </c>
      <c r="AG61" s="69" t="str">
        <f t="shared" si="9"/>
        <v/>
      </c>
      <c r="AH61" s="69" t="str">
        <f t="shared" si="10"/>
        <v/>
      </c>
      <c r="AI61" s="69" t="str">
        <f t="shared" si="3"/>
        <v/>
      </c>
    </row>
    <row r="62">
      <c r="A62" s="56" t="str">
        <f t="shared" si="1"/>
        <v/>
      </c>
      <c r="B62" s="72"/>
      <c r="C62" s="72"/>
      <c r="D62" s="57"/>
      <c r="E62" s="57"/>
      <c r="F62" s="57"/>
      <c r="G62" s="57"/>
      <c r="H62" s="57"/>
      <c r="I62" s="57"/>
      <c r="J62" s="57"/>
      <c r="K62" s="57"/>
      <c r="L62" s="72"/>
      <c r="M62" s="72"/>
      <c r="N62" s="57"/>
      <c r="O62" s="80"/>
      <c r="P62" s="72"/>
      <c r="Q62" s="80"/>
      <c r="R62" s="63" t="str">
        <f t="shared" si="4"/>
        <v/>
      </c>
      <c r="S62" s="85" t="str">
        <f t="shared" si="2"/>
        <v/>
      </c>
      <c r="T62" s="76"/>
      <c r="U62" s="76"/>
      <c r="V62" s="76"/>
      <c r="W62" s="76"/>
      <c r="X62" s="75"/>
      <c r="Y62" s="68"/>
      <c r="Z62" s="68"/>
      <c r="AA62" s="76"/>
      <c r="AB62" s="76"/>
      <c r="AC62" s="69" t="str">
        <f t="shared" si="5"/>
        <v/>
      </c>
      <c r="AD62" s="69" t="str">
        <f t="shared" si="6"/>
        <v/>
      </c>
      <c r="AE62" s="70" t="str">
        <f t="shared" si="7"/>
        <v/>
      </c>
      <c r="AF62" s="71" t="str">
        <f t="shared" si="8"/>
        <v/>
      </c>
      <c r="AG62" s="69" t="str">
        <f t="shared" si="9"/>
        <v/>
      </c>
      <c r="AH62" s="69" t="str">
        <f t="shared" si="10"/>
        <v/>
      </c>
      <c r="AI62" s="69" t="str">
        <f t="shared" si="3"/>
        <v/>
      </c>
    </row>
    <row r="63">
      <c r="A63" s="56" t="str">
        <f t="shared" si="1"/>
        <v/>
      </c>
      <c r="B63" s="72"/>
      <c r="C63" s="72"/>
      <c r="D63" s="57"/>
      <c r="E63" s="57"/>
      <c r="F63" s="57"/>
      <c r="G63" s="57"/>
      <c r="H63" s="57"/>
      <c r="I63" s="57"/>
      <c r="J63" s="57"/>
      <c r="K63" s="57"/>
      <c r="L63" s="72"/>
      <c r="M63" s="72"/>
      <c r="N63" s="57"/>
      <c r="O63" s="80"/>
      <c r="P63" s="72"/>
      <c r="Q63" s="80"/>
      <c r="R63" s="63" t="str">
        <f t="shared" si="4"/>
        <v/>
      </c>
      <c r="S63" s="85" t="str">
        <f t="shared" si="2"/>
        <v/>
      </c>
      <c r="T63" s="76"/>
      <c r="U63" s="76"/>
      <c r="V63" s="76"/>
      <c r="W63" s="76"/>
      <c r="X63" s="75"/>
      <c r="Y63" s="68"/>
      <c r="Z63" s="68"/>
      <c r="AA63" s="76"/>
      <c r="AB63" s="76"/>
      <c r="AC63" s="69" t="str">
        <f t="shared" si="5"/>
        <v/>
      </c>
      <c r="AD63" s="69" t="str">
        <f t="shared" si="6"/>
        <v/>
      </c>
      <c r="AE63" s="70" t="str">
        <f t="shared" si="7"/>
        <v/>
      </c>
      <c r="AF63" s="71" t="str">
        <f t="shared" si="8"/>
        <v/>
      </c>
      <c r="AG63" s="69" t="str">
        <f t="shared" si="9"/>
        <v/>
      </c>
      <c r="AH63" s="69" t="str">
        <f t="shared" si="10"/>
        <v/>
      </c>
      <c r="AI63" s="69" t="str">
        <f t="shared" si="3"/>
        <v/>
      </c>
    </row>
    <row r="64">
      <c r="A64" s="56" t="str">
        <f t="shared" si="1"/>
        <v/>
      </c>
      <c r="B64" s="72"/>
      <c r="C64" s="72"/>
      <c r="D64" s="57"/>
      <c r="E64" s="57"/>
      <c r="F64" s="57"/>
      <c r="G64" s="57"/>
      <c r="H64" s="57"/>
      <c r="I64" s="57"/>
      <c r="J64" s="57"/>
      <c r="K64" s="57"/>
      <c r="L64" s="72"/>
      <c r="M64" s="72"/>
      <c r="N64" s="57"/>
      <c r="O64" s="80"/>
      <c r="P64" s="72"/>
      <c r="Q64" s="80"/>
      <c r="R64" s="63" t="str">
        <f t="shared" si="4"/>
        <v/>
      </c>
      <c r="S64" s="85" t="str">
        <f t="shared" si="2"/>
        <v/>
      </c>
      <c r="T64" s="76"/>
      <c r="U64" s="76"/>
      <c r="V64" s="76"/>
      <c r="W64" s="76"/>
      <c r="X64" s="75"/>
      <c r="Y64" s="68"/>
      <c r="Z64" s="68"/>
      <c r="AA64" s="76"/>
      <c r="AB64" s="76"/>
      <c r="AC64" s="69" t="str">
        <f t="shared" si="5"/>
        <v/>
      </c>
      <c r="AD64" s="69" t="str">
        <f t="shared" si="6"/>
        <v/>
      </c>
      <c r="AE64" s="70" t="str">
        <f t="shared" si="7"/>
        <v/>
      </c>
      <c r="AF64" s="71" t="str">
        <f t="shared" si="8"/>
        <v/>
      </c>
      <c r="AG64" s="69" t="str">
        <f t="shared" si="9"/>
        <v/>
      </c>
      <c r="AH64" s="69" t="str">
        <f t="shared" si="10"/>
        <v/>
      </c>
      <c r="AI64" s="69" t="str">
        <f t="shared" si="3"/>
        <v/>
      </c>
    </row>
    <row r="65">
      <c r="A65" s="56" t="str">
        <f t="shared" si="1"/>
        <v/>
      </c>
      <c r="B65" s="72"/>
      <c r="C65" s="72"/>
      <c r="D65" s="57"/>
      <c r="E65" s="57"/>
      <c r="F65" s="57"/>
      <c r="G65" s="57"/>
      <c r="H65" s="57"/>
      <c r="I65" s="57"/>
      <c r="J65" s="57"/>
      <c r="K65" s="57"/>
      <c r="L65" s="72"/>
      <c r="M65" s="72"/>
      <c r="N65" s="57"/>
      <c r="O65" s="80"/>
      <c r="P65" s="72"/>
      <c r="Q65" s="80"/>
      <c r="R65" s="63" t="str">
        <f t="shared" si="4"/>
        <v/>
      </c>
      <c r="S65" s="85" t="str">
        <f t="shared" si="2"/>
        <v/>
      </c>
      <c r="T65" s="76"/>
      <c r="U65" s="76"/>
      <c r="V65" s="76"/>
      <c r="W65" s="76"/>
      <c r="X65" s="75"/>
      <c r="Y65" s="68"/>
      <c r="Z65" s="68"/>
      <c r="AA65" s="76"/>
      <c r="AB65" s="76"/>
      <c r="AC65" s="69" t="str">
        <f t="shared" si="5"/>
        <v/>
      </c>
      <c r="AD65" s="69" t="str">
        <f t="shared" si="6"/>
        <v/>
      </c>
      <c r="AE65" s="70" t="str">
        <f t="shared" si="7"/>
        <v/>
      </c>
      <c r="AF65" s="71" t="str">
        <f t="shared" si="8"/>
        <v/>
      </c>
      <c r="AG65" s="69" t="str">
        <f t="shared" si="9"/>
        <v/>
      </c>
      <c r="AH65" s="69" t="str">
        <f t="shared" si="10"/>
        <v/>
      </c>
      <c r="AI65" s="69" t="str">
        <f t="shared" si="3"/>
        <v/>
      </c>
    </row>
    <row r="66">
      <c r="A66" s="56" t="str">
        <f t="shared" si="1"/>
        <v/>
      </c>
      <c r="B66" s="72"/>
      <c r="C66" s="72"/>
      <c r="D66" s="57"/>
      <c r="E66" s="57"/>
      <c r="F66" s="57"/>
      <c r="G66" s="57"/>
      <c r="H66" s="57"/>
      <c r="I66" s="57"/>
      <c r="J66" s="57"/>
      <c r="K66" s="57"/>
      <c r="L66" s="72"/>
      <c r="M66" s="72"/>
      <c r="N66" s="57"/>
      <c r="O66" s="80"/>
      <c r="P66" s="72"/>
      <c r="Q66" s="80"/>
      <c r="R66" s="63" t="str">
        <f t="shared" si="4"/>
        <v/>
      </c>
      <c r="S66" s="85" t="str">
        <f t="shared" si="2"/>
        <v/>
      </c>
      <c r="T66" s="76"/>
      <c r="U66" s="76"/>
      <c r="V66" s="76"/>
      <c r="W66" s="76"/>
      <c r="X66" s="75"/>
      <c r="Y66" s="68"/>
      <c r="Z66" s="68"/>
      <c r="AA66" s="76"/>
      <c r="AB66" s="76"/>
      <c r="AC66" s="69" t="str">
        <f t="shared" si="5"/>
        <v/>
      </c>
      <c r="AD66" s="69" t="str">
        <f t="shared" si="6"/>
        <v/>
      </c>
      <c r="AE66" s="70" t="str">
        <f t="shared" si="7"/>
        <v/>
      </c>
      <c r="AF66" s="71" t="str">
        <f t="shared" si="8"/>
        <v/>
      </c>
      <c r="AG66" s="69" t="str">
        <f t="shared" si="9"/>
        <v/>
      </c>
      <c r="AH66" s="69" t="str">
        <f t="shared" si="10"/>
        <v/>
      </c>
      <c r="AI66" s="69" t="str">
        <f t="shared" si="3"/>
        <v/>
      </c>
    </row>
    <row r="67">
      <c r="A67" s="56" t="str">
        <f t="shared" si="1"/>
        <v/>
      </c>
      <c r="B67" s="72"/>
      <c r="C67" s="72"/>
      <c r="D67" s="57"/>
      <c r="E67" s="57"/>
      <c r="F67" s="57"/>
      <c r="G67" s="57"/>
      <c r="H67" s="57"/>
      <c r="I67" s="57"/>
      <c r="J67" s="57"/>
      <c r="K67" s="72"/>
      <c r="L67" s="72"/>
      <c r="M67" s="72"/>
      <c r="N67" s="57"/>
      <c r="O67" s="80"/>
      <c r="P67" s="72"/>
      <c r="Q67" s="80"/>
      <c r="R67" s="63" t="str">
        <f t="shared" si="4"/>
        <v/>
      </c>
      <c r="S67" s="85" t="str">
        <f t="shared" si="2"/>
        <v/>
      </c>
      <c r="T67" s="76"/>
      <c r="U67" s="76"/>
      <c r="V67" s="76"/>
      <c r="W67" s="76"/>
      <c r="X67" s="75"/>
      <c r="Y67" s="68"/>
      <c r="Z67" s="68"/>
      <c r="AA67" s="76"/>
      <c r="AB67" s="76"/>
      <c r="AC67" s="69" t="str">
        <f t="shared" si="5"/>
        <v/>
      </c>
      <c r="AD67" s="69" t="str">
        <f t="shared" si="6"/>
        <v/>
      </c>
      <c r="AE67" s="70" t="str">
        <f t="shared" si="7"/>
        <v/>
      </c>
      <c r="AF67" s="71" t="str">
        <f t="shared" si="8"/>
        <v/>
      </c>
      <c r="AG67" s="69" t="str">
        <f t="shared" si="9"/>
        <v/>
      </c>
      <c r="AH67" s="69" t="str">
        <f t="shared" si="10"/>
        <v/>
      </c>
      <c r="AI67" s="69" t="str">
        <f t="shared" si="3"/>
        <v/>
      </c>
    </row>
    <row r="68">
      <c r="A68" s="56" t="str">
        <f t="shared" si="1"/>
        <v/>
      </c>
      <c r="B68" s="72"/>
      <c r="C68" s="72"/>
      <c r="D68" s="57"/>
      <c r="E68" s="57"/>
      <c r="F68" s="57"/>
      <c r="G68" s="57"/>
      <c r="H68" s="57"/>
      <c r="I68" s="57"/>
      <c r="J68" s="57"/>
      <c r="K68" s="72"/>
      <c r="L68" s="72"/>
      <c r="M68" s="57"/>
      <c r="N68" s="57"/>
      <c r="O68" s="80"/>
      <c r="P68" s="72"/>
      <c r="Q68" s="80"/>
      <c r="R68" s="63" t="str">
        <f t="shared" si="4"/>
        <v/>
      </c>
      <c r="S68" s="85" t="str">
        <f t="shared" si="2"/>
        <v/>
      </c>
      <c r="T68" s="76"/>
      <c r="U68" s="76"/>
      <c r="V68" s="76"/>
      <c r="W68" s="76"/>
      <c r="X68" s="75"/>
      <c r="Y68" s="68"/>
      <c r="Z68" s="68"/>
      <c r="AA68" s="76"/>
      <c r="AB68" s="76"/>
      <c r="AC68" s="69" t="str">
        <f t="shared" si="5"/>
        <v/>
      </c>
      <c r="AD68" s="69" t="str">
        <f t="shared" si="6"/>
        <v/>
      </c>
      <c r="AE68" s="70" t="str">
        <f t="shared" si="7"/>
        <v/>
      </c>
      <c r="AF68" s="71" t="str">
        <f t="shared" si="8"/>
        <v/>
      </c>
      <c r="AG68" s="69" t="str">
        <f t="shared" si="9"/>
        <v/>
      </c>
      <c r="AH68" s="69" t="str">
        <f t="shared" si="10"/>
        <v/>
      </c>
      <c r="AI68" s="69" t="str">
        <f t="shared" si="3"/>
        <v/>
      </c>
    </row>
    <row r="69">
      <c r="A69" s="56" t="str">
        <f t="shared" si="1"/>
        <v/>
      </c>
      <c r="B69" s="72"/>
      <c r="C69" s="72"/>
      <c r="D69" s="57"/>
      <c r="E69" s="57"/>
      <c r="F69" s="57"/>
      <c r="G69" s="57"/>
      <c r="H69" s="57"/>
      <c r="I69" s="57"/>
      <c r="J69" s="57"/>
      <c r="K69" s="57"/>
      <c r="L69" s="72"/>
      <c r="M69" s="72"/>
      <c r="N69" s="57"/>
      <c r="O69" s="80"/>
      <c r="P69" s="72"/>
      <c r="Q69" s="80"/>
      <c r="R69" s="63" t="str">
        <f t="shared" si="4"/>
        <v/>
      </c>
      <c r="S69" s="85" t="str">
        <f t="shared" si="2"/>
        <v/>
      </c>
      <c r="T69" s="76"/>
      <c r="U69" s="76"/>
      <c r="V69" s="76"/>
      <c r="W69" s="76"/>
      <c r="X69" s="75"/>
      <c r="Y69" s="68"/>
      <c r="Z69" s="68"/>
      <c r="AA69" s="76"/>
      <c r="AB69" s="76"/>
      <c r="AC69" s="69" t="str">
        <f t="shared" si="5"/>
        <v/>
      </c>
      <c r="AD69" s="69" t="str">
        <f t="shared" si="6"/>
        <v/>
      </c>
      <c r="AE69" s="70" t="str">
        <f t="shared" si="7"/>
        <v/>
      </c>
      <c r="AF69" s="71" t="str">
        <f t="shared" si="8"/>
        <v/>
      </c>
      <c r="AG69" s="69" t="str">
        <f t="shared" si="9"/>
        <v/>
      </c>
      <c r="AH69" s="69" t="str">
        <f t="shared" si="10"/>
        <v/>
      </c>
      <c r="AI69" s="69" t="str">
        <f t="shared" si="3"/>
        <v/>
      </c>
    </row>
    <row r="70">
      <c r="A70" s="56" t="str">
        <f t="shared" si="1"/>
        <v/>
      </c>
      <c r="B70" s="72"/>
      <c r="C70" s="72"/>
      <c r="D70" s="57"/>
      <c r="E70" s="57"/>
      <c r="F70" s="57"/>
      <c r="G70" s="57"/>
      <c r="H70" s="57"/>
      <c r="I70" s="57"/>
      <c r="J70" s="57"/>
      <c r="K70" s="57"/>
      <c r="L70" s="72"/>
      <c r="M70" s="57"/>
      <c r="N70" s="57"/>
      <c r="O70" s="80"/>
      <c r="P70" s="72"/>
      <c r="Q70" s="80"/>
      <c r="R70" s="63" t="str">
        <f t="shared" si="4"/>
        <v/>
      </c>
      <c r="S70" s="85" t="str">
        <f t="shared" si="2"/>
        <v/>
      </c>
      <c r="T70" s="76"/>
      <c r="U70" s="76"/>
      <c r="V70" s="76"/>
      <c r="W70" s="76"/>
      <c r="X70" s="75"/>
      <c r="Y70" s="68"/>
      <c r="Z70" s="68"/>
      <c r="AA70" s="76"/>
      <c r="AB70" s="76"/>
      <c r="AC70" s="69" t="str">
        <f t="shared" si="5"/>
        <v/>
      </c>
      <c r="AD70" s="69" t="str">
        <f t="shared" si="6"/>
        <v/>
      </c>
      <c r="AE70" s="70" t="str">
        <f t="shared" si="7"/>
        <v/>
      </c>
      <c r="AF70" s="71" t="str">
        <f t="shared" si="8"/>
        <v/>
      </c>
      <c r="AG70" s="69" t="str">
        <f t="shared" si="9"/>
        <v/>
      </c>
      <c r="AH70" s="69" t="str">
        <f t="shared" si="10"/>
        <v/>
      </c>
      <c r="AI70" s="69" t="str">
        <f t="shared" si="3"/>
        <v/>
      </c>
    </row>
    <row r="71">
      <c r="A71" s="56" t="str">
        <f t="shared" si="1"/>
        <v/>
      </c>
      <c r="B71" s="72"/>
      <c r="C71" s="72"/>
      <c r="D71" s="57"/>
      <c r="E71" s="57"/>
      <c r="F71" s="57"/>
      <c r="G71" s="57"/>
      <c r="H71" s="57"/>
      <c r="I71" s="57"/>
      <c r="J71" s="57"/>
      <c r="K71" s="57"/>
      <c r="L71" s="72"/>
      <c r="M71" s="57"/>
      <c r="N71" s="57"/>
      <c r="O71" s="80"/>
      <c r="P71" s="72"/>
      <c r="Q71" s="80"/>
      <c r="R71" s="63" t="str">
        <f t="shared" si="4"/>
        <v/>
      </c>
      <c r="S71" s="85" t="str">
        <f t="shared" si="2"/>
        <v/>
      </c>
      <c r="T71" s="76"/>
      <c r="U71" s="76"/>
      <c r="V71" s="76"/>
      <c r="W71" s="76"/>
      <c r="X71" s="75"/>
      <c r="Y71" s="68"/>
      <c r="Z71" s="68"/>
      <c r="AA71" s="76"/>
      <c r="AB71" s="76"/>
      <c r="AC71" s="69" t="str">
        <f t="shared" si="5"/>
        <v/>
      </c>
      <c r="AD71" s="69" t="str">
        <f t="shared" si="6"/>
        <v/>
      </c>
      <c r="AE71" s="70" t="str">
        <f t="shared" si="7"/>
        <v/>
      </c>
      <c r="AF71" s="71" t="str">
        <f t="shared" si="8"/>
        <v/>
      </c>
      <c r="AG71" s="69" t="str">
        <f t="shared" si="9"/>
        <v/>
      </c>
      <c r="AH71" s="69" t="str">
        <f t="shared" si="10"/>
        <v/>
      </c>
      <c r="AI71" s="69" t="str">
        <f t="shared" si="3"/>
        <v/>
      </c>
    </row>
    <row r="72">
      <c r="A72" s="56" t="str">
        <f t="shared" si="1"/>
        <v/>
      </c>
      <c r="B72" s="72"/>
      <c r="C72" s="72"/>
      <c r="D72" s="57"/>
      <c r="E72" s="57"/>
      <c r="F72" s="57"/>
      <c r="G72" s="57"/>
      <c r="H72" s="57"/>
      <c r="I72" s="57"/>
      <c r="J72" s="57"/>
      <c r="K72" s="57"/>
      <c r="L72" s="72"/>
      <c r="M72" s="72"/>
      <c r="N72" s="57"/>
      <c r="O72" s="80"/>
      <c r="P72" s="72"/>
      <c r="Q72" s="80"/>
      <c r="R72" s="63" t="str">
        <f t="shared" si="4"/>
        <v/>
      </c>
      <c r="S72" s="85" t="str">
        <f t="shared" si="2"/>
        <v/>
      </c>
      <c r="T72" s="76"/>
      <c r="U72" s="76"/>
      <c r="V72" s="76"/>
      <c r="W72" s="76"/>
      <c r="X72" s="75"/>
      <c r="Y72" s="68"/>
      <c r="Z72" s="68"/>
      <c r="AA72" s="76"/>
      <c r="AB72" s="76"/>
      <c r="AC72" s="69" t="str">
        <f t="shared" si="5"/>
        <v/>
      </c>
      <c r="AD72" s="69" t="str">
        <f t="shared" si="6"/>
        <v/>
      </c>
      <c r="AE72" s="70" t="str">
        <f t="shared" si="7"/>
        <v/>
      </c>
      <c r="AF72" s="71" t="str">
        <f t="shared" si="8"/>
        <v/>
      </c>
      <c r="AG72" s="69" t="str">
        <f t="shared" si="9"/>
        <v/>
      </c>
      <c r="AH72" s="69" t="str">
        <f t="shared" si="10"/>
        <v/>
      </c>
      <c r="AI72" s="69" t="str">
        <f t="shared" si="3"/>
        <v/>
      </c>
    </row>
    <row r="73">
      <c r="A73" s="56" t="str">
        <f t="shared" si="1"/>
        <v/>
      </c>
      <c r="B73" s="72"/>
      <c r="C73" s="72"/>
      <c r="D73" s="57"/>
      <c r="E73" s="57"/>
      <c r="F73" s="57"/>
      <c r="G73" s="57"/>
      <c r="H73" s="57"/>
      <c r="I73" s="57"/>
      <c r="J73" s="57"/>
      <c r="K73" s="57"/>
      <c r="L73" s="72"/>
      <c r="M73" s="72"/>
      <c r="N73" s="57"/>
      <c r="O73" s="80"/>
      <c r="P73" s="72"/>
      <c r="Q73" s="80"/>
      <c r="R73" s="63" t="str">
        <f t="shared" si="4"/>
        <v/>
      </c>
      <c r="S73" s="85" t="str">
        <f t="shared" si="2"/>
        <v/>
      </c>
      <c r="T73" s="76"/>
      <c r="U73" s="76"/>
      <c r="V73" s="76"/>
      <c r="W73" s="76"/>
      <c r="X73" s="75"/>
      <c r="Y73" s="68"/>
      <c r="Z73" s="68"/>
      <c r="AA73" s="76"/>
      <c r="AB73" s="76"/>
      <c r="AC73" s="69" t="str">
        <f t="shared" si="5"/>
        <v/>
      </c>
      <c r="AD73" s="69" t="str">
        <f t="shared" si="6"/>
        <v/>
      </c>
      <c r="AE73" s="70" t="str">
        <f t="shared" si="7"/>
        <v/>
      </c>
      <c r="AF73" s="71" t="str">
        <f t="shared" si="8"/>
        <v/>
      </c>
      <c r="AG73" s="69" t="str">
        <f t="shared" si="9"/>
        <v/>
      </c>
      <c r="AH73" s="69" t="str">
        <f t="shared" si="10"/>
        <v/>
      </c>
      <c r="AI73" s="69" t="str">
        <f t="shared" si="3"/>
        <v/>
      </c>
    </row>
    <row r="74">
      <c r="A74" s="56" t="str">
        <f t="shared" si="1"/>
        <v/>
      </c>
      <c r="B74" s="72"/>
      <c r="C74" s="72"/>
      <c r="D74" s="57"/>
      <c r="E74" s="57"/>
      <c r="F74" s="57"/>
      <c r="G74" s="57"/>
      <c r="H74" s="57"/>
      <c r="I74" s="57"/>
      <c r="J74" s="57"/>
      <c r="K74" s="57"/>
      <c r="L74" s="72"/>
      <c r="M74" s="72"/>
      <c r="N74" s="57"/>
      <c r="O74" s="80"/>
      <c r="P74" s="72"/>
      <c r="Q74" s="80"/>
      <c r="R74" s="63" t="str">
        <f t="shared" si="4"/>
        <v/>
      </c>
      <c r="S74" s="85" t="str">
        <f t="shared" si="2"/>
        <v/>
      </c>
      <c r="T74" s="76"/>
      <c r="U74" s="76"/>
      <c r="V74" s="76"/>
      <c r="W74" s="76"/>
      <c r="X74" s="75"/>
      <c r="Y74" s="68"/>
      <c r="Z74" s="68"/>
      <c r="AA74" s="76"/>
      <c r="AB74" s="76"/>
      <c r="AC74" s="69" t="str">
        <f t="shared" si="5"/>
        <v/>
      </c>
      <c r="AD74" s="69" t="str">
        <f t="shared" si="6"/>
        <v/>
      </c>
      <c r="AE74" s="70" t="str">
        <f t="shared" si="7"/>
        <v/>
      </c>
      <c r="AF74" s="71" t="str">
        <f t="shared" si="8"/>
        <v/>
      </c>
      <c r="AG74" s="69" t="str">
        <f t="shared" si="9"/>
        <v/>
      </c>
      <c r="AH74" s="69" t="str">
        <f t="shared" si="10"/>
        <v/>
      </c>
      <c r="AI74" s="69" t="str">
        <f t="shared" si="3"/>
        <v/>
      </c>
    </row>
    <row r="75">
      <c r="A75" s="56" t="str">
        <f t="shared" si="1"/>
        <v/>
      </c>
      <c r="B75" s="72"/>
      <c r="C75" s="72"/>
      <c r="D75" s="57"/>
      <c r="E75" s="57"/>
      <c r="F75" s="57"/>
      <c r="G75" s="57"/>
      <c r="H75" s="57"/>
      <c r="I75" s="57"/>
      <c r="J75" s="57"/>
      <c r="K75" s="57"/>
      <c r="L75" s="72"/>
      <c r="M75" s="72"/>
      <c r="N75" s="57"/>
      <c r="O75" s="80"/>
      <c r="P75" s="72"/>
      <c r="Q75" s="80"/>
      <c r="R75" s="63" t="str">
        <f t="shared" si="4"/>
        <v/>
      </c>
      <c r="S75" s="85" t="str">
        <f t="shared" si="2"/>
        <v/>
      </c>
      <c r="T75" s="76"/>
      <c r="U75" s="76"/>
      <c r="V75" s="76"/>
      <c r="W75" s="76"/>
      <c r="X75" s="75"/>
      <c r="Y75" s="68"/>
      <c r="Z75" s="68"/>
      <c r="AA75" s="76"/>
      <c r="AB75" s="76"/>
      <c r="AC75" s="69" t="str">
        <f t="shared" si="5"/>
        <v/>
      </c>
      <c r="AD75" s="69" t="str">
        <f t="shared" si="6"/>
        <v/>
      </c>
      <c r="AE75" s="70" t="str">
        <f t="shared" si="7"/>
        <v/>
      </c>
      <c r="AF75" s="71" t="str">
        <f t="shared" si="8"/>
        <v/>
      </c>
      <c r="AG75" s="69" t="str">
        <f t="shared" si="9"/>
        <v/>
      </c>
      <c r="AH75" s="69" t="str">
        <f t="shared" si="10"/>
        <v/>
      </c>
      <c r="AI75" s="69" t="str">
        <f t="shared" si="3"/>
        <v/>
      </c>
    </row>
    <row r="76">
      <c r="A76" s="56" t="str">
        <f t="shared" si="1"/>
        <v/>
      </c>
      <c r="B76" s="72"/>
      <c r="C76" s="72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80"/>
      <c r="P76" s="72"/>
      <c r="Q76" s="80"/>
      <c r="R76" s="63" t="str">
        <f t="shared" si="4"/>
        <v/>
      </c>
      <c r="S76" s="85" t="str">
        <f t="shared" si="2"/>
        <v/>
      </c>
      <c r="T76" s="76"/>
      <c r="U76" s="76"/>
      <c r="V76" s="76"/>
      <c r="W76" s="76"/>
      <c r="X76" s="75"/>
      <c r="Y76" s="68"/>
      <c r="Z76" s="68"/>
      <c r="AA76" s="76"/>
      <c r="AB76" s="76"/>
      <c r="AC76" s="69" t="str">
        <f t="shared" si="5"/>
        <v/>
      </c>
      <c r="AD76" s="69" t="str">
        <f t="shared" si="6"/>
        <v/>
      </c>
      <c r="AE76" s="70" t="str">
        <f t="shared" si="7"/>
        <v/>
      </c>
      <c r="AF76" s="71" t="str">
        <f t="shared" si="8"/>
        <v/>
      </c>
      <c r="AG76" s="69" t="str">
        <f t="shared" si="9"/>
        <v/>
      </c>
      <c r="AH76" s="69" t="str">
        <f t="shared" si="10"/>
        <v/>
      </c>
      <c r="AI76" s="69" t="str">
        <f t="shared" si="3"/>
        <v/>
      </c>
    </row>
    <row r="77">
      <c r="A77" s="56" t="str">
        <f t="shared" si="1"/>
        <v/>
      </c>
      <c r="B77" s="72"/>
      <c r="C77" s="72"/>
      <c r="D77" s="57"/>
      <c r="E77" s="57"/>
      <c r="F77" s="57"/>
      <c r="G77" s="57"/>
      <c r="H77" s="57"/>
      <c r="I77" s="57"/>
      <c r="J77" s="57"/>
      <c r="K77" s="57"/>
      <c r="L77" s="72"/>
      <c r="M77" s="72"/>
      <c r="N77" s="57"/>
      <c r="O77" s="80"/>
      <c r="P77" s="72"/>
      <c r="Q77" s="80"/>
      <c r="R77" s="63" t="str">
        <f t="shared" si="4"/>
        <v/>
      </c>
      <c r="S77" s="85" t="str">
        <f t="shared" si="2"/>
        <v/>
      </c>
      <c r="T77" s="76"/>
      <c r="U77" s="76"/>
      <c r="V77" s="76"/>
      <c r="W77" s="76"/>
      <c r="X77" s="75"/>
      <c r="Y77" s="68"/>
      <c r="Z77" s="68"/>
      <c r="AA77" s="76"/>
      <c r="AB77" s="76"/>
      <c r="AC77" s="69" t="str">
        <f t="shared" si="5"/>
        <v/>
      </c>
      <c r="AD77" s="69" t="str">
        <f t="shared" si="6"/>
        <v/>
      </c>
      <c r="AE77" s="70" t="str">
        <f t="shared" si="7"/>
        <v/>
      </c>
      <c r="AF77" s="71" t="str">
        <f t="shared" si="8"/>
        <v/>
      </c>
      <c r="AG77" s="69" t="str">
        <f t="shared" si="9"/>
        <v/>
      </c>
      <c r="AH77" s="69" t="str">
        <f t="shared" si="10"/>
        <v/>
      </c>
      <c r="AI77" s="69" t="str">
        <f t="shared" si="3"/>
        <v/>
      </c>
    </row>
    <row r="78">
      <c r="A78" s="56" t="str">
        <f t="shared" si="1"/>
        <v/>
      </c>
      <c r="B78" s="72"/>
      <c r="C78" s="72"/>
      <c r="D78" s="57"/>
      <c r="E78" s="57"/>
      <c r="F78" s="57"/>
      <c r="G78" s="57"/>
      <c r="H78" s="57"/>
      <c r="I78" s="57"/>
      <c r="J78" s="57"/>
      <c r="K78" s="57"/>
      <c r="L78" s="72"/>
      <c r="M78" s="72"/>
      <c r="N78" s="57"/>
      <c r="O78" s="80"/>
      <c r="P78" s="72"/>
      <c r="Q78" s="80"/>
      <c r="R78" s="63" t="str">
        <f t="shared" si="4"/>
        <v/>
      </c>
      <c r="S78" s="85" t="str">
        <f t="shared" si="2"/>
        <v/>
      </c>
      <c r="T78" s="76"/>
      <c r="U78" s="76"/>
      <c r="V78" s="76"/>
      <c r="W78" s="76"/>
      <c r="X78" s="75"/>
      <c r="Y78" s="68"/>
      <c r="Z78" s="68"/>
      <c r="AA78" s="76"/>
      <c r="AB78" s="76"/>
      <c r="AC78" s="69" t="str">
        <f t="shared" si="5"/>
        <v/>
      </c>
      <c r="AD78" s="69" t="str">
        <f t="shared" si="6"/>
        <v/>
      </c>
      <c r="AE78" s="70" t="str">
        <f t="shared" si="7"/>
        <v/>
      </c>
      <c r="AF78" s="71" t="str">
        <f t="shared" si="8"/>
        <v/>
      </c>
      <c r="AG78" s="69" t="str">
        <f t="shared" si="9"/>
        <v/>
      </c>
      <c r="AH78" s="69" t="str">
        <f t="shared" si="10"/>
        <v/>
      </c>
      <c r="AI78" s="69" t="str">
        <f t="shared" si="3"/>
        <v/>
      </c>
    </row>
    <row r="79">
      <c r="A79" s="56" t="str">
        <f t="shared" si="1"/>
        <v/>
      </c>
      <c r="B79" s="72"/>
      <c r="C79" s="72"/>
      <c r="D79" s="57"/>
      <c r="E79" s="57"/>
      <c r="F79" s="57"/>
      <c r="G79" s="57"/>
      <c r="H79" s="57"/>
      <c r="I79" s="57"/>
      <c r="J79" s="57"/>
      <c r="K79" s="57"/>
      <c r="L79" s="72"/>
      <c r="M79" s="72"/>
      <c r="N79" s="57"/>
      <c r="O79" s="80"/>
      <c r="P79" s="72"/>
      <c r="Q79" s="80"/>
      <c r="R79" s="63" t="str">
        <f t="shared" si="4"/>
        <v/>
      </c>
      <c r="S79" s="85" t="str">
        <f t="shared" si="2"/>
        <v/>
      </c>
      <c r="T79" s="76"/>
      <c r="U79" s="76"/>
      <c r="V79" s="76"/>
      <c r="W79" s="76"/>
      <c r="X79" s="75"/>
      <c r="Y79" s="68"/>
      <c r="Z79" s="68"/>
      <c r="AA79" s="76"/>
      <c r="AB79" s="76"/>
      <c r="AC79" s="69" t="str">
        <f t="shared" si="5"/>
        <v/>
      </c>
      <c r="AD79" s="69" t="str">
        <f t="shared" si="6"/>
        <v/>
      </c>
      <c r="AE79" s="70" t="str">
        <f t="shared" si="7"/>
        <v/>
      </c>
      <c r="AF79" s="71" t="str">
        <f t="shared" si="8"/>
        <v/>
      </c>
      <c r="AG79" s="69" t="str">
        <f t="shared" si="9"/>
        <v/>
      </c>
      <c r="AH79" s="69" t="str">
        <f t="shared" si="10"/>
        <v/>
      </c>
      <c r="AI79" s="69" t="str">
        <f t="shared" si="3"/>
        <v/>
      </c>
    </row>
    <row r="80">
      <c r="A80" s="56" t="str">
        <f t="shared" si="1"/>
        <v/>
      </c>
      <c r="B80" s="72"/>
      <c r="C80" s="72"/>
      <c r="D80" s="57"/>
      <c r="E80" s="57"/>
      <c r="F80" s="57"/>
      <c r="G80" s="57"/>
      <c r="H80" s="57"/>
      <c r="I80" s="57"/>
      <c r="J80" s="57"/>
      <c r="K80" s="57"/>
      <c r="L80" s="72"/>
      <c r="M80" s="72"/>
      <c r="N80" s="57"/>
      <c r="O80" s="80"/>
      <c r="P80" s="72"/>
      <c r="Q80" s="80"/>
      <c r="R80" s="63" t="str">
        <f t="shared" si="4"/>
        <v/>
      </c>
      <c r="S80" s="85" t="str">
        <f t="shared" si="2"/>
        <v/>
      </c>
      <c r="T80" s="76"/>
      <c r="U80" s="76"/>
      <c r="V80" s="76"/>
      <c r="W80" s="76"/>
      <c r="X80" s="75"/>
      <c r="Y80" s="68"/>
      <c r="Z80" s="68"/>
      <c r="AA80" s="76"/>
      <c r="AB80" s="76"/>
      <c r="AC80" s="69" t="str">
        <f t="shared" si="5"/>
        <v/>
      </c>
      <c r="AD80" s="69" t="str">
        <f t="shared" si="6"/>
        <v/>
      </c>
      <c r="AE80" s="70" t="str">
        <f t="shared" si="7"/>
        <v/>
      </c>
      <c r="AF80" s="71" t="str">
        <f t="shared" si="8"/>
        <v/>
      </c>
      <c r="AG80" s="69" t="str">
        <f t="shared" si="9"/>
        <v/>
      </c>
      <c r="AH80" s="69" t="str">
        <f t="shared" si="10"/>
        <v/>
      </c>
      <c r="AI80" s="69" t="str">
        <f t="shared" si="3"/>
        <v/>
      </c>
    </row>
    <row r="81">
      <c r="A81" s="56" t="str">
        <f t="shared" si="1"/>
        <v/>
      </c>
      <c r="B81" s="72"/>
      <c r="C81" s="72"/>
      <c r="D81" s="57"/>
      <c r="E81" s="57"/>
      <c r="F81" s="57"/>
      <c r="G81" s="57"/>
      <c r="H81" s="57"/>
      <c r="I81" s="57"/>
      <c r="J81" s="57"/>
      <c r="K81" s="57"/>
      <c r="L81" s="72"/>
      <c r="M81" s="72"/>
      <c r="N81" s="57"/>
      <c r="O81" s="80"/>
      <c r="P81" s="72"/>
      <c r="Q81" s="80"/>
      <c r="R81" s="63" t="str">
        <f t="shared" si="4"/>
        <v/>
      </c>
      <c r="S81" s="85" t="str">
        <f t="shared" si="2"/>
        <v/>
      </c>
      <c r="T81" s="76"/>
      <c r="U81" s="76"/>
      <c r="V81" s="76"/>
      <c r="W81" s="76"/>
      <c r="X81" s="75"/>
      <c r="Y81" s="68"/>
      <c r="Z81" s="68"/>
      <c r="AA81" s="76"/>
      <c r="AB81" s="76"/>
      <c r="AC81" s="69" t="str">
        <f t="shared" si="5"/>
        <v/>
      </c>
      <c r="AD81" s="69" t="str">
        <f t="shared" si="6"/>
        <v/>
      </c>
      <c r="AE81" s="70" t="str">
        <f t="shared" si="7"/>
        <v/>
      </c>
      <c r="AF81" s="71" t="str">
        <f t="shared" si="8"/>
        <v/>
      </c>
      <c r="AG81" s="69" t="str">
        <f t="shared" si="9"/>
        <v/>
      </c>
      <c r="AH81" s="69" t="str">
        <f t="shared" si="10"/>
        <v/>
      </c>
      <c r="AI81" s="69" t="str">
        <f t="shared" si="3"/>
        <v/>
      </c>
    </row>
    <row r="82">
      <c r="A82" s="56" t="str">
        <f t="shared" si="1"/>
        <v/>
      </c>
      <c r="B82" s="72"/>
      <c r="C82" s="72"/>
      <c r="D82" s="57"/>
      <c r="E82" s="57"/>
      <c r="F82" s="57"/>
      <c r="G82" s="57"/>
      <c r="H82" s="57"/>
      <c r="I82" s="57"/>
      <c r="J82" s="57"/>
      <c r="K82" s="57"/>
      <c r="L82" s="72"/>
      <c r="M82" s="72"/>
      <c r="N82" s="57"/>
      <c r="O82" s="80"/>
      <c r="P82" s="72"/>
      <c r="Q82" s="80"/>
      <c r="R82" s="63" t="str">
        <f t="shared" si="4"/>
        <v/>
      </c>
      <c r="S82" s="85" t="str">
        <f t="shared" si="2"/>
        <v/>
      </c>
      <c r="T82" s="76"/>
      <c r="U82" s="76"/>
      <c r="V82" s="76"/>
      <c r="W82" s="76"/>
      <c r="X82" s="75"/>
      <c r="Y82" s="68"/>
      <c r="Z82" s="68"/>
      <c r="AA82" s="76"/>
      <c r="AB82" s="76"/>
      <c r="AC82" s="69" t="str">
        <f t="shared" si="5"/>
        <v/>
      </c>
      <c r="AD82" s="69" t="str">
        <f t="shared" si="6"/>
        <v/>
      </c>
      <c r="AE82" s="70" t="str">
        <f t="shared" si="7"/>
        <v/>
      </c>
      <c r="AF82" s="71" t="str">
        <f t="shared" si="8"/>
        <v/>
      </c>
      <c r="AG82" s="69" t="str">
        <f t="shared" si="9"/>
        <v/>
      </c>
      <c r="AH82" s="69" t="str">
        <f t="shared" si="10"/>
        <v/>
      </c>
      <c r="AI82" s="69" t="str">
        <f t="shared" si="3"/>
        <v/>
      </c>
    </row>
    <row r="83">
      <c r="A83" s="56" t="str">
        <f t="shared" si="1"/>
        <v/>
      </c>
      <c r="B83" s="72"/>
      <c r="C83" s="72"/>
      <c r="D83" s="57"/>
      <c r="E83" s="57"/>
      <c r="F83" s="57"/>
      <c r="G83" s="57"/>
      <c r="H83" s="57"/>
      <c r="I83" s="57"/>
      <c r="J83" s="57"/>
      <c r="K83" s="57"/>
      <c r="L83" s="72"/>
      <c r="M83" s="72"/>
      <c r="N83" s="57"/>
      <c r="O83" s="80"/>
      <c r="P83" s="72"/>
      <c r="Q83" s="80"/>
      <c r="R83" s="63" t="str">
        <f t="shared" si="4"/>
        <v/>
      </c>
      <c r="S83" s="85" t="str">
        <f t="shared" si="2"/>
        <v/>
      </c>
      <c r="T83" s="76"/>
      <c r="U83" s="76"/>
      <c r="V83" s="76"/>
      <c r="W83" s="76"/>
      <c r="X83" s="75"/>
      <c r="Y83" s="68"/>
      <c r="Z83" s="68"/>
      <c r="AA83" s="76"/>
      <c r="AB83" s="76"/>
      <c r="AC83" s="69" t="str">
        <f t="shared" si="5"/>
        <v/>
      </c>
      <c r="AD83" s="69" t="str">
        <f t="shared" si="6"/>
        <v/>
      </c>
      <c r="AE83" s="70" t="str">
        <f t="shared" si="7"/>
        <v/>
      </c>
      <c r="AF83" s="71" t="str">
        <f t="shared" si="8"/>
        <v/>
      </c>
      <c r="AG83" s="69" t="str">
        <f t="shared" si="9"/>
        <v/>
      </c>
      <c r="AH83" s="69" t="str">
        <f t="shared" si="10"/>
        <v/>
      </c>
      <c r="AI83" s="69" t="str">
        <f t="shared" si="3"/>
        <v/>
      </c>
    </row>
    <row r="84">
      <c r="A84" s="56" t="str">
        <f t="shared" si="1"/>
        <v/>
      </c>
      <c r="B84" s="72"/>
      <c r="C84" s="72"/>
      <c r="D84" s="57"/>
      <c r="E84" s="57"/>
      <c r="F84" s="57"/>
      <c r="G84" s="57"/>
      <c r="H84" s="57"/>
      <c r="I84" s="57"/>
      <c r="J84" s="57"/>
      <c r="K84" s="57"/>
      <c r="L84" s="72"/>
      <c r="M84" s="72"/>
      <c r="N84" s="57"/>
      <c r="O84" s="80"/>
      <c r="P84" s="72"/>
      <c r="Q84" s="80"/>
      <c r="R84" s="63" t="str">
        <f t="shared" si="4"/>
        <v/>
      </c>
      <c r="S84" s="85" t="str">
        <f t="shared" si="2"/>
        <v/>
      </c>
      <c r="T84" s="76"/>
      <c r="U84" s="76"/>
      <c r="V84" s="76"/>
      <c r="W84" s="76"/>
      <c r="X84" s="75"/>
      <c r="Y84" s="68"/>
      <c r="Z84" s="68"/>
      <c r="AA84" s="76"/>
      <c r="AB84" s="76"/>
      <c r="AC84" s="69" t="str">
        <f t="shared" si="5"/>
        <v/>
      </c>
      <c r="AD84" s="69" t="str">
        <f t="shared" si="6"/>
        <v/>
      </c>
      <c r="AE84" s="70" t="str">
        <f t="shared" si="7"/>
        <v/>
      </c>
      <c r="AF84" s="71" t="str">
        <f t="shared" si="8"/>
        <v/>
      </c>
      <c r="AG84" s="69" t="str">
        <f t="shared" si="9"/>
        <v/>
      </c>
      <c r="AH84" s="69" t="str">
        <f t="shared" si="10"/>
        <v/>
      </c>
      <c r="AI84" s="69" t="str">
        <f t="shared" si="3"/>
        <v/>
      </c>
    </row>
    <row r="85">
      <c r="A85" s="56" t="str">
        <f t="shared" si="1"/>
        <v/>
      </c>
      <c r="B85" s="72"/>
      <c r="C85" s="72"/>
      <c r="D85" s="57"/>
      <c r="E85" s="57"/>
      <c r="F85" s="57"/>
      <c r="G85" s="57"/>
      <c r="H85" s="57"/>
      <c r="I85" s="57"/>
      <c r="J85" s="57"/>
      <c r="K85" s="57"/>
      <c r="L85" s="72"/>
      <c r="M85" s="72"/>
      <c r="N85" s="57"/>
      <c r="O85" s="80"/>
      <c r="P85" s="72"/>
      <c r="Q85" s="80"/>
      <c r="R85" s="63" t="str">
        <f t="shared" si="4"/>
        <v/>
      </c>
      <c r="S85" s="85" t="str">
        <f t="shared" si="2"/>
        <v/>
      </c>
      <c r="T85" s="76"/>
      <c r="U85" s="76"/>
      <c r="V85" s="76"/>
      <c r="W85" s="76"/>
      <c r="X85" s="75"/>
      <c r="Y85" s="68"/>
      <c r="Z85" s="68"/>
      <c r="AA85" s="76"/>
      <c r="AB85" s="76"/>
      <c r="AC85" s="69" t="str">
        <f t="shared" si="5"/>
        <v/>
      </c>
      <c r="AD85" s="69" t="str">
        <f t="shared" si="6"/>
        <v/>
      </c>
      <c r="AE85" s="70" t="str">
        <f t="shared" si="7"/>
        <v/>
      </c>
      <c r="AF85" s="71" t="str">
        <f t="shared" si="8"/>
        <v/>
      </c>
      <c r="AG85" s="69" t="str">
        <f t="shared" si="9"/>
        <v/>
      </c>
      <c r="AH85" s="69" t="str">
        <f t="shared" si="10"/>
        <v/>
      </c>
      <c r="AI85" s="69" t="str">
        <f t="shared" si="3"/>
        <v/>
      </c>
    </row>
    <row r="86">
      <c r="A86" s="56" t="str">
        <f t="shared" si="1"/>
        <v/>
      </c>
      <c r="B86" s="72"/>
      <c r="C86" s="72"/>
      <c r="D86" s="57"/>
      <c r="E86" s="57"/>
      <c r="F86" s="57"/>
      <c r="G86" s="57"/>
      <c r="H86" s="57"/>
      <c r="I86" s="57"/>
      <c r="J86" s="57"/>
      <c r="K86" s="57"/>
      <c r="L86" s="72"/>
      <c r="M86" s="57"/>
      <c r="N86" s="57"/>
      <c r="O86" s="80"/>
      <c r="P86" s="72"/>
      <c r="Q86" s="80"/>
      <c r="R86" s="63" t="str">
        <f t="shared" si="4"/>
        <v/>
      </c>
      <c r="S86" s="85" t="str">
        <f t="shared" si="2"/>
        <v/>
      </c>
      <c r="T86" s="76"/>
      <c r="U86" s="76"/>
      <c r="V86" s="76"/>
      <c r="W86" s="76"/>
      <c r="X86" s="75"/>
      <c r="Y86" s="68"/>
      <c r="Z86" s="68"/>
      <c r="AA86" s="76"/>
      <c r="AB86" s="76"/>
      <c r="AC86" s="69" t="str">
        <f t="shared" si="5"/>
        <v/>
      </c>
      <c r="AD86" s="69" t="str">
        <f t="shared" si="6"/>
        <v/>
      </c>
      <c r="AE86" s="70" t="str">
        <f t="shared" si="7"/>
        <v/>
      </c>
      <c r="AF86" s="71" t="str">
        <f t="shared" si="8"/>
        <v/>
      </c>
      <c r="AG86" s="69" t="str">
        <f t="shared" si="9"/>
        <v/>
      </c>
      <c r="AH86" s="69" t="str">
        <f t="shared" si="10"/>
        <v/>
      </c>
      <c r="AI86" s="69" t="str">
        <f t="shared" si="3"/>
        <v/>
      </c>
    </row>
    <row r="87">
      <c r="A87" s="56" t="str">
        <f t="shared" si="1"/>
        <v/>
      </c>
      <c r="B87" s="72"/>
      <c r="C87" s="72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80"/>
      <c r="P87" s="72"/>
      <c r="Q87" s="80"/>
      <c r="R87" s="63" t="str">
        <f t="shared" si="4"/>
        <v/>
      </c>
      <c r="S87" s="85" t="str">
        <f t="shared" si="2"/>
        <v/>
      </c>
      <c r="T87" s="76"/>
      <c r="U87" s="76"/>
      <c r="V87" s="76"/>
      <c r="W87" s="76"/>
      <c r="X87" s="75"/>
      <c r="Y87" s="68"/>
      <c r="Z87" s="68"/>
      <c r="AA87" s="76"/>
      <c r="AB87" s="76"/>
      <c r="AC87" s="69" t="str">
        <f t="shared" si="5"/>
        <v/>
      </c>
      <c r="AD87" s="69" t="str">
        <f t="shared" si="6"/>
        <v/>
      </c>
      <c r="AE87" s="70" t="str">
        <f t="shared" si="7"/>
        <v/>
      </c>
      <c r="AF87" s="71" t="str">
        <f t="shared" si="8"/>
        <v/>
      </c>
      <c r="AG87" s="69" t="str">
        <f t="shared" si="9"/>
        <v/>
      </c>
      <c r="AH87" s="69" t="str">
        <f t="shared" si="10"/>
        <v/>
      </c>
      <c r="AI87" s="69" t="str">
        <f t="shared" si="3"/>
        <v/>
      </c>
    </row>
    <row r="88">
      <c r="A88" s="56" t="str">
        <f t="shared" si="1"/>
        <v/>
      </c>
      <c r="B88" s="72"/>
      <c r="C88" s="72"/>
      <c r="D88" s="57"/>
      <c r="E88" s="57"/>
      <c r="F88" s="57"/>
      <c r="G88" s="57"/>
      <c r="H88" s="57"/>
      <c r="I88" s="57"/>
      <c r="J88" s="57"/>
      <c r="K88" s="57"/>
      <c r="L88" s="72"/>
      <c r="M88" s="72"/>
      <c r="N88" s="57"/>
      <c r="O88" s="80"/>
      <c r="P88" s="72"/>
      <c r="Q88" s="80"/>
      <c r="R88" s="63" t="str">
        <f t="shared" si="4"/>
        <v/>
      </c>
      <c r="S88" s="85" t="str">
        <f t="shared" si="2"/>
        <v/>
      </c>
      <c r="T88" s="76"/>
      <c r="U88" s="76"/>
      <c r="V88" s="76"/>
      <c r="W88" s="76"/>
      <c r="X88" s="75"/>
      <c r="Y88" s="68"/>
      <c r="Z88" s="68"/>
      <c r="AA88" s="76"/>
      <c r="AB88" s="76"/>
      <c r="AC88" s="69" t="str">
        <f t="shared" si="5"/>
        <v/>
      </c>
      <c r="AD88" s="69" t="str">
        <f t="shared" si="6"/>
        <v/>
      </c>
      <c r="AE88" s="70" t="str">
        <f t="shared" si="7"/>
        <v/>
      </c>
      <c r="AF88" s="71" t="str">
        <f t="shared" si="8"/>
        <v/>
      </c>
      <c r="AG88" s="69" t="str">
        <f t="shared" si="9"/>
        <v/>
      </c>
      <c r="AH88" s="69" t="str">
        <f t="shared" si="10"/>
        <v/>
      </c>
      <c r="AI88" s="69" t="str">
        <f t="shared" si="3"/>
        <v/>
      </c>
    </row>
    <row r="89">
      <c r="A89" s="56" t="str">
        <f t="shared" si="1"/>
        <v/>
      </c>
      <c r="B89" s="72"/>
      <c r="C89" s="72"/>
      <c r="D89" s="57"/>
      <c r="E89" s="57"/>
      <c r="F89" s="57"/>
      <c r="G89" s="57"/>
      <c r="H89" s="57"/>
      <c r="I89" s="57"/>
      <c r="J89" s="57"/>
      <c r="K89" s="57"/>
      <c r="L89" s="72"/>
      <c r="M89" s="72"/>
      <c r="N89" s="57"/>
      <c r="O89" s="80"/>
      <c r="P89" s="72"/>
      <c r="Q89" s="80"/>
      <c r="R89" s="63" t="str">
        <f t="shared" si="4"/>
        <v/>
      </c>
      <c r="S89" s="85" t="str">
        <f t="shared" si="2"/>
        <v/>
      </c>
      <c r="T89" s="76"/>
      <c r="U89" s="76"/>
      <c r="V89" s="76"/>
      <c r="W89" s="76"/>
      <c r="X89" s="75"/>
      <c r="Y89" s="68"/>
      <c r="Z89" s="68"/>
      <c r="AA89" s="76"/>
      <c r="AB89" s="76"/>
      <c r="AC89" s="69" t="str">
        <f t="shared" si="5"/>
        <v/>
      </c>
      <c r="AD89" s="69" t="str">
        <f t="shared" si="6"/>
        <v/>
      </c>
      <c r="AE89" s="70" t="str">
        <f t="shared" si="7"/>
        <v/>
      </c>
      <c r="AF89" s="71" t="str">
        <f t="shared" si="8"/>
        <v/>
      </c>
      <c r="AG89" s="69" t="str">
        <f t="shared" si="9"/>
        <v/>
      </c>
      <c r="AH89" s="69" t="str">
        <f t="shared" si="10"/>
        <v/>
      </c>
      <c r="AI89" s="69" t="str">
        <f t="shared" si="3"/>
        <v/>
      </c>
    </row>
    <row r="90">
      <c r="A90" s="56" t="str">
        <f t="shared" si="1"/>
        <v/>
      </c>
      <c r="B90" s="72"/>
      <c r="C90" s="72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80"/>
      <c r="P90" s="72"/>
      <c r="Q90" s="80"/>
      <c r="R90" s="63" t="str">
        <f t="shared" si="4"/>
        <v/>
      </c>
      <c r="S90" s="85" t="str">
        <f t="shared" si="2"/>
        <v/>
      </c>
      <c r="T90" s="76"/>
      <c r="U90" s="76"/>
      <c r="V90" s="76"/>
      <c r="W90" s="76"/>
      <c r="X90" s="75"/>
      <c r="Y90" s="68"/>
      <c r="Z90" s="68"/>
      <c r="AA90" s="76"/>
      <c r="AB90" s="76"/>
      <c r="AC90" s="69" t="str">
        <f t="shared" si="5"/>
        <v/>
      </c>
      <c r="AD90" s="69" t="str">
        <f t="shared" si="6"/>
        <v/>
      </c>
      <c r="AE90" s="70" t="str">
        <f t="shared" si="7"/>
        <v/>
      </c>
      <c r="AF90" s="71" t="str">
        <f t="shared" si="8"/>
        <v/>
      </c>
      <c r="AG90" s="69" t="str">
        <f t="shared" si="9"/>
        <v/>
      </c>
      <c r="AH90" s="69" t="str">
        <f t="shared" si="10"/>
        <v/>
      </c>
      <c r="AI90" s="69" t="str">
        <f t="shared" si="3"/>
        <v/>
      </c>
    </row>
    <row r="91">
      <c r="A91" s="56" t="str">
        <f t="shared" si="1"/>
        <v/>
      </c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80"/>
      <c r="P91" s="72"/>
      <c r="Q91" s="80"/>
      <c r="R91" s="63" t="str">
        <f t="shared" si="4"/>
        <v/>
      </c>
      <c r="S91" s="85" t="str">
        <f t="shared" si="2"/>
        <v/>
      </c>
      <c r="T91" s="76"/>
      <c r="U91" s="76"/>
      <c r="V91" s="76"/>
      <c r="W91" s="76"/>
      <c r="X91" s="75"/>
      <c r="Y91" s="68"/>
      <c r="Z91" s="68"/>
      <c r="AA91" s="76"/>
      <c r="AB91" s="76"/>
      <c r="AC91" s="69" t="str">
        <f t="shared" si="5"/>
        <v/>
      </c>
      <c r="AD91" s="69" t="str">
        <f t="shared" si="6"/>
        <v/>
      </c>
      <c r="AE91" s="70" t="str">
        <f t="shared" si="7"/>
        <v/>
      </c>
      <c r="AF91" s="71" t="str">
        <f t="shared" si="8"/>
        <v/>
      </c>
      <c r="AG91" s="69" t="str">
        <f t="shared" si="9"/>
        <v/>
      </c>
      <c r="AH91" s="69" t="str">
        <f t="shared" si="10"/>
        <v/>
      </c>
      <c r="AI91" s="69" t="str">
        <f t="shared" si="3"/>
        <v/>
      </c>
    </row>
    <row r="92">
      <c r="A92" s="56" t="str">
        <f t="shared" si="1"/>
        <v/>
      </c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80"/>
      <c r="P92" s="72"/>
      <c r="Q92" s="80"/>
      <c r="R92" s="63" t="str">
        <f t="shared" si="4"/>
        <v/>
      </c>
      <c r="S92" s="85" t="str">
        <f t="shared" si="2"/>
        <v/>
      </c>
      <c r="T92" s="76"/>
      <c r="U92" s="76"/>
      <c r="V92" s="76"/>
      <c r="W92" s="76"/>
      <c r="X92" s="75"/>
      <c r="Y92" s="68"/>
      <c r="Z92" s="68"/>
      <c r="AA92" s="76"/>
      <c r="AB92" s="76"/>
      <c r="AC92" s="69" t="str">
        <f t="shared" si="5"/>
        <v/>
      </c>
      <c r="AD92" s="69" t="str">
        <f t="shared" si="6"/>
        <v/>
      </c>
      <c r="AE92" s="70" t="str">
        <f t="shared" si="7"/>
        <v/>
      </c>
      <c r="AF92" s="71" t="str">
        <f t="shared" si="8"/>
        <v/>
      </c>
      <c r="AG92" s="69" t="str">
        <f t="shared" si="9"/>
        <v/>
      </c>
      <c r="AH92" s="69" t="str">
        <f t="shared" si="10"/>
        <v/>
      </c>
      <c r="AI92" s="69" t="str">
        <f t="shared" si="3"/>
        <v/>
      </c>
    </row>
    <row r="93">
      <c r="A93" s="56" t="str">
        <f t="shared" si="1"/>
        <v/>
      </c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80"/>
      <c r="P93" s="72"/>
      <c r="Q93" s="80"/>
      <c r="R93" s="63" t="str">
        <f t="shared" si="4"/>
        <v/>
      </c>
      <c r="S93" s="85" t="str">
        <f t="shared" si="2"/>
        <v/>
      </c>
      <c r="T93" s="76"/>
      <c r="U93" s="76"/>
      <c r="V93" s="76"/>
      <c r="W93" s="76"/>
      <c r="X93" s="75"/>
      <c r="Y93" s="68"/>
      <c r="Z93" s="68"/>
      <c r="AA93" s="76"/>
      <c r="AB93" s="76"/>
      <c r="AC93" s="69" t="str">
        <f t="shared" si="5"/>
        <v/>
      </c>
      <c r="AD93" s="69" t="str">
        <f t="shared" si="6"/>
        <v/>
      </c>
      <c r="AE93" s="70" t="str">
        <f t="shared" si="7"/>
        <v/>
      </c>
      <c r="AF93" s="71" t="str">
        <f t="shared" si="8"/>
        <v/>
      </c>
      <c r="AG93" s="69" t="str">
        <f t="shared" si="9"/>
        <v/>
      </c>
      <c r="AH93" s="69" t="str">
        <f t="shared" si="10"/>
        <v/>
      </c>
      <c r="AI93" s="69" t="str">
        <f t="shared" si="3"/>
        <v/>
      </c>
    </row>
    <row r="94">
      <c r="A94" s="56" t="str">
        <f t="shared" si="1"/>
        <v/>
      </c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80"/>
      <c r="P94" s="72"/>
      <c r="Q94" s="80"/>
      <c r="R94" s="63" t="str">
        <f t="shared" si="4"/>
        <v/>
      </c>
      <c r="S94" s="85" t="str">
        <f t="shared" si="2"/>
        <v/>
      </c>
      <c r="T94" s="76"/>
      <c r="U94" s="76"/>
      <c r="V94" s="76"/>
      <c r="W94" s="76"/>
      <c r="X94" s="75"/>
      <c r="Y94" s="68"/>
      <c r="Z94" s="68"/>
      <c r="AA94" s="76"/>
      <c r="AB94" s="76"/>
      <c r="AC94" s="69" t="str">
        <f t="shared" si="5"/>
        <v/>
      </c>
      <c r="AD94" s="69" t="str">
        <f t="shared" si="6"/>
        <v/>
      </c>
      <c r="AE94" s="70" t="str">
        <f t="shared" si="7"/>
        <v/>
      </c>
      <c r="AF94" s="71" t="str">
        <f t="shared" si="8"/>
        <v/>
      </c>
      <c r="AG94" s="69" t="str">
        <f t="shared" si="9"/>
        <v/>
      </c>
      <c r="AH94" s="69" t="str">
        <f t="shared" si="10"/>
        <v/>
      </c>
      <c r="AI94" s="69" t="str">
        <f t="shared" si="3"/>
        <v/>
      </c>
    </row>
    <row r="95">
      <c r="A95" s="56" t="str">
        <f t="shared" si="1"/>
        <v/>
      </c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80"/>
      <c r="P95" s="72"/>
      <c r="Q95" s="80"/>
      <c r="R95" s="63" t="str">
        <f t="shared" si="4"/>
        <v/>
      </c>
      <c r="S95" s="85" t="str">
        <f t="shared" si="2"/>
        <v/>
      </c>
      <c r="T95" s="76"/>
      <c r="U95" s="76"/>
      <c r="V95" s="76"/>
      <c r="W95" s="76"/>
      <c r="X95" s="75"/>
      <c r="Y95" s="68"/>
      <c r="Z95" s="68"/>
      <c r="AA95" s="76"/>
      <c r="AB95" s="76"/>
      <c r="AC95" s="69" t="str">
        <f t="shared" si="5"/>
        <v/>
      </c>
      <c r="AD95" s="69" t="str">
        <f t="shared" si="6"/>
        <v/>
      </c>
      <c r="AE95" s="70" t="str">
        <f t="shared" si="7"/>
        <v/>
      </c>
      <c r="AF95" s="71" t="str">
        <f t="shared" si="8"/>
        <v/>
      </c>
      <c r="AG95" s="69" t="str">
        <f t="shared" si="9"/>
        <v/>
      </c>
      <c r="AH95" s="69" t="str">
        <f t="shared" si="10"/>
        <v/>
      </c>
      <c r="AI95" s="69" t="str">
        <f t="shared" si="3"/>
        <v/>
      </c>
    </row>
    <row r="96">
      <c r="A96" s="56" t="str">
        <f t="shared" si="1"/>
        <v/>
      </c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80"/>
      <c r="P96" s="72"/>
      <c r="Q96" s="80"/>
      <c r="R96" s="63" t="str">
        <f t="shared" si="4"/>
        <v/>
      </c>
      <c r="S96" s="85" t="str">
        <f t="shared" si="2"/>
        <v/>
      </c>
      <c r="T96" s="76"/>
      <c r="U96" s="76"/>
      <c r="V96" s="76"/>
      <c r="W96" s="76"/>
      <c r="X96" s="75"/>
      <c r="Y96" s="68"/>
      <c r="Z96" s="68"/>
      <c r="AA96" s="76"/>
      <c r="AB96" s="76"/>
      <c r="AC96" s="69" t="str">
        <f t="shared" si="5"/>
        <v/>
      </c>
      <c r="AD96" s="69" t="str">
        <f t="shared" si="6"/>
        <v/>
      </c>
      <c r="AE96" s="70" t="str">
        <f t="shared" si="7"/>
        <v/>
      </c>
      <c r="AF96" s="71" t="str">
        <f t="shared" si="8"/>
        <v/>
      </c>
      <c r="AG96" s="69" t="str">
        <f t="shared" si="9"/>
        <v/>
      </c>
      <c r="AH96" s="69" t="str">
        <f t="shared" si="10"/>
        <v/>
      </c>
      <c r="AI96" s="69" t="str">
        <f t="shared" si="3"/>
        <v/>
      </c>
    </row>
    <row r="97">
      <c r="A97" s="56" t="str">
        <f t="shared" si="1"/>
        <v/>
      </c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80"/>
      <c r="P97" s="72"/>
      <c r="Q97" s="80"/>
      <c r="R97" s="63" t="str">
        <f t="shared" si="4"/>
        <v/>
      </c>
      <c r="S97" s="85" t="str">
        <f t="shared" si="2"/>
        <v/>
      </c>
      <c r="T97" s="76"/>
      <c r="U97" s="76"/>
      <c r="V97" s="76"/>
      <c r="W97" s="76"/>
      <c r="X97" s="75"/>
      <c r="Y97" s="68"/>
      <c r="Z97" s="68"/>
      <c r="AA97" s="76"/>
      <c r="AB97" s="76"/>
      <c r="AC97" s="69" t="str">
        <f t="shared" si="5"/>
        <v/>
      </c>
      <c r="AD97" s="69" t="str">
        <f t="shared" si="6"/>
        <v/>
      </c>
      <c r="AE97" s="70" t="str">
        <f t="shared" si="7"/>
        <v/>
      </c>
      <c r="AF97" s="71" t="str">
        <f t="shared" si="8"/>
        <v/>
      </c>
      <c r="AG97" s="69" t="str">
        <f t="shared" si="9"/>
        <v/>
      </c>
      <c r="AH97" s="69" t="str">
        <f t="shared" si="10"/>
        <v/>
      </c>
      <c r="AI97" s="69" t="str">
        <f t="shared" si="3"/>
        <v/>
      </c>
    </row>
    <row r="98">
      <c r="A98" s="56" t="str">
        <f t="shared" si="1"/>
        <v/>
      </c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80"/>
      <c r="P98" s="72"/>
      <c r="Q98" s="80"/>
      <c r="R98" s="63" t="str">
        <f t="shared" si="4"/>
        <v/>
      </c>
      <c r="S98" s="85" t="str">
        <f t="shared" si="2"/>
        <v/>
      </c>
      <c r="T98" s="76"/>
      <c r="U98" s="76"/>
      <c r="V98" s="76"/>
      <c r="W98" s="76"/>
      <c r="X98" s="75"/>
      <c r="Y98" s="68"/>
      <c r="Z98" s="68"/>
      <c r="AA98" s="76"/>
      <c r="AB98" s="76"/>
      <c r="AC98" s="69" t="str">
        <f t="shared" si="5"/>
        <v/>
      </c>
      <c r="AD98" s="69" t="str">
        <f t="shared" si="6"/>
        <v/>
      </c>
      <c r="AE98" s="70" t="str">
        <f t="shared" si="7"/>
        <v/>
      </c>
      <c r="AF98" s="71" t="str">
        <f t="shared" si="8"/>
        <v/>
      </c>
      <c r="AG98" s="69" t="str">
        <f t="shared" si="9"/>
        <v/>
      </c>
      <c r="AH98" s="69" t="str">
        <f t="shared" si="10"/>
        <v/>
      </c>
      <c r="AI98" s="69" t="str">
        <f t="shared" si="3"/>
        <v/>
      </c>
    </row>
    <row r="99">
      <c r="A99" s="56" t="str">
        <f t="shared" si="1"/>
        <v/>
      </c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80"/>
      <c r="P99" s="72"/>
      <c r="Q99" s="80"/>
      <c r="R99" s="63" t="str">
        <f t="shared" si="4"/>
        <v/>
      </c>
      <c r="S99" s="85" t="str">
        <f t="shared" si="2"/>
        <v/>
      </c>
      <c r="T99" s="76"/>
      <c r="U99" s="76"/>
      <c r="V99" s="76"/>
      <c r="W99" s="76"/>
      <c r="X99" s="75"/>
      <c r="Y99" s="68"/>
      <c r="Z99" s="68"/>
      <c r="AA99" s="76"/>
      <c r="AB99" s="76"/>
      <c r="AC99" s="69" t="str">
        <f t="shared" si="5"/>
        <v/>
      </c>
      <c r="AD99" s="69" t="str">
        <f t="shared" si="6"/>
        <v/>
      </c>
      <c r="AE99" s="70" t="str">
        <f t="shared" si="7"/>
        <v/>
      </c>
      <c r="AF99" s="71" t="str">
        <f t="shared" si="8"/>
        <v/>
      </c>
      <c r="AG99" s="69" t="str">
        <f t="shared" si="9"/>
        <v/>
      </c>
      <c r="AH99" s="69" t="str">
        <f t="shared" si="10"/>
        <v/>
      </c>
      <c r="AI99" s="69" t="str">
        <f t="shared" si="3"/>
        <v/>
      </c>
    </row>
    <row r="100">
      <c r="A100" s="56" t="str">
        <f t="shared" si="1"/>
        <v/>
      </c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80"/>
      <c r="P100" s="72"/>
      <c r="Q100" s="80"/>
      <c r="R100" s="63" t="str">
        <f t="shared" si="4"/>
        <v/>
      </c>
      <c r="S100" s="85" t="str">
        <f t="shared" si="2"/>
        <v/>
      </c>
      <c r="T100" s="76"/>
      <c r="U100" s="76"/>
      <c r="V100" s="76"/>
      <c r="W100" s="76"/>
      <c r="X100" s="75"/>
      <c r="Y100" s="68"/>
      <c r="Z100" s="68"/>
      <c r="AA100" s="76"/>
      <c r="AB100" s="76"/>
      <c r="AC100" s="69" t="str">
        <f t="shared" si="5"/>
        <v/>
      </c>
      <c r="AD100" s="69" t="str">
        <f t="shared" si="6"/>
        <v/>
      </c>
      <c r="AE100" s="70" t="str">
        <f t="shared" si="7"/>
        <v/>
      </c>
      <c r="AF100" s="71" t="str">
        <f t="shared" si="8"/>
        <v/>
      </c>
      <c r="AG100" s="69" t="str">
        <f t="shared" si="9"/>
        <v/>
      </c>
      <c r="AH100" s="69" t="str">
        <f t="shared" si="10"/>
        <v/>
      </c>
      <c r="AI100" s="69" t="str">
        <f t="shared" si="3"/>
        <v/>
      </c>
    </row>
    <row r="101">
      <c r="A101" s="56" t="str">
        <f t="shared" si="1"/>
        <v/>
      </c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80"/>
      <c r="P101" s="72"/>
      <c r="Q101" s="80"/>
      <c r="R101" s="63" t="str">
        <f t="shared" si="4"/>
        <v/>
      </c>
      <c r="S101" s="85" t="str">
        <f t="shared" si="2"/>
        <v/>
      </c>
      <c r="T101" s="76"/>
      <c r="U101" s="76"/>
      <c r="V101" s="76"/>
      <c r="W101" s="76"/>
      <c r="X101" s="75"/>
      <c r="Y101" s="68"/>
      <c r="Z101" s="68"/>
      <c r="AA101" s="76"/>
      <c r="AB101" s="76"/>
      <c r="AC101" s="69" t="str">
        <f t="shared" si="5"/>
        <v/>
      </c>
      <c r="AD101" s="69" t="str">
        <f t="shared" si="6"/>
        <v/>
      </c>
      <c r="AE101" s="70" t="str">
        <f t="shared" si="7"/>
        <v/>
      </c>
      <c r="AF101" s="71" t="str">
        <f t="shared" si="8"/>
        <v/>
      </c>
      <c r="AG101" s="69" t="str">
        <f t="shared" si="9"/>
        <v/>
      </c>
      <c r="AH101" s="69" t="str">
        <f t="shared" si="10"/>
        <v/>
      </c>
      <c r="AI101" s="69" t="str">
        <f t="shared" si="3"/>
        <v/>
      </c>
    </row>
    <row r="102">
      <c r="A102" s="56" t="str">
        <f t="shared" si="1"/>
        <v/>
      </c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80"/>
      <c r="P102" s="72"/>
      <c r="Q102" s="80"/>
      <c r="R102" s="63" t="str">
        <f t="shared" si="4"/>
        <v/>
      </c>
      <c r="S102" s="85" t="str">
        <f t="shared" si="2"/>
        <v/>
      </c>
      <c r="T102" s="76"/>
      <c r="U102" s="76"/>
      <c r="V102" s="76"/>
      <c r="W102" s="76"/>
      <c r="X102" s="75"/>
      <c r="Y102" s="68"/>
      <c r="Z102" s="68"/>
      <c r="AA102" s="76"/>
      <c r="AB102" s="76"/>
      <c r="AC102" s="69" t="str">
        <f t="shared" si="5"/>
        <v/>
      </c>
      <c r="AD102" s="69" t="str">
        <f t="shared" si="6"/>
        <v/>
      </c>
      <c r="AE102" s="70" t="str">
        <f t="shared" si="7"/>
        <v/>
      </c>
      <c r="AF102" s="71" t="str">
        <f t="shared" si="8"/>
        <v/>
      </c>
      <c r="AG102" s="69" t="str">
        <f t="shared" si="9"/>
        <v/>
      </c>
      <c r="AH102" s="69" t="str">
        <f t="shared" si="10"/>
        <v/>
      </c>
      <c r="AI102" s="69" t="str">
        <f t="shared" si="3"/>
        <v/>
      </c>
    </row>
    <row r="103">
      <c r="A103" s="56" t="str">
        <f t="shared" si="1"/>
        <v/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80"/>
      <c r="P103" s="72"/>
      <c r="Q103" s="80"/>
      <c r="R103" s="63" t="str">
        <f t="shared" si="4"/>
        <v/>
      </c>
      <c r="S103" s="85" t="str">
        <f t="shared" si="2"/>
        <v/>
      </c>
      <c r="T103" s="76"/>
      <c r="U103" s="76"/>
      <c r="V103" s="76"/>
      <c r="W103" s="76"/>
      <c r="X103" s="75"/>
      <c r="Y103" s="68"/>
      <c r="Z103" s="68"/>
      <c r="AA103" s="76"/>
      <c r="AB103" s="76"/>
      <c r="AC103" s="69" t="str">
        <f t="shared" si="5"/>
        <v/>
      </c>
      <c r="AD103" s="69" t="str">
        <f t="shared" si="6"/>
        <v/>
      </c>
      <c r="AE103" s="70" t="str">
        <f t="shared" si="7"/>
        <v/>
      </c>
      <c r="AF103" s="71" t="str">
        <f t="shared" si="8"/>
        <v/>
      </c>
      <c r="AG103" s="69" t="str">
        <f t="shared" si="9"/>
        <v/>
      </c>
      <c r="AH103" s="69" t="str">
        <f t="shared" si="10"/>
        <v/>
      </c>
      <c r="AI103" s="69" t="str">
        <f t="shared" si="3"/>
        <v/>
      </c>
    </row>
    <row r="104">
      <c r="A104" s="56" t="str">
        <f t="shared" si="1"/>
        <v/>
      </c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80"/>
      <c r="P104" s="72"/>
      <c r="Q104" s="80"/>
      <c r="R104" s="63" t="str">
        <f t="shared" si="4"/>
        <v/>
      </c>
      <c r="S104" s="85" t="str">
        <f t="shared" si="2"/>
        <v/>
      </c>
      <c r="T104" s="76"/>
      <c r="U104" s="76"/>
      <c r="V104" s="76"/>
      <c r="W104" s="76"/>
      <c r="X104" s="75"/>
      <c r="Y104" s="68"/>
      <c r="Z104" s="68"/>
      <c r="AA104" s="76"/>
      <c r="AB104" s="76"/>
      <c r="AC104" s="69" t="str">
        <f t="shared" si="5"/>
        <v/>
      </c>
      <c r="AD104" s="69" t="str">
        <f t="shared" si="6"/>
        <v/>
      </c>
      <c r="AE104" s="70" t="str">
        <f t="shared" si="7"/>
        <v/>
      </c>
      <c r="AF104" s="71" t="str">
        <f t="shared" si="8"/>
        <v/>
      </c>
      <c r="AG104" s="69" t="str">
        <f t="shared" si="9"/>
        <v/>
      </c>
      <c r="AH104" s="69" t="str">
        <f t="shared" si="10"/>
        <v/>
      </c>
      <c r="AI104" s="69" t="str">
        <f t="shared" si="3"/>
        <v/>
      </c>
    </row>
    <row r="105">
      <c r="A105" s="56" t="str">
        <f t="shared" si="1"/>
        <v/>
      </c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80"/>
      <c r="P105" s="72"/>
      <c r="Q105" s="80"/>
      <c r="R105" s="63" t="str">
        <f t="shared" si="4"/>
        <v/>
      </c>
      <c r="S105" s="85" t="str">
        <f t="shared" si="2"/>
        <v/>
      </c>
      <c r="T105" s="76"/>
      <c r="U105" s="76"/>
      <c r="V105" s="76"/>
      <c r="W105" s="76"/>
      <c r="X105" s="75"/>
      <c r="Y105" s="68"/>
      <c r="Z105" s="68"/>
      <c r="AA105" s="76"/>
      <c r="AB105" s="76"/>
      <c r="AC105" s="69" t="str">
        <f t="shared" si="5"/>
        <v/>
      </c>
      <c r="AD105" s="69" t="str">
        <f t="shared" si="6"/>
        <v/>
      </c>
      <c r="AE105" s="70" t="str">
        <f t="shared" si="7"/>
        <v/>
      </c>
      <c r="AF105" s="71" t="str">
        <f t="shared" si="8"/>
        <v/>
      </c>
      <c r="AG105" s="69" t="str">
        <f t="shared" si="9"/>
        <v/>
      </c>
      <c r="AH105" s="69" t="str">
        <f t="shared" si="10"/>
        <v/>
      </c>
      <c r="AI105" s="69" t="str">
        <f t="shared" si="3"/>
        <v/>
      </c>
    </row>
    <row r="106">
      <c r="A106" s="56" t="str">
        <f t="shared" si="1"/>
        <v/>
      </c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80"/>
      <c r="P106" s="72"/>
      <c r="Q106" s="80"/>
      <c r="R106" s="63" t="str">
        <f t="shared" si="4"/>
        <v/>
      </c>
      <c r="S106" s="85" t="str">
        <f t="shared" si="2"/>
        <v/>
      </c>
      <c r="T106" s="76"/>
      <c r="U106" s="76"/>
      <c r="V106" s="76"/>
      <c r="W106" s="76"/>
      <c r="X106" s="75"/>
      <c r="Y106" s="68"/>
      <c r="Z106" s="68"/>
      <c r="AA106" s="76"/>
      <c r="AB106" s="76"/>
      <c r="AC106" s="69" t="str">
        <f t="shared" si="5"/>
        <v/>
      </c>
      <c r="AD106" s="69" t="str">
        <f t="shared" si="6"/>
        <v/>
      </c>
      <c r="AE106" s="70" t="str">
        <f t="shared" si="7"/>
        <v/>
      </c>
      <c r="AF106" s="71" t="str">
        <f t="shared" si="8"/>
        <v/>
      </c>
      <c r="AG106" s="69" t="str">
        <f t="shared" si="9"/>
        <v/>
      </c>
      <c r="AH106" s="69" t="str">
        <f t="shared" si="10"/>
        <v/>
      </c>
      <c r="AI106" s="69" t="str">
        <f t="shared" si="3"/>
        <v/>
      </c>
    </row>
    <row r="107">
      <c r="A107" s="56" t="str">
        <f t="shared" si="1"/>
        <v/>
      </c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80"/>
      <c r="P107" s="72"/>
      <c r="Q107" s="80"/>
      <c r="R107" s="63" t="str">
        <f t="shared" si="4"/>
        <v/>
      </c>
      <c r="S107" s="85" t="str">
        <f t="shared" si="2"/>
        <v/>
      </c>
      <c r="T107" s="76"/>
      <c r="U107" s="76"/>
      <c r="V107" s="76"/>
      <c r="W107" s="76"/>
      <c r="X107" s="75"/>
      <c r="Y107" s="68"/>
      <c r="Z107" s="68"/>
      <c r="AA107" s="76"/>
      <c r="AB107" s="76"/>
      <c r="AC107" s="69" t="str">
        <f t="shared" si="5"/>
        <v/>
      </c>
      <c r="AD107" s="69" t="str">
        <f t="shared" si="6"/>
        <v/>
      </c>
      <c r="AE107" s="70" t="str">
        <f t="shared" si="7"/>
        <v/>
      </c>
      <c r="AF107" s="71" t="str">
        <f t="shared" si="8"/>
        <v/>
      </c>
      <c r="AG107" s="69" t="str">
        <f t="shared" si="9"/>
        <v/>
      </c>
      <c r="AH107" s="69" t="str">
        <f t="shared" si="10"/>
        <v/>
      </c>
      <c r="AI107" s="69" t="str">
        <f t="shared" si="3"/>
        <v/>
      </c>
    </row>
    <row r="108">
      <c r="A108" s="56" t="str">
        <f t="shared" si="1"/>
        <v/>
      </c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80"/>
      <c r="P108" s="72"/>
      <c r="Q108" s="80"/>
      <c r="R108" s="63" t="str">
        <f t="shared" si="4"/>
        <v/>
      </c>
      <c r="S108" s="85" t="str">
        <f t="shared" si="2"/>
        <v/>
      </c>
      <c r="T108" s="76"/>
      <c r="U108" s="76"/>
      <c r="V108" s="76"/>
      <c r="W108" s="76"/>
      <c r="X108" s="75"/>
      <c r="Y108" s="68"/>
      <c r="Z108" s="68"/>
      <c r="AA108" s="76"/>
      <c r="AB108" s="76"/>
      <c r="AC108" s="69" t="str">
        <f t="shared" si="5"/>
        <v/>
      </c>
      <c r="AD108" s="69" t="str">
        <f t="shared" si="6"/>
        <v/>
      </c>
      <c r="AE108" s="70" t="str">
        <f t="shared" si="7"/>
        <v/>
      </c>
      <c r="AF108" s="71" t="str">
        <f t="shared" si="8"/>
        <v/>
      </c>
      <c r="AG108" s="69" t="str">
        <f t="shared" si="9"/>
        <v/>
      </c>
      <c r="AH108" s="69" t="str">
        <f t="shared" si="10"/>
        <v/>
      </c>
      <c r="AI108" s="69" t="str">
        <f t="shared" si="3"/>
        <v/>
      </c>
    </row>
    <row r="109">
      <c r="A109" s="56" t="str">
        <f t="shared" si="1"/>
        <v/>
      </c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80"/>
      <c r="P109" s="72"/>
      <c r="Q109" s="80"/>
      <c r="R109" s="63" t="str">
        <f t="shared" si="4"/>
        <v/>
      </c>
      <c r="S109" s="85" t="str">
        <f t="shared" si="2"/>
        <v/>
      </c>
      <c r="T109" s="76"/>
      <c r="U109" s="76"/>
      <c r="V109" s="76"/>
      <c r="W109" s="76"/>
      <c r="X109" s="75"/>
      <c r="Y109" s="68"/>
      <c r="Z109" s="68"/>
      <c r="AA109" s="76"/>
      <c r="AB109" s="76"/>
      <c r="AC109" s="69" t="str">
        <f t="shared" si="5"/>
        <v/>
      </c>
      <c r="AD109" s="69" t="str">
        <f t="shared" si="6"/>
        <v/>
      </c>
      <c r="AE109" s="70" t="str">
        <f t="shared" si="7"/>
        <v/>
      </c>
      <c r="AF109" s="71" t="str">
        <f t="shared" si="8"/>
        <v/>
      </c>
      <c r="AG109" s="69" t="str">
        <f t="shared" si="9"/>
        <v/>
      </c>
      <c r="AH109" s="69" t="str">
        <f t="shared" si="10"/>
        <v/>
      </c>
      <c r="AI109" s="69" t="str">
        <f t="shared" si="3"/>
        <v/>
      </c>
    </row>
    <row r="110">
      <c r="A110" s="56" t="str">
        <f t="shared" si="1"/>
        <v/>
      </c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80"/>
      <c r="P110" s="72"/>
      <c r="Q110" s="80"/>
      <c r="R110" s="63" t="str">
        <f t="shared" si="4"/>
        <v/>
      </c>
      <c r="S110" s="85" t="str">
        <f t="shared" si="2"/>
        <v/>
      </c>
      <c r="T110" s="76"/>
      <c r="U110" s="76"/>
      <c r="V110" s="76"/>
      <c r="W110" s="76"/>
      <c r="X110" s="75"/>
      <c r="Y110" s="68"/>
      <c r="Z110" s="68"/>
      <c r="AA110" s="76"/>
      <c r="AB110" s="76"/>
      <c r="AC110" s="69" t="str">
        <f t="shared" si="5"/>
        <v/>
      </c>
      <c r="AD110" s="69" t="str">
        <f t="shared" si="6"/>
        <v/>
      </c>
      <c r="AE110" s="70" t="str">
        <f t="shared" si="7"/>
        <v/>
      </c>
      <c r="AF110" s="71" t="str">
        <f t="shared" si="8"/>
        <v/>
      </c>
      <c r="AG110" s="69" t="str">
        <f t="shared" si="9"/>
        <v/>
      </c>
      <c r="AH110" s="69" t="str">
        <f t="shared" si="10"/>
        <v/>
      </c>
      <c r="AI110" s="69" t="str">
        <f t="shared" si="3"/>
        <v/>
      </c>
    </row>
    <row r="111">
      <c r="A111" s="56" t="str">
        <f t="shared" si="1"/>
        <v/>
      </c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80"/>
      <c r="P111" s="72"/>
      <c r="Q111" s="80"/>
      <c r="R111" s="63" t="str">
        <f t="shared" si="4"/>
        <v/>
      </c>
      <c r="S111" s="85" t="str">
        <f t="shared" si="2"/>
        <v/>
      </c>
      <c r="T111" s="76"/>
      <c r="U111" s="76"/>
      <c r="V111" s="76"/>
      <c r="W111" s="76"/>
      <c r="X111" s="75"/>
      <c r="Y111" s="68"/>
      <c r="Z111" s="68"/>
      <c r="AA111" s="76"/>
      <c r="AB111" s="76"/>
      <c r="AC111" s="69" t="str">
        <f t="shared" si="5"/>
        <v/>
      </c>
      <c r="AD111" s="69" t="str">
        <f t="shared" si="6"/>
        <v/>
      </c>
      <c r="AE111" s="70" t="str">
        <f t="shared" si="7"/>
        <v/>
      </c>
      <c r="AF111" s="71" t="str">
        <f t="shared" si="8"/>
        <v/>
      </c>
      <c r="AG111" s="69" t="str">
        <f t="shared" si="9"/>
        <v/>
      </c>
      <c r="AH111" s="69" t="str">
        <f t="shared" si="10"/>
        <v/>
      </c>
      <c r="AI111" s="69" t="str">
        <f t="shared" si="3"/>
        <v/>
      </c>
    </row>
    <row r="112">
      <c r="A112" s="56" t="str">
        <f t="shared" si="1"/>
        <v/>
      </c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80"/>
      <c r="P112" s="72"/>
      <c r="Q112" s="80"/>
      <c r="R112" s="63" t="str">
        <f t="shared" si="4"/>
        <v/>
      </c>
      <c r="S112" s="85" t="str">
        <f t="shared" si="2"/>
        <v/>
      </c>
      <c r="T112" s="76"/>
      <c r="U112" s="76"/>
      <c r="V112" s="76"/>
      <c r="W112" s="76"/>
      <c r="X112" s="75"/>
      <c r="Y112" s="68"/>
      <c r="Z112" s="68"/>
      <c r="AA112" s="76"/>
      <c r="AB112" s="76"/>
      <c r="AC112" s="69" t="str">
        <f t="shared" si="5"/>
        <v/>
      </c>
      <c r="AD112" s="69" t="str">
        <f t="shared" si="6"/>
        <v/>
      </c>
      <c r="AE112" s="70" t="str">
        <f t="shared" si="7"/>
        <v/>
      </c>
      <c r="AF112" s="71" t="str">
        <f t="shared" si="8"/>
        <v/>
      </c>
      <c r="AG112" s="69" t="str">
        <f t="shared" si="9"/>
        <v/>
      </c>
      <c r="AH112" s="69" t="str">
        <f t="shared" si="10"/>
        <v/>
      </c>
      <c r="AI112" s="69" t="str">
        <f t="shared" si="3"/>
        <v/>
      </c>
    </row>
    <row r="113">
      <c r="A113" s="56" t="str">
        <f t="shared" si="1"/>
        <v/>
      </c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80"/>
      <c r="P113" s="72"/>
      <c r="Q113" s="80"/>
      <c r="R113" s="63" t="str">
        <f t="shared" si="4"/>
        <v/>
      </c>
      <c r="S113" s="85" t="str">
        <f t="shared" si="2"/>
        <v/>
      </c>
      <c r="T113" s="76"/>
      <c r="U113" s="76"/>
      <c r="V113" s="76"/>
      <c r="W113" s="76"/>
      <c r="X113" s="75"/>
      <c r="Y113" s="68"/>
      <c r="Z113" s="68"/>
      <c r="AA113" s="76"/>
      <c r="AB113" s="76"/>
      <c r="AC113" s="69" t="str">
        <f t="shared" si="5"/>
        <v/>
      </c>
      <c r="AD113" s="69" t="str">
        <f t="shared" si="6"/>
        <v/>
      </c>
      <c r="AE113" s="70" t="str">
        <f t="shared" si="7"/>
        <v/>
      </c>
      <c r="AF113" s="71" t="str">
        <f t="shared" si="8"/>
        <v/>
      </c>
      <c r="AG113" s="69" t="str">
        <f t="shared" si="9"/>
        <v/>
      </c>
      <c r="AH113" s="69" t="str">
        <f t="shared" si="10"/>
        <v/>
      </c>
      <c r="AI113" s="69" t="str">
        <f t="shared" si="3"/>
        <v/>
      </c>
    </row>
    <row r="114">
      <c r="A114" s="56" t="str">
        <f t="shared" si="1"/>
        <v/>
      </c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80"/>
      <c r="P114" s="72"/>
      <c r="Q114" s="80"/>
      <c r="R114" s="63" t="str">
        <f t="shared" si="4"/>
        <v/>
      </c>
      <c r="S114" s="85" t="str">
        <f t="shared" si="2"/>
        <v/>
      </c>
      <c r="T114" s="76"/>
      <c r="U114" s="76"/>
      <c r="V114" s="76"/>
      <c r="W114" s="76"/>
      <c r="X114" s="75"/>
      <c r="Y114" s="68"/>
      <c r="Z114" s="68"/>
      <c r="AA114" s="76"/>
      <c r="AB114" s="76"/>
      <c r="AC114" s="69" t="str">
        <f t="shared" si="5"/>
        <v/>
      </c>
      <c r="AD114" s="69" t="str">
        <f t="shared" si="6"/>
        <v/>
      </c>
      <c r="AE114" s="70" t="str">
        <f t="shared" si="7"/>
        <v/>
      </c>
      <c r="AF114" s="71" t="str">
        <f t="shared" si="8"/>
        <v/>
      </c>
      <c r="AG114" s="69" t="str">
        <f t="shared" si="9"/>
        <v/>
      </c>
      <c r="AH114" s="69" t="str">
        <f t="shared" si="10"/>
        <v/>
      </c>
      <c r="AI114" s="69" t="str">
        <f t="shared" si="3"/>
        <v/>
      </c>
    </row>
    <row r="115">
      <c r="A115" s="56" t="str">
        <f t="shared" si="1"/>
        <v/>
      </c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80"/>
      <c r="P115" s="72"/>
      <c r="Q115" s="80"/>
      <c r="R115" s="63" t="str">
        <f t="shared" si="4"/>
        <v/>
      </c>
      <c r="S115" s="85" t="str">
        <f t="shared" si="2"/>
        <v/>
      </c>
      <c r="T115" s="76"/>
      <c r="U115" s="76"/>
      <c r="V115" s="76"/>
      <c r="W115" s="76"/>
      <c r="X115" s="75"/>
      <c r="Y115" s="68"/>
      <c r="Z115" s="68"/>
      <c r="AA115" s="76"/>
      <c r="AB115" s="76"/>
      <c r="AC115" s="69" t="str">
        <f t="shared" si="5"/>
        <v/>
      </c>
      <c r="AD115" s="69" t="str">
        <f t="shared" si="6"/>
        <v/>
      </c>
      <c r="AE115" s="70" t="str">
        <f t="shared" si="7"/>
        <v/>
      </c>
      <c r="AF115" s="71" t="str">
        <f t="shared" si="8"/>
        <v/>
      </c>
      <c r="AG115" s="69" t="str">
        <f t="shared" si="9"/>
        <v/>
      </c>
      <c r="AH115" s="69" t="str">
        <f t="shared" si="10"/>
        <v/>
      </c>
      <c r="AI115" s="69" t="str">
        <f t="shared" si="3"/>
        <v/>
      </c>
    </row>
    <row r="116">
      <c r="A116" s="56" t="str">
        <f t="shared" si="1"/>
        <v/>
      </c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80"/>
      <c r="P116" s="72"/>
      <c r="Q116" s="80"/>
      <c r="R116" s="63" t="str">
        <f t="shared" si="4"/>
        <v/>
      </c>
      <c r="S116" s="85" t="str">
        <f t="shared" si="2"/>
        <v/>
      </c>
      <c r="T116" s="76"/>
      <c r="U116" s="76"/>
      <c r="V116" s="76"/>
      <c r="W116" s="76"/>
      <c r="X116" s="75"/>
      <c r="Y116" s="68"/>
      <c r="Z116" s="68"/>
      <c r="AA116" s="76"/>
      <c r="AB116" s="76"/>
      <c r="AC116" s="69" t="str">
        <f t="shared" si="5"/>
        <v/>
      </c>
      <c r="AD116" s="69" t="str">
        <f t="shared" si="6"/>
        <v/>
      </c>
      <c r="AE116" s="70" t="str">
        <f t="shared" si="7"/>
        <v/>
      </c>
      <c r="AF116" s="71" t="str">
        <f t="shared" si="8"/>
        <v/>
      </c>
      <c r="AG116" s="69" t="str">
        <f t="shared" si="9"/>
        <v/>
      </c>
      <c r="AH116" s="69" t="str">
        <f t="shared" si="10"/>
        <v/>
      </c>
      <c r="AI116" s="69" t="str">
        <f t="shared" si="3"/>
        <v/>
      </c>
    </row>
    <row r="117">
      <c r="A117" s="56" t="str">
        <f t="shared" si="1"/>
        <v/>
      </c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80"/>
      <c r="P117" s="72"/>
      <c r="Q117" s="80"/>
      <c r="R117" s="63" t="str">
        <f t="shared" si="4"/>
        <v/>
      </c>
      <c r="S117" s="85" t="str">
        <f t="shared" si="2"/>
        <v/>
      </c>
      <c r="T117" s="76"/>
      <c r="U117" s="76"/>
      <c r="V117" s="76"/>
      <c r="W117" s="76"/>
      <c r="X117" s="75"/>
      <c r="Y117" s="68"/>
      <c r="Z117" s="68"/>
      <c r="AA117" s="76"/>
      <c r="AB117" s="76"/>
      <c r="AC117" s="69" t="str">
        <f t="shared" si="5"/>
        <v/>
      </c>
      <c r="AD117" s="69" t="str">
        <f t="shared" si="6"/>
        <v/>
      </c>
      <c r="AE117" s="70" t="str">
        <f t="shared" si="7"/>
        <v/>
      </c>
      <c r="AF117" s="71" t="str">
        <f t="shared" si="8"/>
        <v/>
      </c>
      <c r="AG117" s="69" t="str">
        <f t="shared" si="9"/>
        <v/>
      </c>
      <c r="AH117" s="69" t="str">
        <f t="shared" si="10"/>
        <v/>
      </c>
      <c r="AI117" s="69" t="str">
        <f t="shared" si="3"/>
        <v/>
      </c>
    </row>
    <row r="118">
      <c r="A118" s="56" t="str">
        <f t="shared" si="1"/>
        <v/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80"/>
      <c r="P118" s="72"/>
      <c r="Q118" s="80"/>
      <c r="R118" s="63" t="str">
        <f t="shared" si="4"/>
        <v/>
      </c>
      <c r="S118" s="85" t="str">
        <f t="shared" si="2"/>
        <v/>
      </c>
      <c r="T118" s="76"/>
      <c r="U118" s="76"/>
      <c r="V118" s="76"/>
      <c r="W118" s="76"/>
      <c r="X118" s="75"/>
      <c r="Y118" s="68"/>
      <c r="Z118" s="68"/>
      <c r="AA118" s="76"/>
      <c r="AB118" s="76"/>
      <c r="AC118" s="69" t="str">
        <f t="shared" si="5"/>
        <v/>
      </c>
      <c r="AD118" s="69" t="str">
        <f t="shared" si="6"/>
        <v/>
      </c>
      <c r="AE118" s="70" t="str">
        <f t="shared" si="7"/>
        <v/>
      </c>
      <c r="AF118" s="71" t="str">
        <f t="shared" si="8"/>
        <v/>
      </c>
      <c r="AG118" s="69" t="str">
        <f t="shared" si="9"/>
        <v/>
      </c>
      <c r="AH118" s="69" t="str">
        <f t="shared" si="10"/>
        <v/>
      </c>
      <c r="AI118" s="69" t="str">
        <f t="shared" si="3"/>
        <v/>
      </c>
    </row>
    <row r="119">
      <c r="A119" s="56" t="str">
        <f t="shared" si="1"/>
        <v/>
      </c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80"/>
      <c r="P119" s="72"/>
      <c r="Q119" s="80"/>
      <c r="R119" s="63" t="str">
        <f t="shared" si="4"/>
        <v/>
      </c>
      <c r="S119" s="85" t="str">
        <f t="shared" si="2"/>
        <v/>
      </c>
      <c r="T119" s="76"/>
      <c r="U119" s="76"/>
      <c r="V119" s="76"/>
      <c r="W119" s="76"/>
      <c r="X119" s="75"/>
      <c r="Y119" s="68"/>
      <c r="Z119" s="68"/>
      <c r="AA119" s="76"/>
      <c r="AB119" s="76"/>
      <c r="AC119" s="69" t="str">
        <f t="shared" si="5"/>
        <v/>
      </c>
      <c r="AD119" s="69" t="str">
        <f t="shared" si="6"/>
        <v/>
      </c>
      <c r="AE119" s="70" t="str">
        <f t="shared" si="7"/>
        <v/>
      </c>
      <c r="AF119" s="71" t="str">
        <f t="shared" si="8"/>
        <v/>
      </c>
      <c r="AG119" s="69" t="str">
        <f t="shared" si="9"/>
        <v/>
      </c>
      <c r="AH119" s="69" t="str">
        <f t="shared" si="10"/>
        <v/>
      </c>
      <c r="AI119" s="69" t="str">
        <f t="shared" si="3"/>
        <v/>
      </c>
    </row>
    <row r="120">
      <c r="A120" s="56" t="str">
        <f t="shared" si="1"/>
        <v/>
      </c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80"/>
      <c r="P120" s="72"/>
      <c r="Q120" s="80"/>
      <c r="R120" s="63" t="str">
        <f t="shared" si="4"/>
        <v/>
      </c>
      <c r="S120" s="85" t="str">
        <f t="shared" si="2"/>
        <v/>
      </c>
      <c r="T120" s="76"/>
      <c r="U120" s="76"/>
      <c r="V120" s="76"/>
      <c r="W120" s="76"/>
      <c r="X120" s="75"/>
      <c r="Y120" s="68"/>
      <c r="Z120" s="68"/>
      <c r="AA120" s="76"/>
      <c r="AB120" s="76"/>
      <c r="AC120" s="69" t="str">
        <f t="shared" si="5"/>
        <v/>
      </c>
      <c r="AD120" s="69" t="str">
        <f t="shared" si="6"/>
        <v/>
      </c>
      <c r="AE120" s="70" t="str">
        <f t="shared" si="7"/>
        <v/>
      </c>
      <c r="AF120" s="71" t="str">
        <f t="shared" si="8"/>
        <v/>
      </c>
      <c r="AG120" s="69" t="str">
        <f t="shared" si="9"/>
        <v/>
      </c>
      <c r="AH120" s="69" t="str">
        <f t="shared" si="10"/>
        <v/>
      </c>
      <c r="AI120" s="69" t="str">
        <f t="shared" si="3"/>
        <v/>
      </c>
    </row>
    <row r="121">
      <c r="A121" s="56" t="str">
        <f t="shared" si="1"/>
        <v/>
      </c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80"/>
      <c r="P121" s="72"/>
      <c r="Q121" s="80"/>
      <c r="R121" s="63" t="str">
        <f t="shared" si="4"/>
        <v/>
      </c>
      <c r="S121" s="85" t="str">
        <f t="shared" si="2"/>
        <v/>
      </c>
      <c r="T121" s="76"/>
      <c r="U121" s="76"/>
      <c r="V121" s="76"/>
      <c r="W121" s="76"/>
      <c r="X121" s="75"/>
      <c r="Y121" s="68"/>
      <c r="Z121" s="68"/>
      <c r="AA121" s="76"/>
      <c r="AB121" s="76"/>
      <c r="AC121" s="69" t="str">
        <f t="shared" si="5"/>
        <v/>
      </c>
      <c r="AD121" s="69" t="str">
        <f t="shared" si="6"/>
        <v/>
      </c>
      <c r="AE121" s="70" t="str">
        <f t="shared" si="7"/>
        <v/>
      </c>
      <c r="AF121" s="71" t="str">
        <f t="shared" si="8"/>
        <v/>
      </c>
      <c r="AG121" s="69" t="str">
        <f t="shared" si="9"/>
        <v/>
      </c>
      <c r="AH121" s="69" t="str">
        <f t="shared" si="10"/>
        <v/>
      </c>
      <c r="AI121" s="69" t="str">
        <f t="shared" si="3"/>
        <v/>
      </c>
    </row>
    <row r="122">
      <c r="A122" s="56" t="str">
        <f t="shared" si="1"/>
        <v/>
      </c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80"/>
      <c r="P122" s="72"/>
      <c r="Q122" s="80"/>
      <c r="R122" s="63" t="str">
        <f t="shared" si="4"/>
        <v/>
      </c>
      <c r="S122" s="85" t="str">
        <f t="shared" si="2"/>
        <v/>
      </c>
      <c r="T122" s="76"/>
      <c r="U122" s="76"/>
      <c r="V122" s="76"/>
      <c r="W122" s="76"/>
      <c r="X122" s="75"/>
      <c r="Y122" s="68"/>
      <c r="Z122" s="68"/>
      <c r="AA122" s="76"/>
      <c r="AB122" s="76"/>
      <c r="AC122" s="69" t="str">
        <f t="shared" si="5"/>
        <v/>
      </c>
      <c r="AD122" s="69" t="str">
        <f t="shared" si="6"/>
        <v/>
      </c>
      <c r="AE122" s="70" t="str">
        <f t="shared" si="7"/>
        <v/>
      </c>
      <c r="AF122" s="71" t="str">
        <f t="shared" si="8"/>
        <v/>
      </c>
      <c r="AG122" s="69" t="str">
        <f t="shared" si="9"/>
        <v/>
      </c>
      <c r="AH122" s="69" t="str">
        <f t="shared" si="10"/>
        <v/>
      </c>
      <c r="AI122" s="69" t="str">
        <f t="shared" si="3"/>
        <v/>
      </c>
    </row>
    <row r="123">
      <c r="A123" s="56" t="str">
        <f t="shared" si="1"/>
        <v/>
      </c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80"/>
      <c r="P123" s="72"/>
      <c r="Q123" s="80"/>
      <c r="R123" s="63" t="str">
        <f t="shared" si="4"/>
        <v/>
      </c>
      <c r="S123" s="85" t="str">
        <f t="shared" si="2"/>
        <v/>
      </c>
      <c r="T123" s="76"/>
      <c r="U123" s="76"/>
      <c r="V123" s="76"/>
      <c r="W123" s="76"/>
      <c r="X123" s="75"/>
      <c r="Y123" s="68"/>
      <c r="Z123" s="68"/>
      <c r="AA123" s="76"/>
      <c r="AB123" s="76"/>
      <c r="AC123" s="69" t="str">
        <f t="shared" si="5"/>
        <v/>
      </c>
      <c r="AD123" s="69" t="str">
        <f t="shared" si="6"/>
        <v/>
      </c>
      <c r="AE123" s="70" t="str">
        <f t="shared" si="7"/>
        <v/>
      </c>
      <c r="AF123" s="71" t="str">
        <f t="shared" si="8"/>
        <v/>
      </c>
      <c r="AG123" s="69" t="str">
        <f t="shared" si="9"/>
        <v/>
      </c>
      <c r="AH123" s="69" t="str">
        <f t="shared" si="10"/>
        <v/>
      </c>
      <c r="AI123" s="69" t="str">
        <f t="shared" si="3"/>
        <v/>
      </c>
    </row>
    <row r="124">
      <c r="A124" s="56" t="str">
        <f t="shared" si="1"/>
        <v/>
      </c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80"/>
      <c r="P124" s="72"/>
      <c r="Q124" s="80"/>
      <c r="R124" s="63" t="str">
        <f t="shared" si="4"/>
        <v/>
      </c>
      <c r="S124" s="85" t="str">
        <f t="shared" si="2"/>
        <v/>
      </c>
      <c r="T124" s="76"/>
      <c r="U124" s="76"/>
      <c r="V124" s="76"/>
      <c r="W124" s="76"/>
      <c r="X124" s="75"/>
      <c r="Y124" s="68"/>
      <c r="Z124" s="68"/>
      <c r="AA124" s="76"/>
      <c r="AB124" s="76"/>
      <c r="AC124" s="69" t="str">
        <f t="shared" si="5"/>
        <v/>
      </c>
      <c r="AD124" s="69" t="str">
        <f t="shared" si="6"/>
        <v/>
      </c>
      <c r="AE124" s="70" t="str">
        <f t="shared" si="7"/>
        <v/>
      </c>
      <c r="AF124" s="71" t="str">
        <f t="shared" si="8"/>
        <v/>
      </c>
      <c r="AG124" s="69" t="str">
        <f t="shared" si="9"/>
        <v/>
      </c>
      <c r="AH124" s="69" t="str">
        <f t="shared" si="10"/>
        <v/>
      </c>
      <c r="AI124" s="69" t="str">
        <f t="shared" si="3"/>
        <v/>
      </c>
    </row>
    <row r="125">
      <c r="A125" s="56" t="str">
        <f t="shared" si="1"/>
        <v/>
      </c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80"/>
      <c r="P125" s="72"/>
      <c r="Q125" s="80"/>
      <c r="R125" s="63" t="str">
        <f t="shared" si="4"/>
        <v/>
      </c>
      <c r="S125" s="85" t="str">
        <f t="shared" si="2"/>
        <v/>
      </c>
      <c r="T125" s="76"/>
      <c r="U125" s="76"/>
      <c r="V125" s="76"/>
      <c r="W125" s="76"/>
      <c r="X125" s="75"/>
      <c r="Y125" s="68"/>
      <c r="Z125" s="68"/>
      <c r="AA125" s="76"/>
      <c r="AB125" s="76"/>
      <c r="AC125" s="69" t="str">
        <f t="shared" si="5"/>
        <v/>
      </c>
      <c r="AD125" s="69" t="str">
        <f t="shared" si="6"/>
        <v/>
      </c>
      <c r="AE125" s="70" t="str">
        <f t="shared" si="7"/>
        <v/>
      </c>
      <c r="AF125" s="71" t="str">
        <f t="shared" si="8"/>
        <v/>
      </c>
      <c r="AG125" s="69" t="str">
        <f t="shared" si="9"/>
        <v/>
      </c>
      <c r="AH125" s="69" t="str">
        <f t="shared" si="10"/>
        <v/>
      </c>
      <c r="AI125" s="69" t="str">
        <f t="shared" si="3"/>
        <v/>
      </c>
    </row>
    <row r="126">
      <c r="A126" s="56" t="str">
        <f t="shared" si="1"/>
        <v/>
      </c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80"/>
      <c r="P126" s="72"/>
      <c r="Q126" s="80"/>
      <c r="R126" s="63" t="str">
        <f t="shared" si="4"/>
        <v/>
      </c>
      <c r="S126" s="85" t="str">
        <f t="shared" si="2"/>
        <v/>
      </c>
      <c r="T126" s="76"/>
      <c r="U126" s="76"/>
      <c r="V126" s="76"/>
      <c r="W126" s="76"/>
      <c r="X126" s="75"/>
      <c r="Y126" s="68"/>
      <c r="Z126" s="68"/>
      <c r="AA126" s="76"/>
      <c r="AB126" s="76"/>
      <c r="AC126" s="69" t="str">
        <f t="shared" si="5"/>
        <v/>
      </c>
      <c r="AD126" s="69" t="str">
        <f t="shared" si="6"/>
        <v/>
      </c>
      <c r="AE126" s="70" t="str">
        <f t="shared" si="7"/>
        <v/>
      </c>
      <c r="AF126" s="71" t="str">
        <f t="shared" si="8"/>
        <v/>
      </c>
      <c r="AG126" s="69" t="str">
        <f t="shared" si="9"/>
        <v/>
      </c>
      <c r="AH126" s="69" t="str">
        <f t="shared" si="10"/>
        <v/>
      </c>
      <c r="AI126" s="69" t="str">
        <f t="shared" si="3"/>
        <v/>
      </c>
    </row>
    <row r="127">
      <c r="A127" s="56" t="str">
        <f t="shared" si="1"/>
        <v/>
      </c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80"/>
      <c r="P127" s="72"/>
      <c r="Q127" s="80"/>
      <c r="R127" s="63" t="str">
        <f t="shared" si="4"/>
        <v/>
      </c>
      <c r="S127" s="85" t="str">
        <f t="shared" si="2"/>
        <v/>
      </c>
      <c r="T127" s="76"/>
      <c r="U127" s="76"/>
      <c r="V127" s="76"/>
      <c r="W127" s="76"/>
      <c r="X127" s="75"/>
      <c r="Y127" s="68"/>
      <c r="Z127" s="68"/>
      <c r="AA127" s="76"/>
      <c r="AB127" s="76"/>
      <c r="AC127" s="69" t="str">
        <f t="shared" si="5"/>
        <v/>
      </c>
      <c r="AD127" s="69" t="str">
        <f t="shared" si="6"/>
        <v/>
      </c>
      <c r="AE127" s="70" t="str">
        <f t="shared" si="7"/>
        <v/>
      </c>
      <c r="AF127" s="71" t="str">
        <f t="shared" si="8"/>
        <v/>
      </c>
      <c r="AG127" s="69" t="str">
        <f t="shared" si="9"/>
        <v/>
      </c>
      <c r="AH127" s="69" t="str">
        <f t="shared" si="10"/>
        <v/>
      </c>
      <c r="AI127" s="69" t="str">
        <f t="shared" si="3"/>
        <v/>
      </c>
    </row>
    <row r="128">
      <c r="A128" s="56" t="str">
        <f t="shared" si="1"/>
        <v/>
      </c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80"/>
      <c r="P128" s="72"/>
      <c r="Q128" s="80"/>
      <c r="R128" s="63" t="str">
        <f t="shared" si="4"/>
        <v/>
      </c>
      <c r="S128" s="85" t="str">
        <f t="shared" si="2"/>
        <v/>
      </c>
      <c r="T128" s="76"/>
      <c r="U128" s="76"/>
      <c r="V128" s="76"/>
      <c r="W128" s="76"/>
      <c r="X128" s="75"/>
      <c r="Y128" s="68"/>
      <c r="Z128" s="68"/>
      <c r="AA128" s="76"/>
      <c r="AB128" s="76"/>
      <c r="AC128" s="69" t="str">
        <f t="shared" si="5"/>
        <v/>
      </c>
      <c r="AD128" s="69" t="str">
        <f t="shared" si="6"/>
        <v/>
      </c>
      <c r="AE128" s="70" t="str">
        <f t="shared" si="7"/>
        <v/>
      </c>
      <c r="AF128" s="71" t="str">
        <f t="shared" si="8"/>
        <v/>
      </c>
      <c r="AG128" s="69" t="str">
        <f t="shared" si="9"/>
        <v/>
      </c>
      <c r="AH128" s="69" t="str">
        <f t="shared" si="10"/>
        <v/>
      </c>
      <c r="AI128" s="69" t="str">
        <f t="shared" si="3"/>
        <v/>
      </c>
    </row>
    <row r="129">
      <c r="A129" s="56" t="str">
        <f t="shared" si="1"/>
        <v/>
      </c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80"/>
      <c r="P129" s="72"/>
      <c r="Q129" s="80"/>
      <c r="R129" s="63" t="str">
        <f t="shared" si="4"/>
        <v/>
      </c>
      <c r="S129" s="85" t="str">
        <f t="shared" si="2"/>
        <v/>
      </c>
      <c r="T129" s="76"/>
      <c r="U129" s="76"/>
      <c r="V129" s="76"/>
      <c r="W129" s="76"/>
      <c r="X129" s="75"/>
      <c r="Y129" s="68"/>
      <c r="Z129" s="68"/>
      <c r="AA129" s="76"/>
      <c r="AB129" s="76"/>
      <c r="AC129" s="69" t="str">
        <f t="shared" si="5"/>
        <v/>
      </c>
      <c r="AD129" s="69" t="str">
        <f t="shared" si="6"/>
        <v/>
      </c>
      <c r="AE129" s="70" t="str">
        <f t="shared" si="7"/>
        <v/>
      </c>
      <c r="AF129" s="71" t="str">
        <f t="shared" si="8"/>
        <v/>
      </c>
      <c r="AG129" s="69" t="str">
        <f t="shared" si="9"/>
        <v/>
      </c>
      <c r="AH129" s="69" t="str">
        <f t="shared" si="10"/>
        <v/>
      </c>
      <c r="AI129" s="69" t="str">
        <f t="shared" si="3"/>
        <v/>
      </c>
    </row>
    <row r="130">
      <c r="A130" s="56" t="str">
        <f t="shared" si="1"/>
        <v/>
      </c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80"/>
      <c r="P130" s="72"/>
      <c r="Q130" s="80"/>
      <c r="R130" s="63" t="str">
        <f t="shared" si="4"/>
        <v/>
      </c>
      <c r="S130" s="85" t="str">
        <f t="shared" si="2"/>
        <v/>
      </c>
      <c r="T130" s="76"/>
      <c r="U130" s="76"/>
      <c r="V130" s="76"/>
      <c r="W130" s="76"/>
      <c r="X130" s="75"/>
      <c r="Y130" s="68"/>
      <c r="Z130" s="68"/>
      <c r="AA130" s="76"/>
      <c r="AB130" s="76"/>
      <c r="AC130" s="69" t="str">
        <f t="shared" si="5"/>
        <v/>
      </c>
      <c r="AD130" s="69" t="str">
        <f t="shared" si="6"/>
        <v/>
      </c>
      <c r="AE130" s="70" t="str">
        <f t="shared" si="7"/>
        <v/>
      </c>
      <c r="AF130" s="71" t="str">
        <f t="shared" si="8"/>
        <v/>
      </c>
      <c r="AG130" s="69" t="str">
        <f t="shared" si="9"/>
        <v/>
      </c>
      <c r="AH130" s="69" t="str">
        <f t="shared" si="10"/>
        <v/>
      </c>
      <c r="AI130" s="69" t="str">
        <f t="shared" si="3"/>
        <v/>
      </c>
    </row>
    <row r="131">
      <c r="A131" s="56" t="str">
        <f t="shared" si="1"/>
        <v/>
      </c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80"/>
      <c r="P131" s="72"/>
      <c r="Q131" s="80"/>
      <c r="R131" s="63" t="str">
        <f t="shared" si="4"/>
        <v/>
      </c>
      <c r="S131" s="85" t="str">
        <f t="shared" si="2"/>
        <v/>
      </c>
      <c r="T131" s="76"/>
      <c r="U131" s="76"/>
      <c r="V131" s="76"/>
      <c r="W131" s="76"/>
      <c r="X131" s="75"/>
      <c r="Y131" s="68"/>
      <c r="Z131" s="68"/>
      <c r="AA131" s="76"/>
      <c r="AB131" s="76"/>
      <c r="AC131" s="69" t="str">
        <f t="shared" si="5"/>
        <v/>
      </c>
      <c r="AD131" s="69" t="str">
        <f t="shared" si="6"/>
        <v/>
      </c>
      <c r="AE131" s="70" t="str">
        <f t="shared" si="7"/>
        <v/>
      </c>
      <c r="AF131" s="71" t="str">
        <f t="shared" si="8"/>
        <v/>
      </c>
      <c r="AG131" s="69" t="str">
        <f t="shared" si="9"/>
        <v/>
      </c>
      <c r="AH131" s="69" t="str">
        <f t="shared" si="10"/>
        <v/>
      </c>
      <c r="AI131" s="69" t="str">
        <f t="shared" si="3"/>
        <v/>
      </c>
    </row>
    <row r="132">
      <c r="A132" s="56" t="str">
        <f t="shared" si="1"/>
        <v/>
      </c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80"/>
      <c r="P132" s="72"/>
      <c r="Q132" s="80"/>
      <c r="R132" s="63" t="str">
        <f t="shared" si="4"/>
        <v/>
      </c>
      <c r="S132" s="85" t="str">
        <f t="shared" si="2"/>
        <v/>
      </c>
      <c r="T132" s="76"/>
      <c r="U132" s="76"/>
      <c r="V132" s="76"/>
      <c r="W132" s="76"/>
      <c r="X132" s="75"/>
      <c r="Y132" s="68"/>
      <c r="Z132" s="68"/>
      <c r="AA132" s="76"/>
      <c r="AB132" s="76"/>
      <c r="AC132" s="69" t="str">
        <f t="shared" si="5"/>
        <v/>
      </c>
      <c r="AD132" s="69" t="str">
        <f t="shared" si="6"/>
        <v/>
      </c>
      <c r="AE132" s="70" t="str">
        <f t="shared" si="7"/>
        <v/>
      </c>
      <c r="AF132" s="71" t="str">
        <f t="shared" si="8"/>
        <v/>
      </c>
      <c r="AG132" s="69" t="str">
        <f t="shared" si="9"/>
        <v/>
      </c>
      <c r="AH132" s="69" t="str">
        <f t="shared" si="10"/>
        <v/>
      </c>
      <c r="AI132" s="69" t="str">
        <f t="shared" si="3"/>
        <v/>
      </c>
    </row>
    <row r="133">
      <c r="A133" s="56" t="str">
        <f t="shared" si="1"/>
        <v/>
      </c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80"/>
      <c r="P133" s="72"/>
      <c r="Q133" s="80"/>
      <c r="R133" s="63" t="str">
        <f t="shared" si="4"/>
        <v/>
      </c>
      <c r="S133" s="85" t="str">
        <f t="shared" si="2"/>
        <v/>
      </c>
      <c r="T133" s="76"/>
      <c r="U133" s="76"/>
      <c r="V133" s="76"/>
      <c r="W133" s="76"/>
      <c r="X133" s="75"/>
      <c r="Y133" s="68"/>
      <c r="Z133" s="68"/>
      <c r="AA133" s="76"/>
      <c r="AB133" s="76"/>
      <c r="AC133" s="69" t="str">
        <f t="shared" si="5"/>
        <v/>
      </c>
      <c r="AD133" s="69" t="str">
        <f t="shared" si="6"/>
        <v/>
      </c>
      <c r="AE133" s="70" t="str">
        <f t="shared" si="7"/>
        <v/>
      </c>
      <c r="AF133" s="71" t="str">
        <f t="shared" si="8"/>
        <v/>
      </c>
      <c r="AG133" s="69" t="str">
        <f t="shared" si="9"/>
        <v/>
      </c>
      <c r="AH133" s="69" t="str">
        <f t="shared" si="10"/>
        <v/>
      </c>
      <c r="AI133" s="69" t="str">
        <f t="shared" si="3"/>
        <v/>
      </c>
    </row>
    <row r="134">
      <c r="A134" s="56" t="str">
        <f t="shared" si="1"/>
        <v/>
      </c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80"/>
      <c r="P134" s="72"/>
      <c r="Q134" s="80"/>
      <c r="R134" s="63" t="str">
        <f t="shared" si="4"/>
        <v/>
      </c>
      <c r="S134" s="85" t="str">
        <f t="shared" si="2"/>
        <v/>
      </c>
      <c r="T134" s="76"/>
      <c r="U134" s="76"/>
      <c r="V134" s="76"/>
      <c r="W134" s="76"/>
      <c r="X134" s="75"/>
      <c r="Y134" s="68"/>
      <c r="Z134" s="68"/>
      <c r="AA134" s="76"/>
      <c r="AB134" s="76"/>
      <c r="AC134" s="69" t="str">
        <f t="shared" si="5"/>
        <v/>
      </c>
      <c r="AD134" s="69" t="str">
        <f t="shared" si="6"/>
        <v/>
      </c>
      <c r="AE134" s="70" t="str">
        <f t="shared" si="7"/>
        <v/>
      </c>
      <c r="AF134" s="71" t="str">
        <f t="shared" si="8"/>
        <v/>
      </c>
      <c r="AG134" s="69" t="str">
        <f t="shared" si="9"/>
        <v/>
      </c>
      <c r="AH134" s="69" t="str">
        <f t="shared" si="10"/>
        <v/>
      </c>
      <c r="AI134" s="69" t="str">
        <f t="shared" si="3"/>
        <v/>
      </c>
    </row>
    <row r="135">
      <c r="A135" s="56" t="str">
        <f t="shared" si="1"/>
        <v/>
      </c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80"/>
      <c r="P135" s="72"/>
      <c r="Q135" s="80"/>
      <c r="R135" s="63" t="str">
        <f t="shared" si="4"/>
        <v/>
      </c>
      <c r="S135" s="85" t="str">
        <f t="shared" si="2"/>
        <v/>
      </c>
      <c r="T135" s="76"/>
      <c r="U135" s="76"/>
      <c r="V135" s="76"/>
      <c r="W135" s="76"/>
      <c r="X135" s="75"/>
      <c r="Y135" s="68"/>
      <c r="Z135" s="68"/>
      <c r="AA135" s="76"/>
      <c r="AB135" s="76"/>
      <c r="AC135" s="69" t="str">
        <f t="shared" si="5"/>
        <v/>
      </c>
      <c r="AD135" s="69" t="str">
        <f t="shared" si="6"/>
        <v/>
      </c>
      <c r="AE135" s="70" t="str">
        <f t="shared" si="7"/>
        <v/>
      </c>
      <c r="AF135" s="71" t="str">
        <f t="shared" si="8"/>
        <v/>
      </c>
      <c r="AG135" s="69" t="str">
        <f t="shared" si="9"/>
        <v/>
      </c>
      <c r="AH135" s="69" t="str">
        <f t="shared" si="10"/>
        <v/>
      </c>
      <c r="AI135" s="69" t="str">
        <f t="shared" si="3"/>
        <v/>
      </c>
    </row>
    <row r="136">
      <c r="A136" s="56" t="str">
        <f t="shared" si="1"/>
        <v/>
      </c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80"/>
      <c r="P136" s="72"/>
      <c r="Q136" s="80"/>
      <c r="R136" s="63" t="str">
        <f t="shared" si="4"/>
        <v/>
      </c>
      <c r="S136" s="85" t="str">
        <f t="shared" si="2"/>
        <v/>
      </c>
      <c r="T136" s="76"/>
      <c r="U136" s="76"/>
      <c r="V136" s="76"/>
      <c r="W136" s="76"/>
      <c r="X136" s="75"/>
      <c r="Y136" s="68"/>
      <c r="Z136" s="68"/>
      <c r="AA136" s="76"/>
      <c r="AB136" s="76"/>
      <c r="AC136" s="69" t="str">
        <f t="shared" si="5"/>
        <v/>
      </c>
      <c r="AD136" s="69" t="str">
        <f t="shared" si="6"/>
        <v/>
      </c>
      <c r="AE136" s="70" t="str">
        <f t="shared" si="7"/>
        <v/>
      </c>
      <c r="AF136" s="71" t="str">
        <f t="shared" si="8"/>
        <v/>
      </c>
      <c r="AG136" s="69" t="str">
        <f t="shared" si="9"/>
        <v/>
      </c>
      <c r="AH136" s="69" t="str">
        <f t="shared" si="10"/>
        <v/>
      </c>
      <c r="AI136" s="69" t="str">
        <f t="shared" si="3"/>
        <v/>
      </c>
    </row>
    <row r="137">
      <c r="A137" s="56" t="str">
        <f t="shared" si="1"/>
        <v/>
      </c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80"/>
      <c r="P137" s="72"/>
      <c r="Q137" s="80"/>
      <c r="R137" s="63" t="str">
        <f t="shared" si="4"/>
        <v/>
      </c>
      <c r="S137" s="85" t="str">
        <f t="shared" si="2"/>
        <v/>
      </c>
      <c r="T137" s="76"/>
      <c r="U137" s="76"/>
      <c r="V137" s="76"/>
      <c r="W137" s="76"/>
      <c r="X137" s="75"/>
      <c r="Y137" s="68"/>
      <c r="Z137" s="68"/>
      <c r="AA137" s="76"/>
      <c r="AB137" s="76"/>
      <c r="AC137" s="69" t="str">
        <f t="shared" si="5"/>
        <v/>
      </c>
      <c r="AD137" s="69" t="str">
        <f t="shared" si="6"/>
        <v/>
      </c>
      <c r="AE137" s="70" t="str">
        <f t="shared" si="7"/>
        <v/>
      </c>
      <c r="AF137" s="71" t="str">
        <f t="shared" si="8"/>
        <v/>
      </c>
      <c r="AG137" s="69" t="str">
        <f t="shared" si="9"/>
        <v/>
      </c>
      <c r="AH137" s="69" t="str">
        <f t="shared" si="10"/>
        <v/>
      </c>
      <c r="AI137" s="69" t="str">
        <f t="shared" si="3"/>
        <v/>
      </c>
    </row>
    <row r="138">
      <c r="A138" s="56" t="str">
        <f t="shared" si="1"/>
        <v/>
      </c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80"/>
      <c r="P138" s="72"/>
      <c r="Q138" s="80"/>
      <c r="R138" s="63" t="str">
        <f t="shared" si="4"/>
        <v/>
      </c>
      <c r="S138" s="85" t="str">
        <f t="shared" si="2"/>
        <v/>
      </c>
      <c r="T138" s="76"/>
      <c r="U138" s="76"/>
      <c r="V138" s="76"/>
      <c r="W138" s="76"/>
      <c r="X138" s="75"/>
      <c r="Y138" s="68"/>
      <c r="Z138" s="68"/>
      <c r="AA138" s="76"/>
      <c r="AB138" s="76"/>
      <c r="AC138" s="69" t="str">
        <f t="shared" si="5"/>
        <v/>
      </c>
      <c r="AD138" s="69" t="str">
        <f t="shared" si="6"/>
        <v/>
      </c>
      <c r="AE138" s="70" t="str">
        <f t="shared" si="7"/>
        <v/>
      </c>
      <c r="AF138" s="71" t="str">
        <f t="shared" si="8"/>
        <v/>
      </c>
      <c r="AG138" s="69" t="str">
        <f t="shared" si="9"/>
        <v/>
      </c>
      <c r="AH138" s="69" t="str">
        <f t="shared" si="10"/>
        <v/>
      </c>
      <c r="AI138" s="69" t="str">
        <f t="shared" si="3"/>
        <v/>
      </c>
    </row>
    <row r="139">
      <c r="A139" s="56" t="str">
        <f t="shared" si="1"/>
        <v/>
      </c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80"/>
      <c r="P139" s="72"/>
      <c r="Q139" s="80"/>
      <c r="R139" s="63" t="str">
        <f t="shared" si="4"/>
        <v/>
      </c>
      <c r="S139" s="85" t="str">
        <f t="shared" si="2"/>
        <v/>
      </c>
      <c r="T139" s="76"/>
      <c r="U139" s="76"/>
      <c r="V139" s="76"/>
      <c r="W139" s="76"/>
      <c r="X139" s="75"/>
      <c r="Y139" s="68"/>
      <c r="Z139" s="68"/>
      <c r="AA139" s="76"/>
      <c r="AB139" s="76"/>
      <c r="AC139" s="69" t="str">
        <f t="shared" si="5"/>
        <v/>
      </c>
      <c r="AD139" s="69" t="str">
        <f t="shared" si="6"/>
        <v/>
      </c>
      <c r="AE139" s="70" t="str">
        <f t="shared" si="7"/>
        <v/>
      </c>
      <c r="AF139" s="71" t="str">
        <f t="shared" si="8"/>
        <v/>
      </c>
      <c r="AG139" s="69" t="str">
        <f t="shared" si="9"/>
        <v/>
      </c>
      <c r="AH139" s="69" t="str">
        <f t="shared" si="10"/>
        <v/>
      </c>
      <c r="AI139" s="69" t="str">
        <f t="shared" si="3"/>
        <v/>
      </c>
    </row>
    <row r="140">
      <c r="A140" s="56" t="str">
        <f t="shared" si="1"/>
        <v/>
      </c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80"/>
      <c r="P140" s="72"/>
      <c r="Q140" s="80"/>
      <c r="R140" s="63" t="str">
        <f t="shared" si="4"/>
        <v/>
      </c>
      <c r="S140" s="85" t="str">
        <f t="shared" si="2"/>
        <v/>
      </c>
      <c r="T140" s="76"/>
      <c r="U140" s="76"/>
      <c r="V140" s="76"/>
      <c r="W140" s="76"/>
      <c r="X140" s="75"/>
      <c r="Y140" s="68"/>
      <c r="Z140" s="68"/>
      <c r="AA140" s="76"/>
      <c r="AB140" s="76"/>
      <c r="AC140" s="69" t="str">
        <f t="shared" si="5"/>
        <v/>
      </c>
      <c r="AD140" s="69" t="str">
        <f t="shared" si="6"/>
        <v/>
      </c>
      <c r="AE140" s="70" t="str">
        <f t="shared" si="7"/>
        <v/>
      </c>
      <c r="AF140" s="71" t="str">
        <f t="shared" si="8"/>
        <v/>
      </c>
      <c r="AG140" s="69" t="str">
        <f t="shared" si="9"/>
        <v/>
      </c>
      <c r="AH140" s="69" t="str">
        <f t="shared" si="10"/>
        <v/>
      </c>
      <c r="AI140" s="69" t="str">
        <f t="shared" si="3"/>
        <v/>
      </c>
    </row>
    <row r="141">
      <c r="A141" s="56" t="str">
        <f t="shared" si="1"/>
        <v/>
      </c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80"/>
      <c r="P141" s="72"/>
      <c r="Q141" s="80"/>
      <c r="R141" s="63" t="str">
        <f t="shared" si="4"/>
        <v/>
      </c>
      <c r="S141" s="85" t="str">
        <f t="shared" si="2"/>
        <v/>
      </c>
      <c r="T141" s="76"/>
      <c r="U141" s="76"/>
      <c r="V141" s="76"/>
      <c r="W141" s="76"/>
      <c r="X141" s="75"/>
      <c r="Y141" s="68"/>
      <c r="Z141" s="68"/>
      <c r="AA141" s="76"/>
      <c r="AB141" s="76"/>
      <c r="AC141" s="69" t="str">
        <f t="shared" si="5"/>
        <v/>
      </c>
      <c r="AD141" s="69" t="str">
        <f t="shared" si="6"/>
        <v/>
      </c>
      <c r="AE141" s="70" t="str">
        <f t="shared" si="7"/>
        <v/>
      </c>
      <c r="AF141" s="71" t="str">
        <f t="shared" si="8"/>
        <v/>
      </c>
      <c r="AG141" s="69" t="str">
        <f t="shared" si="9"/>
        <v/>
      </c>
      <c r="AH141" s="69" t="str">
        <f t="shared" si="10"/>
        <v/>
      </c>
      <c r="AI141" s="69" t="str">
        <f t="shared" si="3"/>
        <v/>
      </c>
    </row>
    <row r="142">
      <c r="A142" s="56" t="str">
        <f t="shared" si="1"/>
        <v/>
      </c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80"/>
      <c r="P142" s="72"/>
      <c r="Q142" s="80"/>
      <c r="R142" s="63" t="str">
        <f t="shared" si="4"/>
        <v/>
      </c>
      <c r="S142" s="85" t="str">
        <f t="shared" si="2"/>
        <v/>
      </c>
      <c r="T142" s="76"/>
      <c r="U142" s="76"/>
      <c r="V142" s="76"/>
      <c r="W142" s="76"/>
      <c r="X142" s="75"/>
      <c r="Y142" s="68"/>
      <c r="Z142" s="68"/>
      <c r="AA142" s="76"/>
      <c r="AB142" s="76"/>
      <c r="AC142" s="69" t="str">
        <f t="shared" si="5"/>
        <v/>
      </c>
      <c r="AD142" s="69" t="str">
        <f t="shared" si="6"/>
        <v/>
      </c>
      <c r="AE142" s="70" t="str">
        <f t="shared" si="7"/>
        <v/>
      </c>
      <c r="AF142" s="71" t="str">
        <f t="shared" si="8"/>
        <v/>
      </c>
      <c r="AG142" s="69" t="str">
        <f t="shared" si="9"/>
        <v/>
      </c>
      <c r="AH142" s="69" t="str">
        <f t="shared" si="10"/>
        <v/>
      </c>
      <c r="AI142" s="69" t="str">
        <f t="shared" si="3"/>
        <v/>
      </c>
    </row>
    <row r="143">
      <c r="A143" s="56" t="str">
        <f t="shared" si="1"/>
        <v/>
      </c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80"/>
      <c r="P143" s="72"/>
      <c r="Q143" s="80"/>
      <c r="R143" s="63" t="str">
        <f t="shared" si="4"/>
        <v/>
      </c>
      <c r="S143" s="85" t="str">
        <f t="shared" si="2"/>
        <v/>
      </c>
      <c r="T143" s="76"/>
      <c r="U143" s="76"/>
      <c r="V143" s="76"/>
      <c r="W143" s="76"/>
      <c r="X143" s="75"/>
      <c r="Y143" s="68"/>
      <c r="Z143" s="68"/>
      <c r="AA143" s="76"/>
      <c r="AB143" s="76"/>
      <c r="AC143" s="69" t="str">
        <f t="shared" si="5"/>
        <v/>
      </c>
      <c r="AD143" s="69" t="str">
        <f t="shared" si="6"/>
        <v/>
      </c>
      <c r="AE143" s="70" t="str">
        <f t="shared" si="7"/>
        <v/>
      </c>
      <c r="AF143" s="71" t="str">
        <f t="shared" si="8"/>
        <v/>
      </c>
      <c r="AG143" s="69" t="str">
        <f t="shared" si="9"/>
        <v/>
      </c>
      <c r="AH143" s="69" t="str">
        <f t="shared" si="10"/>
        <v/>
      </c>
      <c r="AI143" s="69" t="str">
        <f t="shared" si="3"/>
        <v/>
      </c>
    </row>
    <row r="144">
      <c r="A144" s="56" t="str">
        <f t="shared" si="1"/>
        <v/>
      </c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80"/>
      <c r="P144" s="72"/>
      <c r="Q144" s="80"/>
      <c r="R144" s="63" t="str">
        <f t="shared" si="4"/>
        <v/>
      </c>
      <c r="S144" s="85" t="str">
        <f t="shared" si="2"/>
        <v/>
      </c>
      <c r="T144" s="76"/>
      <c r="U144" s="76"/>
      <c r="V144" s="76"/>
      <c r="W144" s="76"/>
      <c r="X144" s="75"/>
      <c r="Y144" s="68"/>
      <c r="Z144" s="68"/>
      <c r="AA144" s="76"/>
      <c r="AB144" s="76"/>
      <c r="AC144" s="69" t="str">
        <f t="shared" si="5"/>
        <v/>
      </c>
      <c r="AD144" s="69" t="str">
        <f t="shared" si="6"/>
        <v/>
      </c>
      <c r="AE144" s="70" t="str">
        <f t="shared" si="7"/>
        <v/>
      </c>
      <c r="AF144" s="71" t="str">
        <f t="shared" si="8"/>
        <v/>
      </c>
      <c r="AG144" s="69" t="str">
        <f t="shared" si="9"/>
        <v/>
      </c>
      <c r="AH144" s="69" t="str">
        <f t="shared" si="10"/>
        <v/>
      </c>
      <c r="AI144" s="69" t="str">
        <f t="shared" si="3"/>
        <v/>
      </c>
    </row>
    <row r="145">
      <c r="A145" s="56" t="str">
        <f t="shared" si="1"/>
        <v/>
      </c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80"/>
      <c r="P145" s="72"/>
      <c r="Q145" s="80"/>
      <c r="R145" s="63" t="str">
        <f t="shared" si="4"/>
        <v/>
      </c>
      <c r="S145" s="85" t="str">
        <f t="shared" si="2"/>
        <v/>
      </c>
      <c r="T145" s="76"/>
      <c r="U145" s="76"/>
      <c r="V145" s="76"/>
      <c r="W145" s="76"/>
      <c r="X145" s="75"/>
      <c r="Y145" s="68"/>
      <c r="Z145" s="68"/>
      <c r="AA145" s="76"/>
      <c r="AB145" s="76"/>
      <c r="AC145" s="69" t="str">
        <f t="shared" si="5"/>
        <v/>
      </c>
      <c r="AD145" s="69" t="str">
        <f t="shared" si="6"/>
        <v/>
      </c>
      <c r="AE145" s="70" t="str">
        <f t="shared" si="7"/>
        <v/>
      </c>
      <c r="AF145" s="71" t="str">
        <f t="shared" si="8"/>
        <v/>
      </c>
      <c r="AG145" s="69" t="str">
        <f t="shared" si="9"/>
        <v/>
      </c>
      <c r="AH145" s="69" t="str">
        <f t="shared" si="10"/>
        <v/>
      </c>
      <c r="AI145" s="69" t="str">
        <f t="shared" si="3"/>
        <v/>
      </c>
    </row>
    <row r="146">
      <c r="A146" s="56" t="str">
        <f t="shared" si="1"/>
        <v/>
      </c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80"/>
      <c r="P146" s="72"/>
      <c r="Q146" s="80"/>
      <c r="R146" s="63" t="str">
        <f t="shared" si="4"/>
        <v/>
      </c>
      <c r="S146" s="85" t="str">
        <f t="shared" si="2"/>
        <v/>
      </c>
      <c r="T146" s="76"/>
      <c r="U146" s="76"/>
      <c r="V146" s="76"/>
      <c r="W146" s="76"/>
      <c r="X146" s="75"/>
      <c r="Y146" s="68"/>
      <c r="Z146" s="68"/>
      <c r="AA146" s="76"/>
      <c r="AB146" s="76"/>
      <c r="AC146" s="69" t="str">
        <f t="shared" si="5"/>
        <v/>
      </c>
      <c r="AD146" s="69" t="str">
        <f t="shared" si="6"/>
        <v/>
      </c>
      <c r="AE146" s="70" t="str">
        <f t="shared" si="7"/>
        <v/>
      </c>
      <c r="AF146" s="71" t="str">
        <f t="shared" si="8"/>
        <v/>
      </c>
      <c r="AG146" s="69" t="str">
        <f t="shared" si="9"/>
        <v/>
      </c>
      <c r="AH146" s="69" t="str">
        <f t="shared" si="10"/>
        <v/>
      </c>
      <c r="AI146" s="69" t="str">
        <f t="shared" si="3"/>
        <v/>
      </c>
    </row>
    <row r="147">
      <c r="A147" s="56" t="str">
        <f t="shared" si="1"/>
        <v/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80"/>
      <c r="P147" s="72"/>
      <c r="Q147" s="80"/>
      <c r="R147" s="63" t="str">
        <f t="shared" si="4"/>
        <v/>
      </c>
      <c r="S147" s="85" t="str">
        <f t="shared" si="2"/>
        <v/>
      </c>
      <c r="T147" s="76"/>
      <c r="U147" s="76"/>
      <c r="V147" s="76"/>
      <c r="W147" s="76"/>
      <c r="X147" s="75"/>
      <c r="Y147" s="68"/>
      <c r="Z147" s="68"/>
      <c r="AA147" s="76"/>
      <c r="AB147" s="76"/>
      <c r="AC147" s="69" t="str">
        <f t="shared" si="5"/>
        <v/>
      </c>
      <c r="AD147" s="69" t="str">
        <f t="shared" si="6"/>
        <v/>
      </c>
      <c r="AE147" s="70" t="str">
        <f t="shared" si="7"/>
        <v/>
      </c>
      <c r="AF147" s="71" t="str">
        <f t="shared" si="8"/>
        <v/>
      </c>
      <c r="AG147" s="69" t="str">
        <f t="shared" si="9"/>
        <v/>
      </c>
      <c r="AH147" s="69" t="str">
        <f t="shared" si="10"/>
        <v/>
      </c>
      <c r="AI147" s="69" t="str">
        <f t="shared" si="3"/>
        <v/>
      </c>
    </row>
    <row r="148">
      <c r="A148" s="56" t="str">
        <f t="shared" si="1"/>
        <v/>
      </c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80"/>
      <c r="P148" s="72"/>
      <c r="Q148" s="80"/>
      <c r="R148" s="63" t="str">
        <f t="shared" si="4"/>
        <v/>
      </c>
      <c r="S148" s="85" t="str">
        <f t="shared" si="2"/>
        <v/>
      </c>
      <c r="T148" s="76"/>
      <c r="U148" s="76"/>
      <c r="V148" s="76"/>
      <c r="W148" s="76"/>
      <c r="X148" s="75"/>
      <c r="Y148" s="68"/>
      <c r="Z148" s="68"/>
      <c r="AA148" s="76"/>
      <c r="AB148" s="76"/>
      <c r="AC148" s="69" t="str">
        <f t="shared" si="5"/>
        <v/>
      </c>
      <c r="AD148" s="69" t="str">
        <f t="shared" si="6"/>
        <v/>
      </c>
      <c r="AE148" s="70" t="str">
        <f t="shared" si="7"/>
        <v/>
      </c>
      <c r="AF148" s="71" t="str">
        <f t="shared" si="8"/>
        <v/>
      </c>
      <c r="AG148" s="69" t="str">
        <f t="shared" si="9"/>
        <v/>
      </c>
      <c r="AH148" s="69" t="str">
        <f t="shared" si="10"/>
        <v/>
      </c>
      <c r="AI148" s="69" t="str">
        <f t="shared" si="3"/>
        <v/>
      </c>
    </row>
    <row r="149">
      <c r="A149" s="56" t="str">
        <f t="shared" si="1"/>
        <v/>
      </c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80"/>
      <c r="P149" s="72"/>
      <c r="Q149" s="80"/>
      <c r="R149" s="63" t="str">
        <f t="shared" si="4"/>
        <v/>
      </c>
      <c r="S149" s="85" t="str">
        <f t="shared" si="2"/>
        <v/>
      </c>
      <c r="T149" s="76"/>
      <c r="U149" s="76"/>
      <c r="V149" s="76"/>
      <c r="W149" s="76"/>
      <c r="X149" s="75"/>
      <c r="Y149" s="68"/>
      <c r="Z149" s="68"/>
      <c r="AA149" s="76"/>
      <c r="AB149" s="76"/>
      <c r="AC149" s="69" t="str">
        <f t="shared" si="5"/>
        <v/>
      </c>
      <c r="AD149" s="69" t="str">
        <f t="shared" si="6"/>
        <v/>
      </c>
      <c r="AE149" s="70" t="str">
        <f t="shared" si="7"/>
        <v/>
      </c>
      <c r="AF149" s="71" t="str">
        <f t="shared" si="8"/>
        <v/>
      </c>
      <c r="AG149" s="69" t="str">
        <f t="shared" si="9"/>
        <v/>
      </c>
      <c r="AH149" s="69" t="str">
        <f t="shared" si="10"/>
        <v/>
      </c>
      <c r="AI149" s="69" t="str">
        <f t="shared" si="3"/>
        <v/>
      </c>
    </row>
    <row r="150">
      <c r="A150" s="56" t="str">
        <f t="shared" si="1"/>
        <v/>
      </c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80"/>
      <c r="P150" s="72"/>
      <c r="Q150" s="80"/>
      <c r="R150" s="63" t="str">
        <f t="shared" si="4"/>
        <v/>
      </c>
      <c r="S150" s="85" t="str">
        <f t="shared" si="2"/>
        <v/>
      </c>
      <c r="T150" s="76"/>
      <c r="U150" s="76"/>
      <c r="V150" s="76"/>
      <c r="W150" s="76"/>
      <c r="X150" s="75"/>
      <c r="Y150" s="68"/>
      <c r="Z150" s="68"/>
      <c r="AA150" s="76"/>
      <c r="AB150" s="76"/>
      <c r="AC150" s="69" t="str">
        <f t="shared" si="5"/>
        <v/>
      </c>
      <c r="AD150" s="69" t="str">
        <f t="shared" si="6"/>
        <v/>
      </c>
      <c r="AE150" s="70" t="str">
        <f t="shared" si="7"/>
        <v/>
      </c>
      <c r="AF150" s="71" t="str">
        <f t="shared" si="8"/>
        <v/>
      </c>
      <c r="AG150" s="69" t="str">
        <f t="shared" si="9"/>
        <v/>
      </c>
      <c r="AH150" s="69" t="str">
        <f t="shared" si="10"/>
        <v/>
      </c>
      <c r="AI150" s="69" t="str">
        <f t="shared" si="3"/>
        <v/>
      </c>
    </row>
    <row r="151">
      <c r="A151" s="56" t="str">
        <f t="shared" si="1"/>
        <v/>
      </c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80"/>
      <c r="P151" s="72"/>
      <c r="Q151" s="80"/>
      <c r="R151" s="63" t="str">
        <f t="shared" si="4"/>
        <v/>
      </c>
      <c r="S151" s="85" t="str">
        <f t="shared" si="2"/>
        <v/>
      </c>
      <c r="T151" s="76"/>
      <c r="U151" s="76"/>
      <c r="V151" s="76"/>
      <c r="W151" s="76"/>
      <c r="X151" s="75"/>
      <c r="Y151" s="68"/>
      <c r="Z151" s="68"/>
      <c r="AA151" s="76"/>
      <c r="AB151" s="76"/>
      <c r="AC151" s="69" t="str">
        <f t="shared" si="5"/>
        <v/>
      </c>
      <c r="AD151" s="69" t="str">
        <f t="shared" si="6"/>
        <v/>
      </c>
      <c r="AE151" s="70" t="str">
        <f t="shared" si="7"/>
        <v/>
      </c>
      <c r="AF151" s="71" t="str">
        <f t="shared" si="8"/>
        <v/>
      </c>
      <c r="AG151" s="69" t="str">
        <f t="shared" si="9"/>
        <v/>
      </c>
      <c r="AH151" s="69" t="str">
        <f t="shared" si="10"/>
        <v/>
      </c>
      <c r="AI151" s="69" t="str">
        <f t="shared" si="3"/>
        <v/>
      </c>
    </row>
    <row r="152">
      <c r="A152" s="56" t="str">
        <f t="shared" si="1"/>
        <v/>
      </c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80"/>
      <c r="P152" s="72"/>
      <c r="Q152" s="80"/>
      <c r="R152" s="63" t="str">
        <f t="shared" si="4"/>
        <v/>
      </c>
      <c r="S152" s="85" t="str">
        <f t="shared" si="2"/>
        <v/>
      </c>
      <c r="T152" s="76"/>
      <c r="U152" s="76"/>
      <c r="V152" s="76"/>
      <c r="W152" s="76"/>
      <c r="X152" s="75"/>
      <c r="Y152" s="68"/>
      <c r="Z152" s="68"/>
      <c r="AA152" s="76"/>
      <c r="AB152" s="76"/>
      <c r="AC152" s="69" t="str">
        <f t="shared" si="5"/>
        <v/>
      </c>
      <c r="AD152" s="69" t="str">
        <f t="shared" si="6"/>
        <v/>
      </c>
      <c r="AE152" s="70" t="str">
        <f t="shared" si="7"/>
        <v/>
      </c>
      <c r="AF152" s="71" t="str">
        <f t="shared" si="8"/>
        <v/>
      </c>
      <c r="AG152" s="69" t="str">
        <f t="shared" si="9"/>
        <v/>
      </c>
      <c r="AH152" s="69" t="str">
        <f t="shared" si="10"/>
        <v/>
      </c>
      <c r="AI152" s="69" t="str">
        <f t="shared" si="3"/>
        <v/>
      </c>
    </row>
    <row r="153">
      <c r="A153" s="56" t="str">
        <f t="shared" si="1"/>
        <v/>
      </c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80"/>
      <c r="P153" s="72"/>
      <c r="Q153" s="80"/>
      <c r="R153" s="63" t="str">
        <f t="shared" si="4"/>
        <v/>
      </c>
      <c r="S153" s="85" t="str">
        <f t="shared" si="2"/>
        <v/>
      </c>
      <c r="T153" s="76"/>
      <c r="U153" s="76"/>
      <c r="V153" s="76"/>
      <c r="W153" s="76"/>
      <c r="X153" s="75"/>
      <c r="Y153" s="68"/>
      <c r="Z153" s="68"/>
      <c r="AA153" s="76"/>
      <c r="AB153" s="76"/>
      <c r="AC153" s="69" t="str">
        <f t="shared" si="5"/>
        <v/>
      </c>
      <c r="AD153" s="69" t="str">
        <f t="shared" si="6"/>
        <v/>
      </c>
      <c r="AE153" s="70" t="str">
        <f t="shared" si="7"/>
        <v/>
      </c>
      <c r="AF153" s="71" t="str">
        <f t="shared" si="8"/>
        <v/>
      </c>
      <c r="AG153" s="69" t="str">
        <f t="shared" si="9"/>
        <v/>
      </c>
      <c r="AH153" s="69" t="str">
        <f t="shared" si="10"/>
        <v/>
      </c>
      <c r="AI153" s="69" t="str">
        <f t="shared" si="3"/>
        <v/>
      </c>
    </row>
    <row r="154">
      <c r="A154" s="56" t="str">
        <f t="shared" si="1"/>
        <v/>
      </c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80"/>
      <c r="P154" s="72"/>
      <c r="Q154" s="80"/>
      <c r="R154" s="63" t="str">
        <f t="shared" si="4"/>
        <v/>
      </c>
      <c r="S154" s="85" t="str">
        <f t="shared" si="2"/>
        <v/>
      </c>
      <c r="T154" s="76"/>
      <c r="U154" s="76"/>
      <c r="V154" s="76"/>
      <c r="W154" s="76"/>
      <c r="X154" s="75"/>
      <c r="Y154" s="68"/>
      <c r="Z154" s="68"/>
      <c r="AA154" s="76"/>
      <c r="AB154" s="76"/>
      <c r="AC154" s="69" t="str">
        <f t="shared" si="5"/>
        <v/>
      </c>
      <c r="AD154" s="69" t="str">
        <f t="shared" si="6"/>
        <v/>
      </c>
      <c r="AE154" s="70" t="str">
        <f t="shared" si="7"/>
        <v/>
      </c>
      <c r="AF154" s="71" t="str">
        <f t="shared" si="8"/>
        <v/>
      </c>
      <c r="AG154" s="69" t="str">
        <f t="shared" si="9"/>
        <v/>
      </c>
      <c r="AH154" s="69" t="str">
        <f t="shared" si="10"/>
        <v/>
      </c>
      <c r="AI154" s="69" t="str">
        <f t="shared" si="3"/>
        <v/>
      </c>
    </row>
    <row r="155">
      <c r="A155" s="56" t="str">
        <f t="shared" si="1"/>
        <v/>
      </c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80"/>
      <c r="P155" s="72"/>
      <c r="Q155" s="80"/>
      <c r="R155" s="63" t="str">
        <f t="shared" si="4"/>
        <v/>
      </c>
      <c r="S155" s="85" t="str">
        <f t="shared" si="2"/>
        <v/>
      </c>
      <c r="T155" s="76"/>
      <c r="U155" s="76"/>
      <c r="V155" s="76"/>
      <c r="W155" s="76"/>
      <c r="X155" s="75"/>
      <c r="Y155" s="68"/>
      <c r="Z155" s="68"/>
      <c r="AA155" s="76"/>
      <c r="AB155" s="76"/>
      <c r="AC155" s="69" t="str">
        <f t="shared" si="5"/>
        <v/>
      </c>
      <c r="AD155" s="69" t="str">
        <f t="shared" si="6"/>
        <v/>
      </c>
      <c r="AE155" s="70" t="str">
        <f t="shared" si="7"/>
        <v/>
      </c>
      <c r="AF155" s="71" t="str">
        <f t="shared" si="8"/>
        <v/>
      </c>
      <c r="AG155" s="69" t="str">
        <f t="shared" si="9"/>
        <v/>
      </c>
      <c r="AH155" s="69" t="str">
        <f t="shared" si="10"/>
        <v/>
      </c>
      <c r="AI155" s="69" t="str">
        <f t="shared" si="3"/>
        <v/>
      </c>
    </row>
    <row r="156">
      <c r="A156" s="56" t="str">
        <f t="shared" si="1"/>
        <v/>
      </c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80"/>
      <c r="P156" s="72"/>
      <c r="Q156" s="80"/>
      <c r="R156" s="63" t="str">
        <f t="shared" si="4"/>
        <v/>
      </c>
      <c r="S156" s="85" t="str">
        <f t="shared" si="2"/>
        <v/>
      </c>
      <c r="T156" s="76"/>
      <c r="U156" s="76"/>
      <c r="V156" s="76"/>
      <c r="W156" s="76"/>
      <c r="X156" s="75"/>
      <c r="Y156" s="68"/>
      <c r="Z156" s="68"/>
      <c r="AA156" s="76"/>
      <c r="AB156" s="76"/>
      <c r="AC156" s="69" t="str">
        <f t="shared" si="5"/>
        <v/>
      </c>
      <c r="AD156" s="69" t="str">
        <f t="shared" si="6"/>
        <v/>
      </c>
      <c r="AE156" s="70" t="str">
        <f t="shared" si="7"/>
        <v/>
      </c>
      <c r="AF156" s="71" t="str">
        <f t="shared" si="8"/>
        <v/>
      </c>
      <c r="AG156" s="69" t="str">
        <f t="shared" si="9"/>
        <v/>
      </c>
      <c r="AH156" s="69" t="str">
        <f t="shared" si="10"/>
        <v/>
      </c>
      <c r="AI156" s="69" t="str">
        <f t="shared" si="3"/>
        <v/>
      </c>
    </row>
    <row r="157">
      <c r="A157" s="56" t="str">
        <f t="shared" si="1"/>
        <v/>
      </c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80"/>
      <c r="P157" s="72"/>
      <c r="Q157" s="80"/>
      <c r="R157" s="63" t="str">
        <f t="shared" si="4"/>
        <v/>
      </c>
      <c r="S157" s="85" t="str">
        <f t="shared" si="2"/>
        <v/>
      </c>
      <c r="T157" s="76"/>
      <c r="U157" s="76"/>
      <c r="V157" s="76"/>
      <c r="W157" s="76"/>
      <c r="X157" s="75"/>
      <c r="Y157" s="68"/>
      <c r="Z157" s="68"/>
      <c r="AA157" s="76"/>
      <c r="AB157" s="76"/>
      <c r="AC157" s="69" t="str">
        <f t="shared" si="5"/>
        <v/>
      </c>
      <c r="AD157" s="69" t="str">
        <f t="shared" si="6"/>
        <v/>
      </c>
      <c r="AE157" s="70" t="str">
        <f t="shared" si="7"/>
        <v/>
      </c>
      <c r="AF157" s="71" t="str">
        <f t="shared" si="8"/>
        <v/>
      </c>
      <c r="AG157" s="69" t="str">
        <f t="shared" si="9"/>
        <v/>
      </c>
      <c r="AH157" s="69" t="str">
        <f t="shared" si="10"/>
        <v/>
      </c>
      <c r="AI157" s="69" t="str">
        <f t="shared" si="3"/>
        <v/>
      </c>
    </row>
    <row r="158">
      <c r="A158" s="56" t="str">
        <f t="shared" si="1"/>
        <v/>
      </c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80"/>
      <c r="P158" s="72"/>
      <c r="Q158" s="80"/>
      <c r="R158" s="63" t="str">
        <f t="shared" si="4"/>
        <v/>
      </c>
      <c r="S158" s="85" t="str">
        <f t="shared" si="2"/>
        <v/>
      </c>
      <c r="T158" s="76"/>
      <c r="U158" s="76"/>
      <c r="V158" s="76"/>
      <c r="W158" s="76"/>
      <c r="X158" s="75"/>
      <c r="Y158" s="68"/>
      <c r="Z158" s="68"/>
      <c r="AA158" s="76"/>
      <c r="AB158" s="76"/>
      <c r="AC158" s="69" t="str">
        <f t="shared" si="5"/>
        <v/>
      </c>
      <c r="AD158" s="69" t="str">
        <f t="shared" si="6"/>
        <v/>
      </c>
      <c r="AE158" s="70" t="str">
        <f t="shared" si="7"/>
        <v/>
      </c>
      <c r="AF158" s="71" t="str">
        <f t="shared" si="8"/>
        <v/>
      </c>
      <c r="AG158" s="69" t="str">
        <f t="shared" si="9"/>
        <v/>
      </c>
      <c r="AH158" s="69" t="str">
        <f t="shared" si="10"/>
        <v/>
      </c>
      <c r="AI158" s="69" t="str">
        <f t="shared" si="3"/>
        <v/>
      </c>
    </row>
    <row r="159">
      <c r="A159" s="56" t="str">
        <f t="shared" si="1"/>
        <v/>
      </c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80"/>
      <c r="P159" s="72"/>
      <c r="Q159" s="80"/>
      <c r="R159" s="63" t="str">
        <f t="shared" si="4"/>
        <v/>
      </c>
      <c r="S159" s="85" t="str">
        <f t="shared" si="2"/>
        <v/>
      </c>
      <c r="T159" s="76"/>
      <c r="U159" s="76"/>
      <c r="V159" s="76"/>
      <c r="W159" s="76"/>
      <c r="X159" s="75"/>
      <c r="Y159" s="68"/>
      <c r="Z159" s="68"/>
      <c r="AA159" s="76"/>
      <c r="AB159" s="76"/>
      <c r="AC159" s="69" t="str">
        <f t="shared" si="5"/>
        <v/>
      </c>
      <c r="AD159" s="69" t="str">
        <f t="shared" si="6"/>
        <v/>
      </c>
      <c r="AE159" s="70" t="str">
        <f t="shared" si="7"/>
        <v/>
      </c>
      <c r="AF159" s="71" t="str">
        <f t="shared" si="8"/>
        <v/>
      </c>
      <c r="AG159" s="69" t="str">
        <f t="shared" si="9"/>
        <v/>
      </c>
      <c r="AH159" s="69" t="str">
        <f t="shared" si="10"/>
        <v/>
      </c>
      <c r="AI159" s="69" t="str">
        <f t="shared" si="3"/>
        <v/>
      </c>
    </row>
    <row r="160">
      <c r="A160" s="56" t="str">
        <f t="shared" si="1"/>
        <v/>
      </c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80"/>
      <c r="P160" s="72"/>
      <c r="Q160" s="80"/>
      <c r="R160" s="63" t="str">
        <f t="shared" si="4"/>
        <v/>
      </c>
      <c r="S160" s="85" t="str">
        <f t="shared" si="2"/>
        <v/>
      </c>
      <c r="T160" s="76"/>
      <c r="U160" s="76"/>
      <c r="V160" s="76"/>
      <c r="W160" s="76"/>
      <c r="X160" s="75"/>
      <c r="Y160" s="68"/>
      <c r="Z160" s="68"/>
      <c r="AA160" s="76"/>
      <c r="AB160" s="76"/>
      <c r="AC160" s="69" t="str">
        <f t="shared" si="5"/>
        <v/>
      </c>
      <c r="AD160" s="69" t="str">
        <f t="shared" si="6"/>
        <v/>
      </c>
      <c r="AE160" s="70" t="str">
        <f t="shared" si="7"/>
        <v/>
      </c>
      <c r="AF160" s="71" t="str">
        <f t="shared" si="8"/>
        <v/>
      </c>
      <c r="AG160" s="69" t="str">
        <f t="shared" si="9"/>
        <v/>
      </c>
      <c r="AH160" s="69" t="str">
        <f t="shared" si="10"/>
        <v/>
      </c>
      <c r="AI160" s="69" t="str">
        <f t="shared" si="3"/>
        <v/>
      </c>
    </row>
    <row r="161">
      <c r="A161" s="56" t="str">
        <f t="shared" si="1"/>
        <v/>
      </c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80"/>
      <c r="P161" s="72"/>
      <c r="Q161" s="80"/>
      <c r="R161" s="63" t="str">
        <f t="shared" si="4"/>
        <v/>
      </c>
      <c r="S161" s="85" t="str">
        <f t="shared" si="2"/>
        <v/>
      </c>
      <c r="T161" s="76"/>
      <c r="U161" s="76"/>
      <c r="V161" s="76"/>
      <c r="W161" s="76"/>
      <c r="X161" s="75"/>
      <c r="Y161" s="68"/>
      <c r="Z161" s="68"/>
      <c r="AA161" s="76"/>
      <c r="AB161" s="76"/>
      <c r="AC161" s="69" t="str">
        <f t="shared" si="5"/>
        <v/>
      </c>
      <c r="AD161" s="69" t="str">
        <f t="shared" si="6"/>
        <v/>
      </c>
      <c r="AE161" s="70" t="str">
        <f t="shared" si="7"/>
        <v/>
      </c>
      <c r="AF161" s="71" t="str">
        <f t="shared" si="8"/>
        <v/>
      </c>
      <c r="AG161" s="69" t="str">
        <f t="shared" si="9"/>
        <v/>
      </c>
      <c r="AH161" s="69" t="str">
        <f t="shared" si="10"/>
        <v/>
      </c>
      <c r="AI161" s="69" t="str">
        <f t="shared" si="3"/>
        <v/>
      </c>
    </row>
    <row r="162">
      <c r="A162" s="56" t="str">
        <f t="shared" si="1"/>
        <v/>
      </c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80"/>
      <c r="P162" s="72"/>
      <c r="Q162" s="80"/>
      <c r="R162" s="63" t="str">
        <f t="shared" si="4"/>
        <v/>
      </c>
      <c r="S162" s="85" t="str">
        <f t="shared" si="2"/>
        <v/>
      </c>
      <c r="T162" s="76"/>
      <c r="U162" s="76"/>
      <c r="V162" s="76"/>
      <c r="W162" s="76"/>
      <c r="X162" s="75"/>
      <c r="Y162" s="68"/>
      <c r="Z162" s="68"/>
      <c r="AA162" s="76"/>
      <c r="AB162" s="76"/>
      <c r="AC162" s="69" t="str">
        <f t="shared" si="5"/>
        <v/>
      </c>
      <c r="AD162" s="69" t="str">
        <f t="shared" si="6"/>
        <v/>
      </c>
      <c r="AE162" s="70" t="str">
        <f t="shared" si="7"/>
        <v/>
      </c>
      <c r="AF162" s="71" t="str">
        <f t="shared" si="8"/>
        <v/>
      </c>
      <c r="AG162" s="69" t="str">
        <f t="shared" si="9"/>
        <v/>
      </c>
      <c r="AH162" s="69" t="str">
        <f t="shared" si="10"/>
        <v/>
      </c>
      <c r="AI162" s="69" t="str">
        <f t="shared" si="3"/>
        <v/>
      </c>
    </row>
    <row r="163">
      <c r="A163" s="56" t="str">
        <f t="shared" si="1"/>
        <v/>
      </c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80"/>
      <c r="P163" s="72"/>
      <c r="Q163" s="80"/>
      <c r="R163" s="63" t="str">
        <f t="shared" si="4"/>
        <v/>
      </c>
      <c r="S163" s="85" t="str">
        <f t="shared" si="2"/>
        <v/>
      </c>
      <c r="T163" s="76"/>
      <c r="U163" s="76"/>
      <c r="V163" s="76"/>
      <c r="W163" s="76"/>
      <c r="X163" s="75"/>
      <c r="Y163" s="68"/>
      <c r="Z163" s="68"/>
      <c r="AA163" s="76"/>
      <c r="AB163" s="76"/>
      <c r="AC163" s="69" t="str">
        <f t="shared" si="5"/>
        <v/>
      </c>
      <c r="AD163" s="69" t="str">
        <f t="shared" si="6"/>
        <v/>
      </c>
      <c r="AE163" s="70" t="str">
        <f t="shared" si="7"/>
        <v/>
      </c>
      <c r="AF163" s="71" t="str">
        <f t="shared" si="8"/>
        <v/>
      </c>
      <c r="AG163" s="69" t="str">
        <f t="shared" si="9"/>
        <v/>
      </c>
      <c r="AH163" s="69" t="str">
        <f t="shared" si="10"/>
        <v/>
      </c>
      <c r="AI163" s="69" t="str">
        <f t="shared" si="3"/>
        <v/>
      </c>
    </row>
    <row r="164">
      <c r="A164" s="56" t="str">
        <f t="shared" si="1"/>
        <v/>
      </c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80"/>
      <c r="P164" s="72"/>
      <c r="Q164" s="80"/>
      <c r="R164" s="63" t="str">
        <f t="shared" si="4"/>
        <v/>
      </c>
      <c r="S164" s="85" t="str">
        <f t="shared" si="2"/>
        <v/>
      </c>
      <c r="T164" s="76"/>
      <c r="U164" s="76"/>
      <c r="V164" s="76"/>
      <c r="W164" s="76"/>
      <c r="X164" s="75"/>
      <c r="Y164" s="68"/>
      <c r="Z164" s="68"/>
      <c r="AA164" s="76"/>
      <c r="AB164" s="76"/>
      <c r="AC164" s="69" t="str">
        <f t="shared" si="5"/>
        <v/>
      </c>
      <c r="AD164" s="69" t="str">
        <f t="shared" si="6"/>
        <v/>
      </c>
      <c r="AE164" s="70" t="str">
        <f t="shared" si="7"/>
        <v/>
      </c>
      <c r="AF164" s="71" t="str">
        <f t="shared" si="8"/>
        <v/>
      </c>
      <c r="AG164" s="69" t="str">
        <f t="shared" si="9"/>
        <v/>
      </c>
      <c r="AH164" s="69" t="str">
        <f t="shared" si="10"/>
        <v/>
      </c>
      <c r="AI164" s="69" t="str">
        <f t="shared" si="3"/>
        <v/>
      </c>
    </row>
    <row r="165">
      <c r="A165" s="56" t="str">
        <f t="shared" si="1"/>
        <v/>
      </c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80"/>
      <c r="P165" s="72"/>
      <c r="Q165" s="80"/>
      <c r="R165" s="63" t="str">
        <f t="shared" si="4"/>
        <v/>
      </c>
      <c r="S165" s="85" t="str">
        <f t="shared" si="2"/>
        <v/>
      </c>
      <c r="T165" s="76"/>
      <c r="U165" s="76"/>
      <c r="V165" s="76"/>
      <c r="W165" s="76"/>
      <c r="X165" s="75"/>
      <c r="Y165" s="68"/>
      <c r="Z165" s="68"/>
      <c r="AA165" s="76"/>
      <c r="AB165" s="76"/>
      <c r="AC165" s="69" t="str">
        <f t="shared" si="5"/>
        <v/>
      </c>
      <c r="AD165" s="69" t="str">
        <f t="shared" si="6"/>
        <v/>
      </c>
      <c r="AE165" s="70" t="str">
        <f t="shared" si="7"/>
        <v/>
      </c>
      <c r="AF165" s="71" t="str">
        <f t="shared" si="8"/>
        <v/>
      </c>
      <c r="AG165" s="69" t="str">
        <f t="shared" si="9"/>
        <v/>
      </c>
      <c r="AH165" s="69" t="str">
        <f t="shared" si="10"/>
        <v/>
      </c>
      <c r="AI165" s="69" t="str">
        <f t="shared" si="3"/>
        <v/>
      </c>
    </row>
    <row r="166">
      <c r="A166" s="56" t="str">
        <f t="shared" si="1"/>
        <v/>
      </c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80"/>
      <c r="P166" s="72"/>
      <c r="Q166" s="80"/>
      <c r="R166" s="63" t="str">
        <f t="shared" si="4"/>
        <v/>
      </c>
      <c r="S166" s="85" t="str">
        <f t="shared" si="2"/>
        <v/>
      </c>
      <c r="T166" s="76"/>
      <c r="U166" s="76"/>
      <c r="V166" s="76"/>
      <c r="W166" s="76"/>
      <c r="X166" s="75"/>
      <c r="Y166" s="68"/>
      <c r="Z166" s="68"/>
      <c r="AA166" s="76"/>
      <c r="AB166" s="76"/>
      <c r="AC166" s="69" t="str">
        <f t="shared" si="5"/>
        <v/>
      </c>
      <c r="AD166" s="69" t="str">
        <f t="shared" si="6"/>
        <v/>
      </c>
      <c r="AE166" s="70" t="str">
        <f t="shared" si="7"/>
        <v/>
      </c>
      <c r="AF166" s="71" t="str">
        <f t="shared" si="8"/>
        <v/>
      </c>
      <c r="AG166" s="69" t="str">
        <f t="shared" si="9"/>
        <v/>
      </c>
      <c r="AH166" s="69" t="str">
        <f t="shared" si="10"/>
        <v/>
      </c>
      <c r="AI166" s="69" t="str">
        <f t="shared" si="3"/>
        <v/>
      </c>
    </row>
    <row r="167">
      <c r="A167" s="56" t="str">
        <f t="shared" si="1"/>
        <v/>
      </c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80"/>
      <c r="P167" s="72"/>
      <c r="Q167" s="80"/>
      <c r="R167" s="63" t="str">
        <f t="shared" si="4"/>
        <v/>
      </c>
      <c r="S167" s="85" t="str">
        <f t="shared" si="2"/>
        <v/>
      </c>
      <c r="T167" s="76"/>
      <c r="U167" s="76"/>
      <c r="V167" s="76"/>
      <c r="W167" s="76"/>
      <c r="X167" s="75"/>
      <c r="Y167" s="68"/>
      <c r="Z167" s="68"/>
      <c r="AA167" s="76"/>
      <c r="AB167" s="76"/>
      <c r="AC167" s="69" t="str">
        <f t="shared" si="5"/>
        <v/>
      </c>
      <c r="AD167" s="69" t="str">
        <f t="shared" si="6"/>
        <v/>
      </c>
      <c r="AE167" s="70" t="str">
        <f t="shared" si="7"/>
        <v/>
      </c>
      <c r="AF167" s="71" t="str">
        <f t="shared" si="8"/>
        <v/>
      </c>
      <c r="AG167" s="69" t="str">
        <f t="shared" si="9"/>
        <v/>
      </c>
      <c r="AH167" s="69" t="str">
        <f t="shared" si="10"/>
        <v/>
      </c>
      <c r="AI167" s="69" t="str">
        <f t="shared" si="3"/>
        <v/>
      </c>
    </row>
    <row r="168">
      <c r="A168" s="56" t="str">
        <f t="shared" si="1"/>
        <v/>
      </c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80"/>
      <c r="P168" s="72"/>
      <c r="Q168" s="80"/>
      <c r="R168" s="63" t="str">
        <f t="shared" si="4"/>
        <v/>
      </c>
      <c r="S168" s="85" t="str">
        <f t="shared" si="2"/>
        <v/>
      </c>
      <c r="T168" s="76"/>
      <c r="U168" s="76"/>
      <c r="V168" s="76"/>
      <c r="W168" s="76"/>
      <c r="X168" s="75"/>
      <c r="Y168" s="68"/>
      <c r="Z168" s="68"/>
      <c r="AA168" s="76"/>
      <c r="AB168" s="76"/>
      <c r="AC168" s="69" t="str">
        <f t="shared" si="5"/>
        <v/>
      </c>
      <c r="AD168" s="69" t="str">
        <f t="shared" si="6"/>
        <v/>
      </c>
      <c r="AE168" s="70" t="str">
        <f t="shared" si="7"/>
        <v/>
      </c>
      <c r="AF168" s="71" t="str">
        <f t="shared" si="8"/>
        <v/>
      </c>
      <c r="AG168" s="69" t="str">
        <f t="shared" si="9"/>
        <v/>
      </c>
      <c r="AH168" s="69" t="str">
        <f t="shared" si="10"/>
        <v/>
      </c>
      <c r="AI168" s="69" t="str">
        <f t="shared" si="3"/>
        <v/>
      </c>
    </row>
    <row r="169">
      <c r="A169" s="56" t="str">
        <f t="shared" si="1"/>
        <v/>
      </c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80"/>
      <c r="P169" s="72"/>
      <c r="Q169" s="80"/>
      <c r="R169" s="63" t="str">
        <f t="shared" si="4"/>
        <v/>
      </c>
      <c r="S169" s="85" t="str">
        <f t="shared" si="2"/>
        <v/>
      </c>
      <c r="T169" s="76"/>
      <c r="U169" s="76"/>
      <c r="V169" s="76"/>
      <c r="W169" s="76"/>
      <c r="X169" s="75"/>
      <c r="Y169" s="68"/>
      <c r="Z169" s="68"/>
      <c r="AA169" s="76"/>
      <c r="AB169" s="76"/>
      <c r="AC169" s="69" t="str">
        <f t="shared" si="5"/>
        <v/>
      </c>
      <c r="AD169" s="69" t="str">
        <f t="shared" si="6"/>
        <v/>
      </c>
      <c r="AE169" s="70" t="str">
        <f t="shared" si="7"/>
        <v/>
      </c>
      <c r="AF169" s="71" t="str">
        <f t="shared" si="8"/>
        <v/>
      </c>
      <c r="AG169" s="69" t="str">
        <f t="shared" si="9"/>
        <v/>
      </c>
      <c r="AH169" s="69" t="str">
        <f t="shared" si="10"/>
        <v/>
      </c>
      <c r="AI169" s="69" t="str">
        <f t="shared" si="3"/>
        <v/>
      </c>
    </row>
    <row r="170">
      <c r="A170" s="56" t="str">
        <f t="shared" si="1"/>
        <v/>
      </c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80"/>
      <c r="P170" s="72"/>
      <c r="Q170" s="80"/>
      <c r="R170" s="63" t="str">
        <f t="shared" si="4"/>
        <v/>
      </c>
      <c r="S170" s="85" t="str">
        <f t="shared" si="2"/>
        <v/>
      </c>
      <c r="T170" s="76"/>
      <c r="U170" s="76"/>
      <c r="V170" s="76"/>
      <c r="W170" s="76"/>
      <c r="X170" s="75"/>
      <c r="Y170" s="68"/>
      <c r="Z170" s="68"/>
      <c r="AA170" s="76"/>
      <c r="AB170" s="76"/>
      <c r="AC170" s="69" t="str">
        <f t="shared" si="5"/>
        <v/>
      </c>
      <c r="AD170" s="69" t="str">
        <f t="shared" si="6"/>
        <v/>
      </c>
      <c r="AE170" s="70" t="str">
        <f t="shared" si="7"/>
        <v/>
      </c>
      <c r="AF170" s="71" t="str">
        <f t="shared" si="8"/>
        <v/>
      </c>
      <c r="AG170" s="69" t="str">
        <f t="shared" si="9"/>
        <v/>
      </c>
      <c r="AH170" s="69" t="str">
        <f t="shared" si="10"/>
        <v/>
      </c>
      <c r="AI170" s="69" t="str">
        <f t="shared" si="3"/>
        <v/>
      </c>
    </row>
    <row r="171">
      <c r="A171" s="56" t="str">
        <f t="shared" si="1"/>
        <v/>
      </c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80"/>
      <c r="P171" s="72"/>
      <c r="Q171" s="80"/>
      <c r="R171" s="63" t="str">
        <f t="shared" si="4"/>
        <v/>
      </c>
      <c r="S171" s="85" t="str">
        <f t="shared" si="2"/>
        <v/>
      </c>
      <c r="T171" s="76"/>
      <c r="U171" s="76"/>
      <c r="V171" s="76"/>
      <c r="W171" s="76"/>
      <c r="X171" s="75"/>
      <c r="Y171" s="68"/>
      <c r="Z171" s="68"/>
      <c r="AA171" s="76"/>
      <c r="AB171" s="76"/>
      <c r="AC171" s="69" t="str">
        <f t="shared" si="5"/>
        <v/>
      </c>
      <c r="AD171" s="69" t="str">
        <f t="shared" si="6"/>
        <v/>
      </c>
      <c r="AE171" s="70" t="str">
        <f t="shared" si="7"/>
        <v/>
      </c>
      <c r="AF171" s="71" t="str">
        <f t="shared" si="8"/>
        <v/>
      </c>
      <c r="AG171" s="69" t="str">
        <f t="shared" si="9"/>
        <v/>
      </c>
      <c r="AH171" s="69" t="str">
        <f t="shared" si="10"/>
        <v/>
      </c>
      <c r="AI171" s="69" t="str">
        <f t="shared" si="3"/>
        <v/>
      </c>
    </row>
    <row r="172">
      <c r="A172" s="56" t="str">
        <f t="shared" si="1"/>
        <v/>
      </c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80"/>
      <c r="P172" s="72"/>
      <c r="Q172" s="80"/>
      <c r="R172" s="63" t="str">
        <f t="shared" si="4"/>
        <v/>
      </c>
      <c r="S172" s="85" t="str">
        <f t="shared" si="2"/>
        <v/>
      </c>
      <c r="T172" s="76"/>
      <c r="U172" s="76"/>
      <c r="V172" s="76"/>
      <c r="W172" s="76"/>
      <c r="X172" s="75"/>
      <c r="Y172" s="68"/>
      <c r="Z172" s="68"/>
      <c r="AA172" s="76"/>
      <c r="AB172" s="76"/>
      <c r="AC172" s="69" t="str">
        <f t="shared" si="5"/>
        <v/>
      </c>
      <c r="AD172" s="69" t="str">
        <f t="shared" si="6"/>
        <v/>
      </c>
      <c r="AE172" s="70" t="str">
        <f t="shared" si="7"/>
        <v/>
      </c>
      <c r="AF172" s="71" t="str">
        <f t="shared" si="8"/>
        <v/>
      </c>
      <c r="AG172" s="69" t="str">
        <f t="shared" si="9"/>
        <v/>
      </c>
      <c r="AH172" s="69" t="str">
        <f t="shared" si="10"/>
        <v/>
      </c>
      <c r="AI172" s="69" t="str">
        <f t="shared" si="3"/>
        <v/>
      </c>
    </row>
    <row r="173">
      <c r="A173" s="56" t="str">
        <f t="shared" si="1"/>
        <v/>
      </c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80"/>
      <c r="P173" s="72"/>
      <c r="Q173" s="80"/>
      <c r="R173" s="63" t="str">
        <f t="shared" si="4"/>
        <v/>
      </c>
      <c r="S173" s="85" t="str">
        <f t="shared" si="2"/>
        <v/>
      </c>
      <c r="T173" s="76"/>
      <c r="U173" s="76"/>
      <c r="V173" s="76"/>
      <c r="W173" s="76"/>
      <c r="X173" s="75"/>
      <c r="Y173" s="68"/>
      <c r="Z173" s="68"/>
      <c r="AA173" s="76"/>
      <c r="AB173" s="76"/>
      <c r="AC173" s="69" t="str">
        <f t="shared" si="5"/>
        <v/>
      </c>
      <c r="AD173" s="69" t="str">
        <f t="shared" si="6"/>
        <v/>
      </c>
      <c r="AE173" s="70" t="str">
        <f t="shared" si="7"/>
        <v/>
      </c>
      <c r="AF173" s="71" t="str">
        <f t="shared" si="8"/>
        <v/>
      </c>
      <c r="AG173" s="69" t="str">
        <f t="shared" si="9"/>
        <v/>
      </c>
      <c r="AH173" s="69" t="str">
        <f t="shared" si="10"/>
        <v/>
      </c>
      <c r="AI173" s="69" t="str">
        <f t="shared" si="3"/>
        <v/>
      </c>
    </row>
    <row r="174">
      <c r="A174" s="56" t="str">
        <f t="shared" si="1"/>
        <v/>
      </c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80"/>
      <c r="P174" s="72"/>
      <c r="Q174" s="80"/>
      <c r="R174" s="63" t="str">
        <f t="shared" si="4"/>
        <v/>
      </c>
      <c r="S174" s="85" t="str">
        <f t="shared" si="2"/>
        <v/>
      </c>
      <c r="T174" s="76"/>
      <c r="U174" s="76"/>
      <c r="V174" s="76"/>
      <c r="W174" s="76"/>
      <c r="X174" s="75"/>
      <c r="Y174" s="68"/>
      <c r="Z174" s="68"/>
      <c r="AA174" s="76"/>
      <c r="AB174" s="76"/>
      <c r="AC174" s="69" t="str">
        <f t="shared" si="5"/>
        <v/>
      </c>
      <c r="AD174" s="69" t="str">
        <f t="shared" si="6"/>
        <v/>
      </c>
      <c r="AE174" s="70" t="str">
        <f t="shared" si="7"/>
        <v/>
      </c>
      <c r="AF174" s="71" t="str">
        <f t="shared" si="8"/>
        <v/>
      </c>
      <c r="AG174" s="69" t="str">
        <f t="shared" si="9"/>
        <v/>
      </c>
      <c r="AH174" s="69" t="str">
        <f t="shared" si="10"/>
        <v/>
      </c>
      <c r="AI174" s="69" t="str">
        <f t="shared" si="3"/>
        <v/>
      </c>
    </row>
    <row r="175">
      <c r="A175" s="56" t="str">
        <f t="shared" si="1"/>
        <v/>
      </c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80"/>
      <c r="P175" s="72"/>
      <c r="Q175" s="80"/>
      <c r="R175" s="63" t="str">
        <f t="shared" si="4"/>
        <v/>
      </c>
      <c r="S175" s="85" t="str">
        <f t="shared" si="2"/>
        <v/>
      </c>
      <c r="T175" s="76"/>
      <c r="U175" s="76"/>
      <c r="V175" s="76"/>
      <c r="W175" s="76"/>
      <c r="X175" s="75"/>
      <c r="Y175" s="68"/>
      <c r="Z175" s="68"/>
      <c r="AA175" s="76"/>
      <c r="AB175" s="76"/>
      <c r="AC175" s="69" t="str">
        <f t="shared" si="5"/>
        <v/>
      </c>
      <c r="AD175" s="69" t="str">
        <f t="shared" si="6"/>
        <v/>
      </c>
      <c r="AE175" s="70" t="str">
        <f t="shared" si="7"/>
        <v/>
      </c>
      <c r="AF175" s="71" t="str">
        <f t="shared" si="8"/>
        <v/>
      </c>
      <c r="AG175" s="69" t="str">
        <f t="shared" si="9"/>
        <v/>
      </c>
      <c r="AH175" s="69" t="str">
        <f t="shared" si="10"/>
        <v/>
      </c>
      <c r="AI175" s="69" t="str">
        <f t="shared" si="3"/>
        <v/>
      </c>
    </row>
    <row r="176">
      <c r="A176" s="56" t="str">
        <f t="shared" si="1"/>
        <v/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80"/>
      <c r="P176" s="72"/>
      <c r="Q176" s="80"/>
      <c r="R176" s="63" t="str">
        <f t="shared" si="4"/>
        <v/>
      </c>
      <c r="S176" s="85" t="str">
        <f t="shared" si="2"/>
        <v/>
      </c>
      <c r="T176" s="76"/>
      <c r="U176" s="76"/>
      <c r="V176" s="76"/>
      <c r="W176" s="76"/>
      <c r="X176" s="75"/>
      <c r="Y176" s="68"/>
      <c r="Z176" s="68"/>
      <c r="AA176" s="76"/>
      <c r="AB176" s="76"/>
      <c r="AC176" s="69" t="str">
        <f t="shared" si="5"/>
        <v/>
      </c>
      <c r="AD176" s="69" t="str">
        <f t="shared" si="6"/>
        <v/>
      </c>
      <c r="AE176" s="70" t="str">
        <f t="shared" si="7"/>
        <v/>
      </c>
      <c r="AF176" s="71" t="str">
        <f t="shared" si="8"/>
        <v/>
      </c>
      <c r="AG176" s="69" t="str">
        <f t="shared" si="9"/>
        <v/>
      </c>
      <c r="AH176" s="69" t="str">
        <f t="shared" si="10"/>
        <v/>
      </c>
      <c r="AI176" s="69" t="str">
        <f t="shared" si="3"/>
        <v/>
      </c>
    </row>
    <row r="177">
      <c r="A177" s="56" t="str">
        <f t="shared" si="1"/>
        <v/>
      </c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80"/>
      <c r="P177" s="72"/>
      <c r="Q177" s="80"/>
      <c r="R177" s="63" t="str">
        <f t="shared" si="4"/>
        <v/>
      </c>
      <c r="S177" s="85" t="str">
        <f t="shared" si="2"/>
        <v/>
      </c>
      <c r="T177" s="76"/>
      <c r="U177" s="76"/>
      <c r="V177" s="76"/>
      <c r="W177" s="76"/>
      <c r="X177" s="75"/>
      <c r="Y177" s="68"/>
      <c r="Z177" s="68"/>
      <c r="AA177" s="76"/>
      <c r="AB177" s="76"/>
      <c r="AC177" s="69" t="str">
        <f t="shared" si="5"/>
        <v/>
      </c>
      <c r="AD177" s="69" t="str">
        <f t="shared" si="6"/>
        <v/>
      </c>
      <c r="AE177" s="70" t="str">
        <f t="shared" si="7"/>
        <v/>
      </c>
      <c r="AF177" s="71" t="str">
        <f t="shared" si="8"/>
        <v/>
      </c>
      <c r="AG177" s="69" t="str">
        <f t="shared" si="9"/>
        <v/>
      </c>
      <c r="AH177" s="69" t="str">
        <f t="shared" si="10"/>
        <v/>
      </c>
      <c r="AI177" s="69" t="str">
        <f t="shared" si="3"/>
        <v/>
      </c>
    </row>
    <row r="178">
      <c r="A178" s="56" t="str">
        <f t="shared" si="1"/>
        <v/>
      </c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80"/>
      <c r="P178" s="72"/>
      <c r="Q178" s="80"/>
      <c r="R178" s="63" t="str">
        <f t="shared" si="4"/>
        <v/>
      </c>
      <c r="S178" s="85" t="str">
        <f t="shared" si="2"/>
        <v/>
      </c>
      <c r="T178" s="76"/>
      <c r="U178" s="76"/>
      <c r="V178" s="76"/>
      <c r="W178" s="76"/>
      <c r="X178" s="75"/>
      <c r="Y178" s="68"/>
      <c r="Z178" s="68"/>
      <c r="AA178" s="76"/>
      <c r="AB178" s="76"/>
      <c r="AC178" s="69" t="str">
        <f t="shared" si="5"/>
        <v/>
      </c>
      <c r="AD178" s="69" t="str">
        <f t="shared" si="6"/>
        <v/>
      </c>
      <c r="AE178" s="70" t="str">
        <f t="shared" si="7"/>
        <v/>
      </c>
      <c r="AF178" s="71" t="str">
        <f t="shared" si="8"/>
        <v/>
      </c>
      <c r="AG178" s="69" t="str">
        <f t="shared" si="9"/>
        <v/>
      </c>
      <c r="AH178" s="69" t="str">
        <f t="shared" si="10"/>
        <v/>
      </c>
      <c r="AI178" s="69" t="str">
        <f t="shared" si="3"/>
        <v/>
      </c>
    </row>
    <row r="179">
      <c r="A179" s="56" t="str">
        <f t="shared" si="1"/>
        <v/>
      </c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80"/>
      <c r="P179" s="72"/>
      <c r="Q179" s="80"/>
      <c r="R179" s="63" t="str">
        <f t="shared" si="4"/>
        <v/>
      </c>
      <c r="S179" s="85" t="str">
        <f t="shared" si="2"/>
        <v/>
      </c>
      <c r="T179" s="76"/>
      <c r="U179" s="76"/>
      <c r="V179" s="76"/>
      <c r="W179" s="76"/>
      <c r="X179" s="75"/>
      <c r="Y179" s="68"/>
      <c r="Z179" s="68"/>
      <c r="AA179" s="76"/>
      <c r="AB179" s="76"/>
      <c r="AC179" s="69" t="str">
        <f t="shared" si="5"/>
        <v/>
      </c>
      <c r="AD179" s="69" t="str">
        <f t="shared" si="6"/>
        <v/>
      </c>
      <c r="AE179" s="70" t="str">
        <f t="shared" si="7"/>
        <v/>
      </c>
      <c r="AF179" s="71" t="str">
        <f t="shared" si="8"/>
        <v/>
      </c>
      <c r="AG179" s="69" t="str">
        <f t="shared" si="9"/>
        <v/>
      </c>
      <c r="AH179" s="69" t="str">
        <f t="shared" si="10"/>
        <v/>
      </c>
      <c r="AI179" s="69" t="str">
        <f t="shared" si="3"/>
        <v/>
      </c>
    </row>
    <row r="180">
      <c r="A180" s="56" t="str">
        <f t="shared" si="1"/>
        <v/>
      </c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80"/>
      <c r="P180" s="72"/>
      <c r="Q180" s="80"/>
      <c r="R180" s="63" t="str">
        <f t="shared" si="4"/>
        <v/>
      </c>
      <c r="S180" s="85" t="str">
        <f t="shared" si="2"/>
        <v/>
      </c>
      <c r="T180" s="76"/>
      <c r="U180" s="76"/>
      <c r="V180" s="76"/>
      <c r="W180" s="76"/>
      <c r="X180" s="75"/>
      <c r="Y180" s="68"/>
      <c r="Z180" s="68"/>
      <c r="AA180" s="76"/>
      <c r="AB180" s="76"/>
      <c r="AC180" s="69" t="str">
        <f t="shared" si="5"/>
        <v/>
      </c>
      <c r="AD180" s="69" t="str">
        <f t="shared" si="6"/>
        <v/>
      </c>
      <c r="AE180" s="70" t="str">
        <f t="shared" si="7"/>
        <v/>
      </c>
      <c r="AF180" s="71" t="str">
        <f t="shared" si="8"/>
        <v/>
      </c>
      <c r="AG180" s="69" t="str">
        <f t="shared" si="9"/>
        <v/>
      </c>
      <c r="AH180" s="69" t="str">
        <f t="shared" si="10"/>
        <v/>
      </c>
      <c r="AI180" s="69" t="str">
        <f t="shared" si="3"/>
        <v/>
      </c>
    </row>
    <row r="181">
      <c r="A181" s="56" t="str">
        <f t="shared" si="1"/>
        <v/>
      </c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80"/>
      <c r="P181" s="72"/>
      <c r="Q181" s="80"/>
      <c r="R181" s="63" t="str">
        <f t="shared" si="4"/>
        <v/>
      </c>
      <c r="S181" s="85" t="str">
        <f t="shared" si="2"/>
        <v/>
      </c>
      <c r="T181" s="76"/>
      <c r="U181" s="76"/>
      <c r="V181" s="76"/>
      <c r="W181" s="76"/>
      <c r="X181" s="75"/>
      <c r="Y181" s="68"/>
      <c r="Z181" s="68"/>
      <c r="AA181" s="76"/>
      <c r="AB181" s="76"/>
      <c r="AC181" s="69" t="str">
        <f t="shared" si="5"/>
        <v/>
      </c>
      <c r="AD181" s="69" t="str">
        <f t="shared" si="6"/>
        <v/>
      </c>
      <c r="AE181" s="70" t="str">
        <f t="shared" si="7"/>
        <v/>
      </c>
      <c r="AF181" s="71" t="str">
        <f t="shared" si="8"/>
        <v/>
      </c>
      <c r="AG181" s="69" t="str">
        <f t="shared" si="9"/>
        <v/>
      </c>
      <c r="AH181" s="69" t="str">
        <f t="shared" si="10"/>
        <v/>
      </c>
      <c r="AI181" s="69" t="str">
        <f t="shared" si="3"/>
        <v/>
      </c>
    </row>
    <row r="182">
      <c r="A182" s="56" t="str">
        <f t="shared" si="1"/>
        <v/>
      </c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80"/>
      <c r="P182" s="72"/>
      <c r="Q182" s="80"/>
      <c r="R182" s="63" t="str">
        <f t="shared" si="4"/>
        <v/>
      </c>
      <c r="S182" s="85" t="str">
        <f t="shared" si="2"/>
        <v/>
      </c>
      <c r="T182" s="76"/>
      <c r="U182" s="76"/>
      <c r="V182" s="76"/>
      <c r="W182" s="76"/>
      <c r="X182" s="75"/>
      <c r="Y182" s="68"/>
      <c r="Z182" s="68"/>
      <c r="AA182" s="76"/>
      <c r="AB182" s="76"/>
      <c r="AC182" s="69" t="str">
        <f t="shared" si="5"/>
        <v/>
      </c>
      <c r="AD182" s="69" t="str">
        <f t="shared" si="6"/>
        <v/>
      </c>
      <c r="AE182" s="70" t="str">
        <f t="shared" si="7"/>
        <v/>
      </c>
      <c r="AF182" s="71" t="str">
        <f t="shared" si="8"/>
        <v/>
      </c>
      <c r="AG182" s="69" t="str">
        <f t="shared" si="9"/>
        <v/>
      </c>
      <c r="AH182" s="69" t="str">
        <f t="shared" si="10"/>
        <v/>
      </c>
      <c r="AI182" s="69" t="str">
        <f t="shared" si="3"/>
        <v/>
      </c>
    </row>
    <row r="183">
      <c r="A183" s="56" t="str">
        <f t="shared" si="1"/>
        <v/>
      </c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80"/>
      <c r="P183" s="72"/>
      <c r="Q183" s="80"/>
      <c r="R183" s="63" t="str">
        <f t="shared" si="4"/>
        <v/>
      </c>
      <c r="S183" s="85" t="str">
        <f t="shared" si="2"/>
        <v/>
      </c>
      <c r="T183" s="76"/>
      <c r="U183" s="76"/>
      <c r="V183" s="76"/>
      <c r="W183" s="76"/>
      <c r="X183" s="75"/>
      <c r="Y183" s="68"/>
      <c r="Z183" s="68"/>
      <c r="AA183" s="76"/>
      <c r="AB183" s="76"/>
      <c r="AC183" s="69" t="str">
        <f t="shared" si="5"/>
        <v/>
      </c>
      <c r="AD183" s="69" t="str">
        <f t="shared" si="6"/>
        <v/>
      </c>
      <c r="AE183" s="70" t="str">
        <f t="shared" si="7"/>
        <v/>
      </c>
      <c r="AF183" s="71" t="str">
        <f t="shared" si="8"/>
        <v/>
      </c>
      <c r="AG183" s="69" t="str">
        <f t="shared" si="9"/>
        <v/>
      </c>
      <c r="AH183" s="69" t="str">
        <f t="shared" si="10"/>
        <v/>
      </c>
      <c r="AI183" s="69" t="str">
        <f t="shared" si="3"/>
        <v/>
      </c>
    </row>
    <row r="184">
      <c r="A184" s="56" t="str">
        <f t="shared" si="1"/>
        <v/>
      </c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80"/>
      <c r="P184" s="72"/>
      <c r="Q184" s="80"/>
      <c r="R184" s="63" t="str">
        <f t="shared" si="4"/>
        <v/>
      </c>
      <c r="S184" s="85" t="str">
        <f t="shared" si="2"/>
        <v/>
      </c>
      <c r="T184" s="76"/>
      <c r="U184" s="76"/>
      <c r="V184" s="76"/>
      <c r="W184" s="76"/>
      <c r="X184" s="75"/>
      <c r="Y184" s="68"/>
      <c r="Z184" s="68"/>
      <c r="AA184" s="76"/>
      <c r="AB184" s="76"/>
      <c r="AC184" s="69" t="str">
        <f t="shared" si="5"/>
        <v/>
      </c>
      <c r="AD184" s="69" t="str">
        <f t="shared" si="6"/>
        <v/>
      </c>
      <c r="AE184" s="70" t="str">
        <f t="shared" si="7"/>
        <v/>
      </c>
      <c r="AF184" s="71" t="str">
        <f t="shared" si="8"/>
        <v/>
      </c>
      <c r="AG184" s="69" t="str">
        <f t="shared" si="9"/>
        <v/>
      </c>
      <c r="AH184" s="69" t="str">
        <f t="shared" si="10"/>
        <v/>
      </c>
      <c r="AI184" s="69" t="str">
        <f t="shared" si="3"/>
        <v/>
      </c>
    </row>
    <row r="185">
      <c r="A185" s="56" t="str">
        <f t="shared" si="1"/>
        <v/>
      </c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80"/>
      <c r="P185" s="72"/>
      <c r="Q185" s="80"/>
      <c r="R185" s="63" t="str">
        <f t="shared" si="4"/>
        <v/>
      </c>
      <c r="S185" s="85" t="str">
        <f t="shared" si="2"/>
        <v/>
      </c>
      <c r="T185" s="76"/>
      <c r="U185" s="76"/>
      <c r="V185" s="76"/>
      <c r="W185" s="76"/>
      <c r="X185" s="75"/>
      <c r="Y185" s="68"/>
      <c r="Z185" s="68"/>
      <c r="AA185" s="76"/>
      <c r="AB185" s="76"/>
      <c r="AC185" s="69" t="str">
        <f t="shared" si="5"/>
        <v/>
      </c>
      <c r="AD185" s="69" t="str">
        <f t="shared" si="6"/>
        <v/>
      </c>
      <c r="AE185" s="70" t="str">
        <f t="shared" si="7"/>
        <v/>
      </c>
      <c r="AF185" s="71" t="str">
        <f t="shared" si="8"/>
        <v/>
      </c>
      <c r="AG185" s="69" t="str">
        <f t="shared" si="9"/>
        <v/>
      </c>
      <c r="AH185" s="69" t="str">
        <f t="shared" si="10"/>
        <v/>
      </c>
      <c r="AI185" s="69" t="str">
        <f t="shared" si="3"/>
        <v/>
      </c>
    </row>
    <row r="186">
      <c r="A186" s="56" t="str">
        <f t="shared" si="1"/>
        <v/>
      </c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80"/>
      <c r="P186" s="72"/>
      <c r="Q186" s="80"/>
      <c r="R186" s="63" t="str">
        <f t="shared" si="4"/>
        <v/>
      </c>
      <c r="S186" s="85" t="str">
        <f t="shared" si="2"/>
        <v/>
      </c>
      <c r="T186" s="76"/>
      <c r="U186" s="76"/>
      <c r="V186" s="76"/>
      <c r="W186" s="76"/>
      <c r="X186" s="75"/>
      <c r="Y186" s="68"/>
      <c r="Z186" s="68"/>
      <c r="AA186" s="76"/>
      <c r="AB186" s="76"/>
      <c r="AC186" s="69" t="str">
        <f t="shared" si="5"/>
        <v/>
      </c>
      <c r="AD186" s="69" t="str">
        <f t="shared" si="6"/>
        <v/>
      </c>
      <c r="AE186" s="70" t="str">
        <f t="shared" si="7"/>
        <v/>
      </c>
      <c r="AF186" s="71" t="str">
        <f t="shared" si="8"/>
        <v/>
      </c>
      <c r="AG186" s="69" t="str">
        <f t="shared" si="9"/>
        <v/>
      </c>
      <c r="AH186" s="69" t="str">
        <f t="shared" si="10"/>
        <v/>
      </c>
      <c r="AI186" s="69" t="str">
        <f t="shared" si="3"/>
        <v/>
      </c>
    </row>
    <row r="187">
      <c r="A187" s="56" t="str">
        <f t="shared" si="1"/>
        <v/>
      </c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80"/>
      <c r="P187" s="72"/>
      <c r="Q187" s="80"/>
      <c r="R187" s="63" t="str">
        <f t="shared" si="4"/>
        <v/>
      </c>
      <c r="S187" s="85" t="str">
        <f t="shared" si="2"/>
        <v/>
      </c>
      <c r="T187" s="76"/>
      <c r="U187" s="76"/>
      <c r="V187" s="76"/>
      <c r="W187" s="76"/>
      <c r="X187" s="75"/>
      <c r="Y187" s="68"/>
      <c r="Z187" s="68"/>
      <c r="AA187" s="76"/>
      <c r="AB187" s="76"/>
      <c r="AC187" s="69" t="str">
        <f t="shared" si="5"/>
        <v/>
      </c>
      <c r="AD187" s="69" t="str">
        <f t="shared" si="6"/>
        <v/>
      </c>
      <c r="AE187" s="70" t="str">
        <f t="shared" si="7"/>
        <v/>
      </c>
      <c r="AF187" s="71" t="str">
        <f t="shared" si="8"/>
        <v/>
      </c>
      <c r="AG187" s="69" t="str">
        <f t="shared" si="9"/>
        <v/>
      </c>
      <c r="AH187" s="69" t="str">
        <f t="shared" si="10"/>
        <v/>
      </c>
      <c r="AI187" s="69" t="str">
        <f t="shared" si="3"/>
        <v/>
      </c>
    </row>
    <row r="188">
      <c r="A188" s="56" t="str">
        <f t="shared" si="1"/>
        <v/>
      </c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80"/>
      <c r="P188" s="72"/>
      <c r="Q188" s="80"/>
      <c r="R188" s="63" t="str">
        <f t="shared" si="4"/>
        <v/>
      </c>
      <c r="S188" s="85" t="str">
        <f t="shared" si="2"/>
        <v/>
      </c>
      <c r="T188" s="76"/>
      <c r="U188" s="76"/>
      <c r="V188" s="76"/>
      <c r="W188" s="76"/>
      <c r="X188" s="75"/>
      <c r="Y188" s="68"/>
      <c r="Z188" s="68"/>
      <c r="AA188" s="76"/>
      <c r="AB188" s="76"/>
      <c r="AC188" s="69" t="str">
        <f t="shared" si="5"/>
        <v/>
      </c>
      <c r="AD188" s="69" t="str">
        <f t="shared" si="6"/>
        <v/>
      </c>
      <c r="AE188" s="70" t="str">
        <f t="shared" si="7"/>
        <v/>
      </c>
      <c r="AF188" s="71" t="str">
        <f t="shared" si="8"/>
        <v/>
      </c>
      <c r="AG188" s="69" t="str">
        <f t="shared" si="9"/>
        <v/>
      </c>
      <c r="AH188" s="69" t="str">
        <f t="shared" si="10"/>
        <v/>
      </c>
      <c r="AI188" s="69" t="str">
        <f t="shared" si="3"/>
        <v/>
      </c>
    </row>
    <row r="189">
      <c r="A189" s="56" t="str">
        <f t="shared" si="1"/>
        <v/>
      </c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80"/>
      <c r="P189" s="72"/>
      <c r="Q189" s="80"/>
      <c r="R189" s="63" t="str">
        <f t="shared" si="4"/>
        <v/>
      </c>
      <c r="S189" s="85" t="str">
        <f t="shared" si="2"/>
        <v/>
      </c>
      <c r="T189" s="76"/>
      <c r="U189" s="76"/>
      <c r="V189" s="76"/>
      <c r="W189" s="76"/>
      <c r="X189" s="75"/>
      <c r="Y189" s="68"/>
      <c r="Z189" s="68"/>
      <c r="AA189" s="76"/>
      <c r="AB189" s="76"/>
      <c r="AC189" s="69" t="str">
        <f t="shared" si="5"/>
        <v/>
      </c>
      <c r="AD189" s="69" t="str">
        <f t="shared" si="6"/>
        <v/>
      </c>
      <c r="AE189" s="70" t="str">
        <f t="shared" si="7"/>
        <v/>
      </c>
      <c r="AF189" s="71" t="str">
        <f t="shared" si="8"/>
        <v/>
      </c>
      <c r="AG189" s="69" t="str">
        <f t="shared" si="9"/>
        <v/>
      </c>
      <c r="AH189" s="69" t="str">
        <f t="shared" si="10"/>
        <v/>
      </c>
      <c r="AI189" s="69" t="str">
        <f t="shared" si="3"/>
        <v/>
      </c>
    </row>
    <row r="190">
      <c r="A190" s="56" t="str">
        <f t="shared" si="1"/>
        <v/>
      </c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80"/>
      <c r="P190" s="72"/>
      <c r="Q190" s="80"/>
      <c r="R190" s="63" t="str">
        <f t="shared" si="4"/>
        <v/>
      </c>
      <c r="S190" s="85" t="str">
        <f t="shared" si="2"/>
        <v/>
      </c>
      <c r="T190" s="76"/>
      <c r="U190" s="76"/>
      <c r="V190" s="76"/>
      <c r="W190" s="76"/>
      <c r="X190" s="75"/>
      <c r="Y190" s="68"/>
      <c r="Z190" s="68"/>
      <c r="AA190" s="76"/>
      <c r="AB190" s="76"/>
      <c r="AC190" s="69" t="str">
        <f t="shared" si="5"/>
        <v/>
      </c>
      <c r="AD190" s="69" t="str">
        <f t="shared" si="6"/>
        <v/>
      </c>
      <c r="AE190" s="70" t="str">
        <f t="shared" si="7"/>
        <v/>
      </c>
      <c r="AF190" s="71" t="str">
        <f t="shared" si="8"/>
        <v/>
      </c>
      <c r="AG190" s="69" t="str">
        <f t="shared" si="9"/>
        <v/>
      </c>
      <c r="AH190" s="69" t="str">
        <f t="shared" si="10"/>
        <v/>
      </c>
      <c r="AI190" s="69" t="str">
        <f t="shared" si="3"/>
        <v/>
      </c>
    </row>
    <row r="191">
      <c r="A191" s="56" t="str">
        <f t="shared" si="1"/>
        <v/>
      </c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80"/>
      <c r="P191" s="72"/>
      <c r="Q191" s="80"/>
      <c r="R191" s="63" t="str">
        <f t="shared" si="4"/>
        <v/>
      </c>
      <c r="S191" s="85" t="str">
        <f t="shared" si="2"/>
        <v/>
      </c>
      <c r="T191" s="76"/>
      <c r="U191" s="76"/>
      <c r="V191" s="76"/>
      <c r="W191" s="76"/>
      <c r="X191" s="75"/>
      <c r="Y191" s="68"/>
      <c r="Z191" s="68"/>
      <c r="AA191" s="76"/>
      <c r="AB191" s="76"/>
      <c r="AC191" s="69" t="str">
        <f t="shared" si="5"/>
        <v/>
      </c>
      <c r="AD191" s="69" t="str">
        <f t="shared" si="6"/>
        <v/>
      </c>
      <c r="AE191" s="70" t="str">
        <f t="shared" si="7"/>
        <v/>
      </c>
      <c r="AF191" s="71" t="str">
        <f t="shared" si="8"/>
        <v/>
      </c>
      <c r="AG191" s="69" t="str">
        <f t="shared" si="9"/>
        <v/>
      </c>
      <c r="AH191" s="69" t="str">
        <f t="shared" si="10"/>
        <v/>
      </c>
      <c r="AI191" s="69" t="str">
        <f t="shared" si="3"/>
        <v/>
      </c>
    </row>
    <row r="192">
      <c r="A192" s="56" t="str">
        <f t="shared" si="1"/>
        <v/>
      </c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80"/>
      <c r="P192" s="72"/>
      <c r="Q192" s="80"/>
      <c r="R192" s="63" t="str">
        <f t="shared" si="4"/>
        <v/>
      </c>
      <c r="S192" s="85" t="str">
        <f t="shared" si="2"/>
        <v/>
      </c>
      <c r="T192" s="76"/>
      <c r="U192" s="76"/>
      <c r="V192" s="76"/>
      <c r="W192" s="76"/>
      <c r="X192" s="75"/>
      <c r="Y192" s="68"/>
      <c r="Z192" s="68"/>
      <c r="AA192" s="76"/>
      <c r="AB192" s="76"/>
      <c r="AC192" s="69" t="str">
        <f t="shared" si="5"/>
        <v/>
      </c>
      <c r="AD192" s="69" t="str">
        <f t="shared" si="6"/>
        <v/>
      </c>
      <c r="AE192" s="70" t="str">
        <f t="shared" si="7"/>
        <v/>
      </c>
      <c r="AF192" s="71" t="str">
        <f t="shared" si="8"/>
        <v/>
      </c>
      <c r="AG192" s="69" t="str">
        <f t="shared" si="9"/>
        <v/>
      </c>
      <c r="AH192" s="69" t="str">
        <f t="shared" si="10"/>
        <v/>
      </c>
      <c r="AI192" s="69" t="str">
        <f t="shared" si="3"/>
        <v/>
      </c>
    </row>
    <row r="193">
      <c r="A193" s="56" t="str">
        <f t="shared" si="1"/>
        <v/>
      </c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80"/>
      <c r="P193" s="72"/>
      <c r="Q193" s="80"/>
      <c r="R193" s="63" t="str">
        <f t="shared" si="4"/>
        <v/>
      </c>
      <c r="S193" s="85" t="str">
        <f t="shared" si="2"/>
        <v/>
      </c>
      <c r="T193" s="76"/>
      <c r="U193" s="76"/>
      <c r="V193" s="76"/>
      <c r="W193" s="76"/>
      <c r="X193" s="75"/>
      <c r="Y193" s="68"/>
      <c r="Z193" s="68"/>
      <c r="AA193" s="76"/>
      <c r="AB193" s="76"/>
      <c r="AC193" s="69" t="str">
        <f t="shared" si="5"/>
        <v/>
      </c>
      <c r="AD193" s="69" t="str">
        <f t="shared" si="6"/>
        <v/>
      </c>
      <c r="AE193" s="70" t="str">
        <f t="shared" si="7"/>
        <v/>
      </c>
      <c r="AF193" s="71" t="str">
        <f t="shared" si="8"/>
        <v/>
      </c>
      <c r="AG193" s="69" t="str">
        <f t="shared" si="9"/>
        <v/>
      </c>
      <c r="AH193" s="69" t="str">
        <f t="shared" si="10"/>
        <v/>
      </c>
      <c r="AI193" s="69" t="str">
        <f t="shared" si="3"/>
        <v/>
      </c>
    </row>
    <row r="194">
      <c r="A194" s="56" t="str">
        <f t="shared" si="1"/>
        <v/>
      </c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80"/>
      <c r="P194" s="72"/>
      <c r="Q194" s="80"/>
      <c r="R194" s="63" t="str">
        <f t="shared" si="4"/>
        <v/>
      </c>
      <c r="S194" s="85" t="str">
        <f t="shared" si="2"/>
        <v/>
      </c>
      <c r="T194" s="76"/>
      <c r="U194" s="76"/>
      <c r="V194" s="76"/>
      <c r="W194" s="76"/>
      <c r="X194" s="75"/>
      <c r="Y194" s="68"/>
      <c r="Z194" s="68"/>
      <c r="AA194" s="76"/>
      <c r="AB194" s="76"/>
      <c r="AC194" s="69" t="str">
        <f t="shared" si="5"/>
        <v/>
      </c>
      <c r="AD194" s="69" t="str">
        <f t="shared" si="6"/>
        <v/>
      </c>
      <c r="AE194" s="70" t="str">
        <f t="shared" si="7"/>
        <v/>
      </c>
      <c r="AF194" s="71" t="str">
        <f t="shared" si="8"/>
        <v/>
      </c>
      <c r="AG194" s="69" t="str">
        <f t="shared" si="9"/>
        <v/>
      </c>
      <c r="AH194" s="69" t="str">
        <f t="shared" si="10"/>
        <v/>
      </c>
      <c r="AI194" s="69" t="str">
        <f t="shared" si="3"/>
        <v/>
      </c>
    </row>
    <row r="195">
      <c r="A195" s="56" t="str">
        <f t="shared" si="1"/>
        <v/>
      </c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80"/>
      <c r="P195" s="72"/>
      <c r="Q195" s="80"/>
      <c r="R195" s="63" t="str">
        <f t="shared" si="4"/>
        <v/>
      </c>
      <c r="S195" s="85" t="str">
        <f t="shared" si="2"/>
        <v/>
      </c>
      <c r="T195" s="76"/>
      <c r="U195" s="76"/>
      <c r="V195" s="76"/>
      <c r="W195" s="76"/>
      <c r="X195" s="75"/>
      <c r="Y195" s="68"/>
      <c r="Z195" s="68"/>
      <c r="AA195" s="76"/>
      <c r="AB195" s="76"/>
      <c r="AC195" s="69" t="str">
        <f t="shared" si="5"/>
        <v/>
      </c>
      <c r="AD195" s="69" t="str">
        <f t="shared" si="6"/>
        <v/>
      </c>
      <c r="AE195" s="70" t="str">
        <f t="shared" si="7"/>
        <v/>
      </c>
      <c r="AF195" s="71" t="str">
        <f t="shared" si="8"/>
        <v/>
      </c>
      <c r="AG195" s="69" t="str">
        <f t="shared" si="9"/>
        <v/>
      </c>
      <c r="AH195" s="69" t="str">
        <f t="shared" si="10"/>
        <v/>
      </c>
      <c r="AI195" s="69" t="str">
        <f t="shared" si="3"/>
        <v/>
      </c>
    </row>
    <row r="196">
      <c r="A196" s="56" t="str">
        <f t="shared" si="1"/>
        <v/>
      </c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80"/>
      <c r="P196" s="72"/>
      <c r="Q196" s="80"/>
      <c r="R196" s="63" t="str">
        <f t="shared" si="4"/>
        <v/>
      </c>
      <c r="S196" s="85" t="str">
        <f t="shared" si="2"/>
        <v/>
      </c>
      <c r="T196" s="76"/>
      <c r="U196" s="76"/>
      <c r="V196" s="76"/>
      <c r="W196" s="76"/>
      <c r="X196" s="75"/>
      <c r="Y196" s="68"/>
      <c r="Z196" s="68"/>
      <c r="AA196" s="76"/>
      <c r="AB196" s="76"/>
      <c r="AC196" s="69" t="str">
        <f t="shared" si="5"/>
        <v/>
      </c>
      <c r="AD196" s="69" t="str">
        <f t="shared" si="6"/>
        <v/>
      </c>
      <c r="AE196" s="70" t="str">
        <f t="shared" si="7"/>
        <v/>
      </c>
      <c r="AF196" s="71" t="str">
        <f t="shared" si="8"/>
        <v/>
      </c>
      <c r="AG196" s="69" t="str">
        <f t="shared" si="9"/>
        <v/>
      </c>
      <c r="AH196" s="69" t="str">
        <f t="shared" si="10"/>
        <v/>
      </c>
      <c r="AI196" s="69" t="str">
        <f t="shared" si="3"/>
        <v/>
      </c>
    </row>
    <row r="197">
      <c r="A197" s="56" t="str">
        <f t="shared" si="1"/>
        <v/>
      </c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80"/>
      <c r="P197" s="72"/>
      <c r="Q197" s="80"/>
      <c r="R197" s="63" t="str">
        <f t="shared" si="4"/>
        <v/>
      </c>
      <c r="S197" s="85" t="str">
        <f t="shared" si="2"/>
        <v/>
      </c>
      <c r="T197" s="76"/>
      <c r="U197" s="76"/>
      <c r="V197" s="76"/>
      <c r="W197" s="76"/>
      <c r="X197" s="75"/>
      <c r="Y197" s="68"/>
      <c r="Z197" s="68"/>
      <c r="AA197" s="76"/>
      <c r="AB197" s="76"/>
      <c r="AC197" s="69" t="str">
        <f t="shared" si="5"/>
        <v/>
      </c>
      <c r="AD197" s="69" t="str">
        <f t="shared" si="6"/>
        <v/>
      </c>
      <c r="AE197" s="70" t="str">
        <f t="shared" si="7"/>
        <v/>
      </c>
      <c r="AF197" s="71" t="str">
        <f t="shared" si="8"/>
        <v/>
      </c>
      <c r="AG197" s="69" t="str">
        <f t="shared" si="9"/>
        <v/>
      </c>
      <c r="AH197" s="69" t="str">
        <f t="shared" si="10"/>
        <v/>
      </c>
      <c r="AI197" s="69" t="str">
        <f t="shared" si="3"/>
        <v/>
      </c>
    </row>
    <row r="198">
      <c r="A198" s="56" t="str">
        <f t="shared" si="1"/>
        <v/>
      </c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80"/>
      <c r="P198" s="72"/>
      <c r="Q198" s="80"/>
      <c r="R198" s="63" t="str">
        <f t="shared" si="4"/>
        <v/>
      </c>
      <c r="S198" s="85" t="str">
        <f t="shared" si="2"/>
        <v/>
      </c>
      <c r="T198" s="76"/>
      <c r="U198" s="76"/>
      <c r="V198" s="76"/>
      <c r="W198" s="76"/>
      <c r="X198" s="75"/>
      <c r="Y198" s="68"/>
      <c r="Z198" s="68"/>
      <c r="AA198" s="76"/>
      <c r="AB198" s="76"/>
      <c r="AC198" s="69" t="str">
        <f t="shared" si="5"/>
        <v/>
      </c>
      <c r="AD198" s="69" t="str">
        <f t="shared" si="6"/>
        <v/>
      </c>
      <c r="AE198" s="70" t="str">
        <f t="shared" si="7"/>
        <v/>
      </c>
      <c r="AF198" s="71" t="str">
        <f t="shared" si="8"/>
        <v/>
      </c>
      <c r="AG198" s="69" t="str">
        <f t="shared" si="9"/>
        <v/>
      </c>
      <c r="AH198" s="69" t="str">
        <f t="shared" si="10"/>
        <v/>
      </c>
      <c r="AI198" s="69" t="str">
        <f t="shared" si="3"/>
        <v/>
      </c>
    </row>
    <row r="199">
      <c r="A199" s="56" t="str">
        <f t="shared" si="1"/>
        <v/>
      </c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80"/>
      <c r="P199" s="72"/>
      <c r="Q199" s="80"/>
      <c r="R199" s="63" t="str">
        <f t="shared" si="4"/>
        <v/>
      </c>
      <c r="S199" s="85" t="str">
        <f t="shared" si="2"/>
        <v/>
      </c>
      <c r="T199" s="76"/>
      <c r="U199" s="76"/>
      <c r="V199" s="76"/>
      <c r="W199" s="76"/>
      <c r="X199" s="75"/>
      <c r="Y199" s="68"/>
      <c r="Z199" s="68"/>
      <c r="AA199" s="76"/>
      <c r="AB199" s="76"/>
      <c r="AC199" s="69" t="str">
        <f t="shared" si="5"/>
        <v/>
      </c>
      <c r="AD199" s="69" t="str">
        <f t="shared" si="6"/>
        <v/>
      </c>
      <c r="AE199" s="70" t="str">
        <f t="shared" si="7"/>
        <v/>
      </c>
      <c r="AF199" s="71" t="str">
        <f t="shared" si="8"/>
        <v/>
      </c>
      <c r="AG199" s="69" t="str">
        <f t="shared" si="9"/>
        <v/>
      </c>
      <c r="AH199" s="69" t="str">
        <f t="shared" si="10"/>
        <v/>
      </c>
      <c r="AI199" s="69" t="str">
        <f t="shared" si="3"/>
        <v/>
      </c>
    </row>
    <row r="200">
      <c r="A200" s="56" t="str">
        <f t="shared" si="1"/>
        <v/>
      </c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80"/>
      <c r="P200" s="72"/>
      <c r="Q200" s="80"/>
      <c r="R200" s="63" t="str">
        <f t="shared" si="4"/>
        <v/>
      </c>
      <c r="S200" s="85" t="str">
        <f t="shared" si="2"/>
        <v/>
      </c>
      <c r="T200" s="76"/>
      <c r="U200" s="76"/>
      <c r="V200" s="76"/>
      <c r="W200" s="76"/>
      <c r="X200" s="75"/>
      <c r="Y200" s="68"/>
      <c r="Z200" s="68"/>
      <c r="AA200" s="76"/>
      <c r="AB200" s="76"/>
      <c r="AC200" s="69" t="str">
        <f t="shared" si="5"/>
        <v/>
      </c>
      <c r="AD200" s="69" t="str">
        <f t="shared" si="6"/>
        <v/>
      </c>
      <c r="AE200" s="70" t="str">
        <f t="shared" si="7"/>
        <v/>
      </c>
      <c r="AF200" s="71" t="str">
        <f t="shared" si="8"/>
        <v/>
      </c>
      <c r="AG200" s="69" t="str">
        <f t="shared" si="9"/>
        <v/>
      </c>
      <c r="AH200" s="69" t="str">
        <f t="shared" si="10"/>
        <v/>
      </c>
      <c r="AI200" s="69" t="str">
        <f t="shared" si="3"/>
        <v/>
      </c>
    </row>
    <row r="201">
      <c r="A201" s="56" t="str">
        <f t="shared" si="1"/>
        <v/>
      </c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80"/>
      <c r="P201" s="72"/>
      <c r="Q201" s="80"/>
      <c r="R201" s="63" t="str">
        <f t="shared" si="4"/>
        <v/>
      </c>
      <c r="S201" s="85" t="str">
        <f t="shared" si="2"/>
        <v/>
      </c>
      <c r="T201" s="76"/>
      <c r="U201" s="76"/>
      <c r="V201" s="76"/>
      <c r="W201" s="76"/>
      <c r="X201" s="75"/>
      <c r="Y201" s="68"/>
      <c r="Z201" s="68"/>
      <c r="AA201" s="76"/>
      <c r="AB201" s="76"/>
      <c r="AC201" s="69" t="str">
        <f t="shared" si="5"/>
        <v/>
      </c>
      <c r="AD201" s="69" t="str">
        <f t="shared" si="6"/>
        <v/>
      </c>
      <c r="AE201" s="70" t="str">
        <f t="shared" si="7"/>
        <v/>
      </c>
      <c r="AF201" s="71" t="str">
        <f t="shared" si="8"/>
        <v/>
      </c>
      <c r="AG201" s="69" t="str">
        <f t="shared" si="9"/>
        <v/>
      </c>
      <c r="AH201" s="69" t="str">
        <f t="shared" si="10"/>
        <v/>
      </c>
      <c r="AI201" s="69" t="str">
        <f t="shared" si="3"/>
        <v/>
      </c>
    </row>
    <row r="202">
      <c r="A202" s="56" t="str">
        <f t="shared" si="1"/>
        <v/>
      </c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80"/>
      <c r="P202" s="72"/>
      <c r="Q202" s="80"/>
      <c r="R202" s="63" t="str">
        <f t="shared" si="4"/>
        <v/>
      </c>
      <c r="S202" s="85" t="str">
        <f t="shared" si="2"/>
        <v/>
      </c>
      <c r="T202" s="76"/>
      <c r="U202" s="76"/>
      <c r="V202" s="76"/>
      <c r="W202" s="76"/>
      <c r="X202" s="75"/>
      <c r="Y202" s="68"/>
      <c r="Z202" s="68"/>
      <c r="AA202" s="76"/>
      <c r="AB202" s="76"/>
      <c r="AC202" s="69" t="str">
        <f t="shared" si="5"/>
        <v/>
      </c>
      <c r="AD202" s="69" t="str">
        <f t="shared" si="6"/>
        <v/>
      </c>
      <c r="AE202" s="70" t="str">
        <f t="shared" si="7"/>
        <v/>
      </c>
      <c r="AF202" s="71" t="str">
        <f t="shared" si="8"/>
        <v/>
      </c>
      <c r="AG202" s="69" t="str">
        <f t="shared" si="9"/>
        <v/>
      </c>
      <c r="AH202" s="69" t="str">
        <f t="shared" si="10"/>
        <v/>
      </c>
      <c r="AI202" s="69" t="str">
        <f t="shared" si="3"/>
        <v/>
      </c>
    </row>
    <row r="203">
      <c r="A203" s="56" t="str">
        <f t="shared" si="1"/>
        <v/>
      </c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80"/>
      <c r="P203" s="72"/>
      <c r="Q203" s="80"/>
      <c r="R203" s="63" t="str">
        <f t="shared" si="4"/>
        <v/>
      </c>
      <c r="S203" s="85" t="str">
        <f t="shared" si="2"/>
        <v/>
      </c>
      <c r="T203" s="76"/>
      <c r="U203" s="76"/>
      <c r="V203" s="76"/>
      <c r="W203" s="76"/>
      <c r="X203" s="75"/>
      <c r="Y203" s="68"/>
      <c r="Z203" s="68"/>
      <c r="AA203" s="76"/>
      <c r="AB203" s="76"/>
      <c r="AC203" s="69" t="str">
        <f t="shared" si="5"/>
        <v/>
      </c>
      <c r="AD203" s="69" t="str">
        <f t="shared" si="6"/>
        <v/>
      </c>
      <c r="AE203" s="70" t="str">
        <f t="shared" si="7"/>
        <v/>
      </c>
      <c r="AF203" s="71" t="str">
        <f t="shared" si="8"/>
        <v/>
      </c>
      <c r="AG203" s="69" t="str">
        <f t="shared" si="9"/>
        <v/>
      </c>
      <c r="AH203" s="69" t="str">
        <f t="shared" si="10"/>
        <v/>
      </c>
      <c r="AI203" s="69" t="str">
        <f t="shared" si="3"/>
        <v/>
      </c>
    </row>
    <row r="204">
      <c r="A204" s="56" t="str">
        <f t="shared" si="1"/>
        <v/>
      </c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80"/>
      <c r="P204" s="72"/>
      <c r="Q204" s="80"/>
      <c r="R204" s="63" t="str">
        <f t="shared" si="4"/>
        <v/>
      </c>
      <c r="S204" s="85" t="str">
        <f t="shared" si="2"/>
        <v/>
      </c>
      <c r="T204" s="76"/>
      <c r="U204" s="76"/>
      <c r="V204" s="76"/>
      <c r="W204" s="76"/>
      <c r="X204" s="75"/>
      <c r="Y204" s="68"/>
      <c r="Z204" s="68"/>
      <c r="AA204" s="76"/>
      <c r="AB204" s="76"/>
      <c r="AC204" s="69" t="str">
        <f t="shared" si="5"/>
        <v/>
      </c>
      <c r="AD204" s="69" t="str">
        <f t="shared" si="6"/>
        <v/>
      </c>
      <c r="AE204" s="70" t="str">
        <f t="shared" si="7"/>
        <v/>
      </c>
      <c r="AF204" s="71" t="str">
        <f t="shared" si="8"/>
        <v/>
      </c>
      <c r="AG204" s="69" t="str">
        <f t="shared" si="9"/>
        <v/>
      </c>
      <c r="AH204" s="69" t="str">
        <f t="shared" si="10"/>
        <v/>
      </c>
      <c r="AI204" s="69" t="str">
        <f t="shared" si="3"/>
        <v/>
      </c>
    </row>
    <row r="205">
      <c r="A205" s="56" t="str">
        <f t="shared" si="1"/>
        <v/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80"/>
      <c r="P205" s="72"/>
      <c r="Q205" s="80"/>
      <c r="R205" s="63" t="str">
        <f t="shared" si="4"/>
        <v/>
      </c>
      <c r="S205" s="85" t="str">
        <f t="shared" si="2"/>
        <v/>
      </c>
      <c r="T205" s="76"/>
      <c r="U205" s="76"/>
      <c r="V205" s="76"/>
      <c r="W205" s="76"/>
      <c r="X205" s="75"/>
      <c r="Y205" s="68"/>
      <c r="Z205" s="68"/>
      <c r="AA205" s="76"/>
      <c r="AB205" s="76"/>
      <c r="AC205" s="69" t="str">
        <f t="shared" si="5"/>
        <v/>
      </c>
      <c r="AD205" s="69" t="str">
        <f t="shared" si="6"/>
        <v/>
      </c>
      <c r="AE205" s="70" t="str">
        <f t="shared" si="7"/>
        <v/>
      </c>
      <c r="AF205" s="71" t="str">
        <f t="shared" si="8"/>
        <v/>
      </c>
      <c r="AG205" s="69" t="str">
        <f t="shared" si="9"/>
        <v/>
      </c>
      <c r="AH205" s="69" t="str">
        <f t="shared" si="10"/>
        <v/>
      </c>
      <c r="AI205" s="69" t="str">
        <f t="shared" si="3"/>
        <v/>
      </c>
    </row>
    <row r="206">
      <c r="A206" s="56" t="str">
        <f t="shared" si="1"/>
        <v/>
      </c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80"/>
      <c r="P206" s="72"/>
      <c r="Q206" s="80"/>
      <c r="R206" s="63" t="str">
        <f t="shared" si="4"/>
        <v/>
      </c>
      <c r="S206" s="85" t="str">
        <f t="shared" si="2"/>
        <v/>
      </c>
      <c r="T206" s="76"/>
      <c r="U206" s="76"/>
      <c r="V206" s="76"/>
      <c r="W206" s="76"/>
      <c r="X206" s="75"/>
      <c r="Y206" s="68"/>
      <c r="Z206" s="68"/>
      <c r="AA206" s="76"/>
      <c r="AB206" s="76"/>
      <c r="AC206" s="69" t="str">
        <f t="shared" si="5"/>
        <v/>
      </c>
      <c r="AD206" s="69" t="str">
        <f t="shared" si="6"/>
        <v/>
      </c>
      <c r="AE206" s="70" t="str">
        <f t="shared" si="7"/>
        <v/>
      </c>
      <c r="AF206" s="71" t="str">
        <f t="shared" si="8"/>
        <v/>
      </c>
      <c r="AG206" s="69" t="str">
        <f t="shared" si="9"/>
        <v/>
      </c>
      <c r="AH206" s="69" t="str">
        <f t="shared" si="10"/>
        <v/>
      </c>
      <c r="AI206" s="69" t="str">
        <f t="shared" si="3"/>
        <v/>
      </c>
    </row>
    <row r="207">
      <c r="A207" s="56" t="str">
        <f t="shared" si="1"/>
        <v/>
      </c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80"/>
      <c r="P207" s="72"/>
      <c r="Q207" s="80"/>
      <c r="R207" s="63" t="str">
        <f t="shared" si="4"/>
        <v/>
      </c>
      <c r="S207" s="85" t="str">
        <f t="shared" si="2"/>
        <v/>
      </c>
      <c r="T207" s="76"/>
      <c r="U207" s="76"/>
      <c r="V207" s="76"/>
      <c r="W207" s="76"/>
      <c r="X207" s="75"/>
      <c r="Y207" s="68"/>
      <c r="Z207" s="68"/>
      <c r="AA207" s="76"/>
      <c r="AB207" s="76"/>
      <c r="AC207" s="69" t="str">
        <f t="shared" si="5"/>
        <v/>
      </c>
      <c r="AD207" s="69" t="str">
        <f t="shared" si="6"/>
        <v/>
      </c>
      <c r="AE207" s="70" t="str">
        <f t="shared" si="7"/>
        <v/>
      </c>
      <c r="AF207" s="71" t="str">
        <f t="shared" si="8"/>
        <v/>
      </c>
      <c r="AG207" s="69" t="str">
        <f t="shared" si="9"/>
        <v/>
      </c>
      <c r="AH207" s="69" t="str">
        <f t="shared" si="10"/>
        <v/>
      </c>
      <c r="AI207" s="69" t="str">
        <f t="shared" si="3"/>
        <v/>
      </c>
    </row>
    <row r="208">
      <c r="A208" s="56" t="str">
        <f t="shared" si="1"/>
        <v/>
      </c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80"/>
      <c r="P208" s="72"/>
      <c r="Q208" s="80"/>
      <c r="R208" s="63" t="str">
        <f t="shared" si="4"/>
        <v/>
      </c>
      <c r="S208" s="85" t="str">
        <f t="shared" si="2"/>
        <v/>
      </c>
      <c r="T208" s="76"/>
      <c r="U208" s="76"/>
      <c r="V208" s="76"/>
      <c r="W208" s="76"/>
      <c r="X208" s="75"/>
      <c r="Y208" s="68"/>
      <c r="Z208" s="68"/>
      <c r="AA208" s="76"/>
      <c r="AB208" s="76"/>
      <c r="AC208" s="69" t="str">
        <f t="shared" si="5"/>
        <v/>
      </c>
      <c r="AD208" s="69" t="str">
        <f t="shared" si="6"/>
        <v/>
      </c>
      <c r="AE208" s="70" t="str">
        <f t="shared" si="7"/>
        <v/>
      </c>
      <c r="AF208" s="71" t="str">
        <f t="shared" si="8"/>
        <v/>
      </c>
      <c r="AG208" s="69" t="str">
        <f t="shared" si="9"/>
        <v/>
      </c>
      <c r="AH208" s="69" t="str">
        <f t="shared" si="10"/>
        <v/>
      </c>
      <c r="AI208" s="69" t="str">
        <f t="shared" si="3"/>
        <v/>
      </c>
    </row>
    <row r="209">
      <c r="A209" s="56" t="str">
        <f t="shared" si="1"/>
        <v/>
      </c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80"/>
      <c r="P209" s="72"/>
      <c r="Q209" s="80"/>
      <c r="R209" s="63" t="str">
        <f t="shared" si="4"/>
        <v/>
      </c>
      <c r="S209" s="85" t="str">
        <f t="shared" si="2"/>
        <v/>
      </c>
      <c r="T209" s="76"/>
      <c r="U209" s="76"/>
      <c r="V209" s="76"/>
      <c r="W209" s="76"/>
      <c r="X209" s="75"/>
      <c r="Y209" s="68"/>
      <c r="Z209" s="68"/>
      <c r="AA209" s="76"/>
      <c r="AB209" s="76"/>
      <c r="AC209" s="69" t="str">
        <f t="shared" si="5"/>
        <v/>
      </c>
      <c r="AD209" s="69" t="str">
        <f t="shared" si="6"/>
        <v/>
      </c>
      <c r="AE209" s="70" t="str">
        <f t="shared" si="7"/>
        <v/>
      </c>
      <c r="AF209" s="71" t="str">
        <f t="shared" si="8"/>
        <v/>
      </c>
      <c r="AG209" s="69" t="str">
        <f t="shared" si="9"/>
        <v/>
      </c>
      <c r="AH209" s="69" t="str">
        <f t="shared" si="10"/>
        <v/>
      </c>
      <c r="AI209" s="69" t="str">
        <f t="shared" si="3"/>
        <v/>
      </c>
    </row>
    <row r="210">
      <c r="A210" s="56" t="str">
        <f t="shared" si="1"/>
        <v/>
      </c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80"/>
      <c r="P210" s="72"/>
      <c r="Q210" s="80"/>
      <c r="R210" s="63" t="str">
        <f t="shared" si="4"/>
        <v/>
      </c>
      <c r="S210" s="85" t="str">
        <f t="shared" si="2"/>
        <v/>
      </c>
      <c r="T210" s="76"/>
      <c r="U210" s="76"/>
      <c r="V210" s="76"/>
      <c r="W210" s="76"/>
      <c r="X210" s="75"/>
      <c r="Y210" s="68"/>
      <c r="Z210" s="68"/>
      <c r="AA210" s="76"/>
      <c r="AB210" s="76"/>
      <c r="AC210" s="69" t="str">
        <f t="shared" si="5"/>
        <v/>
      </c>
      <c r="AD210" s="69" t="str">
        <f t="shared" si="6"/>
        <v/>
      </c>
      <c r="AE210" s="70" t="str">
        <f t="shared" si="7"/>
        <v/>
      </c>
      <c r="AF210" s="71" t="str">
        <f t="shared" si="8"/>
        <v/>
      </c>
      <c r="AG210" s="69" t="str">
        <f t="shared" si="9"/>
        <v/>
      </c>
      <c r="AH210" s="69" t="str">
        <f t="shared" si="10"/>
        <v/>
      </c>
      <c r="AI210" s="69" t="str">
        <f t="shared" si="3"/>
        <v/>
      </c>
    </row>
    <row r="211">
      <c r="A211" s="56" t="str">
        <f t="shared" si="1"/>
        <v/>
      </c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80"/>
      <c r="P211" s="72"/>
      <c r="Q211" s="80"/>
      <c r="R211" s="63" t="str">
        <f t="shared" si="4"/>
        <v/>
      </c>
      <c r="S211" s="85" t="str">
        <f t="shared" si="2"/>
        <v/>
      </c>
      <c r="T211" s="76"/>
      <c r="U211" s="76"/>
      <c r="V211" s="76"/>
      <c r="W211" s="76"/>
      <c r="X211" s="75"/>
      <c r="Y211" s="68"/>
      <c r="Z211" s="68"/>
      <c r="AA211" s="76"/>
      <c r="AB211" s="76"/>
      <c r="AC211" s="69" t="str">
        <f t="shared" si="5"/>
        <v/>
      </c>
      <c r="AD211" s="69" t="str">
        <f t="shared" si="6"/>
        <v/>
      </c>
      <c r="AE211" s="70" t="str">
        <f t="shared" si="7"/>
        <v/>
      </c>
      <c r="AF211" s="71" t="str">
        <f t="shared" si="8"/>
        <v/>
      </c>
      <c r="AG211" s="69" t="str">
        <f t="shared" si="9"/>
        <v/>
      </c>
      <c r="AH211" s="69" t="str">
        <f t="shared" si="10"/>
        <v/>
      </c>
      <c r="AI211" s="69" t="str">
        <f t="shared" si="3"/>
        <v/>
      </c>
    </row>
    <row r="212">
      <c r="A212" s="56" t="str">
        <f t="shared" si="1"/>
        <v/>
      </c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80"/>
      <c r="P212" s="72"/>
      <c r="Q212" s="80"/>
      <c r="R212" s="63" t="str">
        <f t="shared" si="4"/>
        <v/>
      </c>
      <c r="S212" s="85" t="str">
        <f t="shared" si="2"/>
        <v/>
      </c>
      <c r="T212" s="76"/>
      <c r="U212" s="76"/>
      <c r="V212" s="76"/>
      <c r="W212" s="76"/>
      <c r="X212" s="75"/>
      <c r="Y212" s="68"/>
      <c r="Z212" s="68"/>
      <c r="AA212" s="76"/>
      <c r="AB212" s="76"/>
      <c r="AC212" s="69" t="str">
        <f t="shared" si="5"/>
        <v/>
      </c>
      <c r="AD212" s="69" t="str">
        <f t="shared" si="6"/>
        <v/>
      </c>
      <c r="AE212" s="70" t="str">
        <f t="shared" si="7"/>
        <v/>
      </c>
      <c r="AF212" s="71" t="str">
        <f t="shared" si="8"/>
        <v/>
      </c>
      <c r="AG212" s="69" t="str">
        <f t="shared" si="9"/>
        <v/>
      </c>
      <c r="AH212" s="69" t="str">
        <f t="shared" si="10"/>
        <v/>
      </c>
      <c r="AI212" s="69" t="str">
        <f t="shared" si="3"/>
        <v/>
      </c>
    </row>
    <row r="213">
      <c r="A213" s="56" t="str">
        <f t="shared" si="1"/>
        <v/>
      </c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80"/>
      <c r="P213" s="72"/>
      <c r="Q213" s="80"/>
      <c r="R213" s="63" t="str">
        <f t="shared" si="4"/>
        <v/>
      </c>
      <c r="S213" s="85" t="str">
        <f t="shared" si="2"/>
        <v/>
      </c>
      <c r="T213" s="76"/>
      <c r="U213" s="76"/>
      <c r="V213" s="76"/>
      <c r="W213" s="76"/>
      <c r="X213" s="75"/>
      <c r="Y213" s="68"/>
      <c r="Z213" s="68"/>
      <c r="AA213" s="76"/>
      <c r="AB213" s="76"/>
      <c r="AC213" s="69" t="str">
        <f t="shared" si="5"/>
        <v/>
      </c>
      <c r="AD213" s="69" t="str">
        <f t="shared" si="6"/>
        <v/>
      </c>
      <c r="AE213" s="70" t="str">
        <f t="shared" si="7"/>
        <v/>
      </c>
      <c r="AF213" s="71" t="str">
        <f t="shared" si="8"/>
        <v/>
      </c>
      <c r="AG213" s="69" t="str">
        <f t="shared" si="9"/>
        <v/>
      </c>
      <c r="AH213" s="69" t="str">
        <f t="shared" si="10"/>
        <v/>
      </c>
      <c r="AI213" s="69" t="str">
        <f t="shared" si="3"/>
        <v/>
      </c>
    </row>
    <row r="214">
      <c r="A214" s="56" t="str">
        <f t="shared" si="1"/>
        <v/>
      </c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80"/>
      <c r="P214" s="72"/>
      <c r="Q214" s="80"/>
      <c r="R214" s="63" t="str">
        <f t="shared" si="4"/>
        <v/>
      </c>
      <c r="S214" s="85" t="str">
        <f t="shared" si="2"/>
        <v/>
      </c>
      <c r="T214" s="76"/>
      <c r="U214" s="76"/>
      <c r="V214" s="76"/>
      <c r="W214" s="76"/>
      <c r="X214" s="75"/>
      <c r="Y214" s="68"/>
      <c r="Z214" s="68"/>
      <c r="AA214" s="76"/>
      <c r="AB214" s="76"/>
      <c r="AC214" s="69" t="str">
        <f t="shared" si="5"/>
        <v/>
      </c>
      <c r="AD214" s="69" t="str">
        <f t="shared" si="6"/>
        <v/>
      </c>
      <c r="AE214" s="70" t="str">
        <f t="shared" si="7"/>
        <v/>
      </c>
      <c r="AF214" s="71" t="str">
        <f t="shared" si="8"/>
        <v/>
      </c>
      <c r="AG214" s="69" t="str">
        <f t="shared" si="9"/>
        <v/>
      </c>
      <c r="AH214" s="69" t="str">
        <f t="shared" si="10"/>
        <v/>
      </c>
      <c r="AI214" s="69" t="str">
        <f t="shared" si="3"/>
        <v/>
      </c>
    </row>
    <row r="215">
      <c r="A215" s="56" t="str">
        <f t="shared" si="1"/>
        <v/>
      </c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80"/>
      <c r="P215" s="72"/>
      <c r="Q215" s="80"/>
      <c r="R215" s="63" t="str">
        <f t="shared" si="4"/>
        <v/>
      </c>
      <c r="S215" s="85" t="str">
        <f t="shared" si="2"/>
        <v/>
      </c>
      <c r="T215" s="76"/>
      <c r="U215" s="76"/>
      <c r="V215" s="76"/>
      <c r="W215" s="76"/>
      <c r="X215" s="75"/>
      <c r="Y215" s="68"/>
      <c r="Z215" s="68"/>
      <c r="AA215" s="76"/>
      <c r="AB215" s="76"/>
      <c r="AC215" s="69" t="str">
        <f t="shared" si="5"/>
        <v/>
      </c>
      <c r="AD215" s="69" t="str">
        <f t="shared" si="6"/>
        <v/>
      </c>
      <c r="AE215" s="70" t="str">
        <f t="shared" si="7"/>
        <v/>
      </c>
      <c r="AF215" s="71" t="str">
        <f t="shared" si="8"/>
        <v/>
      </c>
      <c r="AG215" s="69" t="str">
        <f t="shared" si="9"/>
        <v/>
      </c>
      <c r="AH215" s="69" t="str">
        <f t="shared" si="10"/>
        <v/>
      </c>
      <c r="AI215" s="69" t="str">
        <f t="shared" si="3"/>
        <v/>
      </c>
    </row>
    <row r="216">
      <c r="A216" s="56" t="str">
        <f t="shared" si="1"/>
        <v/>
      </c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80"/>
      <c r="P216" s="72"/>
      <c r="Q216" s="80"/>
      <c r="R216" s="63" t="str">
        <f t="shared" si="4"/>
        <v/>
      </c>
      <c r="S216" s="85" t="str">
        <f t="shared" si="2"/>
        <v/>
      </c>
      <c r="T216" s="76"/>
      <c r="U216" s="76"/>
      <c r="V216" s="76"/>
      <c r="W216" s="76"/>
      <c r="X216" s="75"/>
      <c r="Y216" s="68"/>
      <c r="Z216" s="68"/>
      <c r="AA216" s="76"/>
      <c r="AB216" s="76"/>
      <c r="AC216" s="69" t="str">
        <f t="shared" si="5"/>
        <v/>
      </c>
      <c r="AD216" s="69" t="str">
        <f t="shared" si="6"/>
        <v/>
      </c>
      <c r="AE216" s="70" t="str">
        <f t="shared" si="7"/>
        <v/>
      </c>
      <c r="AF216" s="71" t="str">
        <f t="shared" si="8"/>
        <v/>
      </c>
      <c r="AG216" s="69" t="str">
        <f t="shared" si="9"/>
        <v/>
      </c>
      <c r="AH216" s="69" t="str">
        <f t="shared" si="10"/>
        <v/>
      </c>
      <c r="AI216" s="69" t="str">
        <f t="shared" si="3"/>
        <v/>
      </c>
    </row>
    <row r="217">
      <c r="A217" s="56" t="str">
        <f t="shared" si="1"/>
        <v/>
      </c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80"/>
      <c r="P217" s="72"/>
      <c r="Q217" s="80"/>
      <c r="R217" s="63" t="str">
        <f t="shared" si="4"/>
        <v/>
      </c>
      <c r="S217" s="85" t="str">
        <f t="shared" si="2"/>
        <v/>
      </c>
      <c r="T217" s="76"/>
      <c r="U217" s="76"/>
      <c r="V217" s="76"/>
      <c r="W217" s="76"/>
      <c r="X217" s="75"/>
      <c r="Y217" s="68"/>
      <c r="Z217" s="68"/>
      <c r="AA217" s="76"/>
      <c r="AB217" s="76"/>
      <c r="AC217" s="69" t="str">
        <f t="shared" si="5"/>
        <v/>
      </c>
      <c r="AD217" s="69" t="str">
        <f t="shared" si="6"/>
        <v/>
      </c>
      <c r="AE217" s="70" t="str">
        <f t="shared" si="7"/>
        <v/>
      </c>
      <c r="AF217" s="71" t="str">
        <f t="shared" si="8"/>
        <v/>
      </c>
      <c r="AG217" s="69" t="str">
        <f t="shared" si="9"/>
        <v/>
      </c>
      <c r="AH217" s="69" t="str">
        <f t="shared" si="10"/>
        <v/>
      </c>
      <c r="AI217" s="69" t="str">
        <f t="shared" si="3"/>
        <v/>
      </c>
    </row>
    <row r="218">
      <c r="A218" s="56" t="str">
        <f t="shared" si="1"/>
        <v/>
      </c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80"/>
      <c r="P218" s="72"/>
      <c r="Q218" s="80"/>
      <c r="R218" s="63" t="str">
        <f t="shared" si="4"/>
        <v/>
      </c>
      <c r="S218" s="85" t="str">
        <f t="shared" si="2"/>
        <v/>
      </c>
      <c r="T218" s="76"/>
      <c r="U218" s="76"/>
      <c r="V218" s="76"/>
      <c r="W218" s="76"/>
      <c r="X218" s="75"/>
      <c r="Y218" s="68"/>
      <c r="Z218" s="68"/>
      <c r="AA218" s="76"/>
      <c r="AB218" s="76"/>
      <c r="AC218" s="69" t="str">
        <f t="shared" si="5"/>
        <v/>
      </c>
      <c r="AD218" s="69" t="str">
        <f t="shared" si="6"/>
        <v/>
      </c>
      <c r="AE218" s="70" t="str">
        <f t="shared" si="7"/>
        <v/>
      </c>
      <c r="AF218" s="71" t="str">
        <f t="shared" si="8"/>
        <v/>
      </c>
      <c r="AG218" s="69" t="str">
        <f t="shared" si="9"/>
        <v/>
      </c>
      <c r="AH218" s="69" t="str">
        <f t="shared" si="10"/>
        <v/>
      </c>
      <c r="AI218" s="69" t="str">
        <f t="shared" si="3"/>
        <v/>
      </c>
    </row>
    <row r="219">
      <c r="A219" s="56" t="str">
        <f t="shared" si="1"/>
        <v/>
      </c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80"/>
      <c r="P219" s="72"/>
      <c r="Q219" s="80"/>
      <c r="R219" s="63" t="str">
        <f t="shared" si="4"/>
        <v/>
      </c>
      <c r="S219" s="85" t="str">
        <f t="shared" si="2"/>
        <v/>
      </c>
      <c r="T219" s="76"/>
      <c r="U219" s="76"/>
      <c r="V219" s="76"/>
      <c r="W219" s="76"/>
      <c r="X219" s="75"/>
      <c r="Y219" s="68"/>
      <c r="Z219" s="68"/>
      <c r="AA219" s="76"/>
      <c r="AB219" s="76"/>
      <c r="AC219" s="69" t="str">
        <f t="shared" si="5"/>
        <v/>
      </c>
      <c r="AD219" s="69" t="str">
        <f t="shared" si="6"/>
        <v/>
      </c>
      <c r="AE219" s="70" t="str">
        <f t="shared" si="7"/>
        <v/>
      </c>
      <c r="AF219" s="71" t="str">
        <f t="shared" si="8"/>
        <v/>
      </c>
      <c r="AG219" s="69" t="str">
        <f t="shared" si="9"/>
        <v/>
      </c>
      <c r="AH219" s="69" t="str">
        <f t="shared" si="10"/>
        <v/>
      </c>
      <c r="AI219" s="69" t="str">
        <f t="shared" si="3"/>
        <v/>
      </c>
    </row>
    <row r="220">
      <c r="A220" s="56" t="str">
        <f t="shared" si="1"/>
        <v/>
      </c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80"/>
      <c r="P220" s="72"/>
      <c r="Q220" s="80"/>
      <c r="R220" s="63" t="str">
        <f t="shared" si="4"/>
        <v/>
      </c>
      <c r="S220" s="85" t="str">
        <f t="shared" si="2"/>
        <v/>
      </c>
      <c r="T220" s="76"/>
      <c r="U220" s="76"/>
      <c r="V220" s="76"/>
      <c r="W220" s="76"/>
      <c r="X220" s="75"/>
      <c r="Y220" s="68"/>
      <c r="Z220" s="68"/>
      <c r="AA220" s="76"/>
      <c r="AB220" s="76"/>
      <c r="AC220" s="69" t="str">
        <f t="shared" si="5"/>
        <v/>
      </c>
      <c r="AD220" s="69" t="str">
        <f t="shared" si="6"/>
        <v/>
      </c>
      <c r="AE220" s="70" t="str">
        <f t="shared" si="7"/>
        <v/>
      </c>
      <c r="AF220" s="71" t="str">
        <f t="shared" si="8"/>
        <v/>
      </c>
      <c r="AG220" s="69" t="str">
        <f t="shared" si="9"/>
        <v/>
      </c>
      <c r="AH220" s="69" t="str">
        <f t="shared" si="10"/>
        <v/>
      </c>
      <c r="AI220" s="69" t="str">
        <f t="shared" si="3"/>
        <v/>
      </c>
    </row>
    <row r="221">
      <c r="A221" s="56" t="str">
        <f t="shared" si="1"/>
        <v/>
      </c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80"/>
      <c r="P221" s="72"/>
      <c r="Q221" s="80"/>
      <c r="R221" s="63" t="str">
        <f t="shared" si="4"/>
        <v/>
      </c>
      <c r="S221" s="85" t="str">
        <f t="shared" si="2"/>
        <v/>
      </c>
      <c r="T221" s="76"/>
      <c r="U221" s="76"/>
      <c r="V221" s="76"/>
      <c r="W221" s="76"/>
      <c r="X221" s="75"/>
      <c r="Y221" s="68"/>
      <c r="Z221" s="68"/>
      <c r="AA221" s="76"/>
      <c r="AB221" s="76"/>
      <c r="AC221" s="69" t="str">
        <f t="shared" si="5"/>
        <v/>
      </c>
      <c r="AD221" s="69" t="str">
        <f t="shared" si="6"/>
        <v/>
      </c>
      <c r="AE221" s="70" t="str">
        <f t="shared" si="7"/>
        <v/>
      </c>
      <c r="AF221" s="71" t="str">
        <f t="shared" si="8"/>
        <v/>
      </c>
      <c r="AG221" s="69" t="str">
        <f t="shared" si="9"/>
        <v/>
      </c>
      <c r="AH221" s="69" t="str">
        <f t="shared" si="10"/>
        <v/>
      </c>
      <c r="AI221" s="69" t="str">
        <f t="shared" si="3"/>
        <v/>
      </c>
    </row>
    <row r="222">
      <c r="A222" s="56" t="str">
        <f t="shared" si="1"/>
        <v/>
      </c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80"/>
      <c r="P222" s="72"/>
      <c r="Q222" s="80"/>
      <c r="R222" s="63" t="str">
        <f t="shared" si="4"/>
        <v/>
      </c>
      <c r="S222" s="85" t="str">
        <f t="shared" si="2"/>
        <v/>
      </c>
      <c r="T222" s="76"/>
      <c r="U222" s="76"/>
      <c r="V222" s="76"/>
      <c r="W222" s="76"/>
      <c r="X222" s="75"/>
      <c r="Y222" s="68"/>
      <c r="Z222" s="68"/>
      <c r="AA222" s="76"/>
      <c r="AB222" s="76"/>
      <c r="AC222" s="69" t="str">
        <f t="shared" si="5"/>
        <v/>
      </c>
      <c r="AD222" s="69" t="str">
        <f t="shared" si="6"/>
        <v/>
      </c>
      <c r="AE222" s="70" t="str">
        <f t="shared" si="7"/>
        <v/>
      </c>
      <c r="AF222" s="71" t="str">
        <f t="shared" si="8"/>
        <v/>
      </c>
      <c r="AG222" s="69" t="str">
        <f t="shared" si="9"/>
        <v/>
      </c>
      <c r="AH222" s="69" t="str">
        <f t="shared" si="10"/>
        <v/>
      </c>
      <c r="AI222" s="69" t="str">
        <f t="shared" si="3"/>
        <v/>
      </c>
    </row>
    <row r="223">
      <c r="A223" s="56" t="str">
        <f t="shared" si="1"/>
        <v/>
      </c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80"/>
      <c r="P223" s="72"/>
      <c r="Q223" s="80"/>
      <c r="R223" s="63" t="str">
        <f t="shared" si="4"/>
        <v/>
      </c>
      <c r="S223" s="85" t="str">
        <f t="shared" si="2"/>
        <v/>
      </c>
      <c r="T223" s="76"/>
      <c r="U223" s="76"/>
      <c r="V223" s="76"/>
      <c r="W223" s="76"/>
      <c r="X223" s="75"/>
      <c r="Y223" s="68"/>
      <c r="Z223" s="68"/>
      <c r="AA223" s="76"/>
      <c r="AB223" s="76"/>
      <c r="AC223" s="69" t="str">
        <f t="shared" si="5"/>
        <v/>
      </c>
      <c r="AD223" s="69" t="str">
        <f t="shared" si="6"/>
        <v/>
      </c>
      <c r="AE223" s="70" t="str">
        <f t="shared" si="7"/>
        <v/>
      </c>
      <c r="AF223" s="71" t="str">
        <f t="shared" si="8"/>
        <v/>
      </c>
      <c r="AG223" s="69" t="str">
        <f t="shared" si="9"/>
        <v/>
      </c>
      <c r="AH223" s="69" t="str">
        <f t="shared" si="10"/>
        <v/>
      </c>
      <c r="AI223" s="69" t="str">
        <f t="shared" si="3"/>
        <v/>
      </c>
    </row>
    <row r="224">
      <c r="A224" s="56" t="str">
        <f t="shared" si="1"/>
        <v/>
      </c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80"/>
      <c r="P224" s="72"/>
      <c r="Q224" s="80"/>
      <c r="R224" s="63" t="str">
        <f t="shared" si="4"/>
        <v/>
      </c>
      <c r="S224" s="85" t="str">
        <f t="shared" si="2"/>
        <v/>
      </c>
      <c r="T224" s="76"/>
      <c r="U224" s="76"/>
      <c r="V224" s="76"/>
      <c r="W224" s="76"/>
      <c r="X224" s="75"/>
      <c r="Y224" s="68"/>
      <c r="Z224" s="68"/>
      <c r="AA224" s="76"/>
      <c r="AB224" s="76"/>
      <c r="AC224" s="69" t="str">
        <f t="shared" si="5"/>
        <v/>
      </c>
      <c r="AD224" s="69" t="str">
        <f t="shared" si="6"/>
        <v/>
      </c>
      <c r="AE224" s="70" t="str">
        <f t="shared" si="7"/>
        <v/>
      </c>
      <c r="AF224" s="71" t="str">
        <f t="shared" si="8"/>
        <v/>
      </c>
      <c r="AG224" s="69" t="str">
        <f t="shared" si="9"/>
        <v/>
      </c>
      <c r="AH224" s="69" t="str">
        <f t="shared" si="10"/>
        <v/>
      </c>
      <c r="AI224" s="69" t="str">
        <f t="shared" si="3"/>
        <v/>
      </c>
    </row>
    <row r="225">
      <c r="A225" s="56" t="str">
        <f t="shared" si="1"/>
        <v/>
      </c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80"/>
      <c r="P225" s="72"/>
      <c r="Q225" s="80"/>
      <c r="R225" s="63" t="str">
        <f t="shared" si="4"/>
        <v/>
      </c>
      <c r="S225" s="85" t="str">
        <f t="shared" si="2"/>
        <v/>
      </c>
      <c r="T225" s="76"/>
      <c r="U225" s="76"/>
      <c r="V225" s="76"/>
      <c r="W225" s="76"/>
      <c r="X225" s="75"/>
      <c r="Y225" s="68"/>
      <c r="Z225" s="68"/>
      <c r="AA225" s="76"/>
      <c r="AB225" s="76"/>
      <c r="AC225" s="69" t="str">
        <f t="shared" si="5"/>
        <v/>
      </c>
      <c r="AD225" s="69" t="str">
        <f t="shared" si="6"/>
        <v/>
      </c>
      <c r="AE225" s="70" t="str">
        <f t="shared" si="7"/>
        <v/>
      </c>
      <c r="AF225" s="71" t="str">
        <f t="shared" si="8"/>
        <v/>
      </c>
      <c r="AG225" s="69" t="str">
        <f t="shared" si="9"/>
        <v/>
      </c>
      <c r="AH225" s="69" t="str">
        <f t="shared" si="10"/>
        <v/>
      </c>
      <c r="AI225" s="69" t="str">
        <f t="shared" si="3"/>
        <v/>
      </c>
    </row>
    <row r="226">
      <c r="A226" s="56" t="str">
        <f t="shared" si="1"/>
        <v/>
      </c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80"/>
      <c r="P226" s="72"/>
      <c r="Q226" s="80"/>
      <c r="R226" s="63" t="str">
        <f t="shared" si="4"/>
        <v/>
      </c>
      <c r="S226" s="85" t="str">
        <f t="shared" si="2"/>
        <v/>
      </c>
      <c r="T226" s="76"/>
      <c r="U226" s="76"/>
      <c r="V226" s="76"/>
      <c r="W226" s="76"/>
      <c r="X226" s="75"/>
      <c r="Y226" s="68"/>
      <c r="Z226" s="68"/>
      <c r="AA226" s="76"/>
      <c r="AB226" s="76"/>
      <c r="AC226" s="69" t="str">
        <f t="shared" si="5"/>
        <v/>
      </c>
      <c r="AD226" s="69" t="str">
        <f t="shared" si="6"/>
        <v/>
      </c>
      <c r="AE226" s="70" t="str">
        <f t="shared" si="7"/>
        <v/>
      </c>
      <c r="AF226" s="71" t="str">
        <f t="shared" si="8"/>
        <v/>
      </c>
      <c r="AG226" s="69" t="str">
        <f t="shared" si="9"/>
        <v/>
      </c>
      <c r="AH226" s="69" t="str">
        <f t="shared" si="10"/>
        <v/>
      </c>
      <c r="AI226" s="69" t="str">
        <f t="shared" si="3"/>
        <v/>
      </c>
    </row>
    <row r="227">
      <c r="A227" s="56" t="str">
        <f t="shared" si="1"/>
        <v/>
      </c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80"/>
      <c r="P227" s="72"/>
      <c r="Q227" s="80"/>
      <c r="R227" s="63" t="str">
        <f t="shared" si="4"/>
        <v/>
      </c>
      <c r="S227" s="85" t="str">
        <f t="shared" si="2"/>
        <v/>
      </c>
      <c r="T227" s="76"/>
      <c r="U227" s="76"/>
      <c r="V227" s="76"/>
      <c r="W227" s="76"/>
      <c r="X227" s="75"/>
      <c r="Y227" s="68"/>
      <c r="Z227" s="68"/>
      <c r="AA227" s="76"/>
      <c r="AB227" s="76"/>
      <c r="AC227" s="69" t="str">
        <f t="shared" si="5"/>
        <v/>
      </c>
      <c r="AD227" s="69" t="str">
        <f t="shared" si="6"/>
        <v/>
      </c>
      <c r="AE227" s="70" t="str">
        <f t="shared" si="7"/>
        <v/>
      </c>
      <c r="AF227" s="71" t="str">
        <f t="shared" si="8"/>
        <v/>
      </c>
      <c r="AG227" s="69" t="str">
        <f t="shared" si="9"/>
        <v/>
      </c>
      <c r="AH227" s="69" t="str">
        <f t="shared" si="10"/>
        <v/>
      </c>
      <c r="AI227" s="69" t="str">
        <f t="shared" si="3"/>
        <v/>
      </c>
    </row>
    <row r="228">
      <c r="A228" s="56" t="str">
        <f t="shared" si="1"/>
        <v/>
      </c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80"/>
      <c r="P228" s="72"/>
      <c r="Q228" s="80"/>
      <c r="R228" s="63" t="str">
        <f t="shared" si="4"/>
        <v/>
      </c>
      <c r="S228" s="85" t="str">
        <f t="shared" si="2"/>
        <v/>
      </c>
      <c r="T228" s="76"/>
      <c r="U228" s="76"/>
      <c r="V228" s="76"/>
      <c r="W228" s="76"/>
      <c r="X228" s="75"/>
      <c r="Y228" s="68"/>
      <c r="Z228" s="68"/>
      <c r="AA228" s="76"/>
      <c r="AB228" s="76"/>
      <c r="AC228" s="69" t="str">
        <f t="shared" si="5"/>
        <v/>
      </c>
      <c r="AD228" s="69" t="str">
        <f t="shared" si="6"/>
        <v/>
      </c>
      <c r="AE228" s="70" t="str">
        <f t="shared" si="7"/>
        <v/>
      </c>
      <c r="AF228" s="71" t="str">
        <f t="shared" si="8"/>
        <v/>
      </c>
      <c r="AG228" s="69" t="str">
        <f t="shared" si="9"/>
        <v/>
      </c>
      <c r="AH228" s="69" t="str">
        <f t="shared" si="10"/>
        <v/>
      </c>
      <c r="AI228" s="69" t="str">
        <f t="shared" si="3"/>
        <v/>
      </c>
    </row>
    <row r="229">
      <c r="A229" s="56" t="str">
        <f t="shared" si="1"/>
        <v/>
      </c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80"/>
      <c r="P229" s="72"/>
      <c r="Q229" s="80"/>
      <c r="R229" s="63" t="str">
        <f t="shared" si="4"/>
        <v/>
      </c>
      <c r="S229" s="85" t="str">
        <f t="shared" si="2"/>
        <v/>
      </c>
      <c r="T229" s="76"/>
      <c r="U229" s="76"/>
      <c r="V229" s="76"/>
      <c r="W229" s="76"/>
      <c r="X229" s="75"/>
      <c r="Y229" s="68"/>
      <c r="Z229" s="68"/>
      <c r="AA229" s="76"/>
      <c r="AB229" s="76"/>
      <c r="AC229" s="69" t="str">
        <f t="shared" si="5"/>
        <v/>
      </c>
      <c r="AD229" s="69" t="str">
        <f t="shared" si="6"/>
        <v/>
      </c>
      <c r="AE229" s="70" t="str">
        <f t="shared" si="7"/>
        <v/>
      </c>
      <c r="AF229" s="71" t="str">
        <f t="shared" si="8"/>
        <v/>
      </c>
      <c r="AG229" s="69" t="str">
        <f t="shared" si="9"/>
        <v/>
      </c>
      <c r="AH229" s="69" t="str">
        <f t="shared" si="10"/>
        <v/>
      </c>
      <c r="AI229" s="69" t="str">
        <f t="shared" si="3"/>
        <v/>
      </c>
    </row>
    <row r="230">
      <c r="A230" s="56" t="str">
        <f t="shared" si="1"/>
        <v/>
      </c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80"/>
      <c r="P230" s="72"/>
      <c r="Q230" s="80"/>
      <c r="R230" s="63" t="str">
        <f t="shared" si="4"/>
        <v/>
      </c>
      <c r="S230" s="85" t="str">
        <f t="shared" si="2"/>
        <v/>
      </c>
      <c r="T230" s="76"/>
      <c r="U230" s="76"/>
      <c r="V230" s="76"/>
      <c r="W230" s="76"/>
      <c r="X230" s="75"/>
      <c r="Y230" s="68"/>
      <c r="Z230" s="68"/>
      <c r="AA230" s="76"/>
      <c r="AB230" s="76"/>
      <c r="AC230" s="69" t="str">
        <f t="shared" si="5"/>
        <v/>
      </c>
      <c r="AD230" s="69" t="str">
        <f t="shared" si="6"/>
        <v/>
      </c>
      <c r="AE230" s="70" t="str">
        <f t="shared" si="7"/>
        <v/>
      </c>
      <c r="AF230" s="71" t="str">
        <f t="shared" si="8"/>
        <v/>
      </c>
      <c r="AG230" s="69" t="str">
        <f t="shared" si="9"/>
        <v/>
      </c>
      <c r="AH230" s="69" t="str">
        <f t="shared" si="10"/>
        <v/>
      </c>
      <c r="AI230" s="69" t="str">
        <f t="shared" si="3"/>
        <v/>
      </c>
    </row>
    <row r="231">
      <c r="A231" s="56" t="str">
        <f t="shared" si="1"/>
        <v/>
      </c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80"/>
      <c r="P231" s="72"/>
      <c r="Q231" s="80"/>
      <c r="R231" s="63" t="str">
        <f t="shared" si="4"/>
        <v/>
      </c>
      <c r="S231" s="85" t="str">
        <f t="shared" si="2"/>
        <v/>
      </c>
      <c r="T231" s="76"/>
      <c r="U231" s="76"/>
      <c r="V231" s="76"/>
      <c r="W231" s="76"/>
      <c r="X231" s="75"/>
      <c r="Y231" s="68"/>
      <c r="Z231" s="68"/>
      <c r="AA231" s="76"/>
      <c r="AB231" s="76"/>
      <c r="AC231" s="69" t="str">
        <f t="shared" si="5"/>
        <v/>
      </c>
      <c r="AD231" s="69" t="str">
        <f t="shared" si="6"/>
        <v/>
      </c>
      <c r="AE231" s="70" t="str">
        <f t="shared" si="7"/>
        <v/>
      </c>
      <c r="AF231" s="71" t="str">
        <f t="shared" si="8"/>
        <v/>
      </c>
      <c r="AG231" s="69" t="str">
        <f t="shared" si="9"/>
        <v/>
      </c>
      <c r="AH231" s="69" t="str">
        <f t="shared" si="10"/>
        <v/>
      </c>
      <c r="AI231" s="69" t="str">
        <f t="shared" si="3"/>
        <v/>
      </c>
    </row>
    <row r="232">
      <c r="A232" s="56" t="str">
        <f t="shared" si="1"/>
        <v/>
      </c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80"/>
      <c r="P232" s="72"/>
      <c r="Q232" s="80"/>
      <c r="R232" s="63" t="str">
        <f t="shared" si="4"/>
        <v/>
      </c>
      <c r="S232" s="85" t="str">
        <f t="shared" si="2"/>
        <v/>
      </c>
      <c r="T232" s="76"/>
      <c r="U232" s="76"/>
      <c r="V232" s="76"/>
      <c r="W232" s="76"/>
      <c r="X232" s="75"/>
      <c r="Y232" s="68"/>
      <c r="Z232" s="68"/>
      <c r="AA232" s="76"/>
      <c r="AB232" s="76"/>
      <c r="AC232" s="69" t="str">
        <f t="shared" si="5"/>
        <v/>
      </c>
      <c r="AD232" s="69" t="str">
        <f t="shared" si="6"/>
        <v/>
      </c>
      <c r="AE232" s="70" t="str">
        <f t="shared" si="7"/>
        <v/>
      </c>
      <c r="AF232" s="71" t="str">
        <f t="shared" si="8"/>
        <v/>
      </c>
      <c r="AG232" s="69" t="str">
        <f t="shared" si="9"/>
        <v/>
      </c>
      <c r="AH232" s="69" t="str">
        <f t="shared" si="10"/>
        <v/>
      </c>
      <c r="AI232" s="69" t="str">
        <f t="shared" si="3"/>
        <v/>
      </c>
    </row>
    <row r="233">
      <c r="A233" s="56" t="str">
        <f t="shared" si="1"/>
        <v/>
      </c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80"/>
      <c r="P233" s="72"/>
      <c r="Q233" s="80"/>
      <c r="R233" s="63" t="str">
        <f t="shared" si="4"/>
        <v/>
      </c>
      <c r="S233" s="85" t="str">
        <f t="shared" si="2"/>
        <v/>
      </c>
      <c r="T233" s="76"/>
      <c r="U233" s="76"/>
      <c r="V233" s="76"/>
      <c r="W233" s="76"/>
      <c r="X233" s="75"/>
      <c r="Y233" s="68"/>
      <c r="Z233" s="68"/>
      <c r="AA233" s="76"/>
      <c r="AB233" s="76"/>
      <c r="AC233" s="69" t="str">
        <f t="shared" si="5"/>
        <v/>
      </c>
      <c r="AD233" s="69" t="str">
        <f t="shared" si="6"/>
        <v/>
      </c>
      <c r="AE233" s="70" t="str">
        <f t="shared" si="7"/>
        <v/>
      </c>
      <c r="AF233" s="71" t="str">
        <f t="shared" si="8"/>
        <v/>
      </c>
      <c r="AG233" s="69" t="str">
        <f t="shared" si="9"/>
        <v/>
      </c>
      <c r="AH233" s="69" t="str">
        <f t="shared" si="10"/>
        <v/>
      </c>
      <c r="AI233" s="69" t="str">
        <f t="shared" si="3"/>
        <v/>
      </c>
    </row>
    <row r="234">
      <c r="A234" s="56" t="str">
        <f t="shared" si="1"/>
        <v/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80"/>
      <c r="P234" s="72"/>
      <c r="Q234" s="80"/>
      <c r="R234" s="63" t="str">
        <f t="shared" si="4"/>
        <v/>
      </c>
      <c r="S234" s="85" t="str">
        <f t="shared" si="2"/>
        <v/>
      </c>
      <c r="T234" s="76"/>
      <c r="U234" s="76"/>
      <c r="V234" s="76"/>
      <c r="W234" s="76"/>
      <c r="X234" s="75"/>
      <c r="Y234" s="68"/>
      <c r="Z234" s="68"/>
      <c r="AA234" s="76"/>
      <c r="AB234" s="76"/>
      <c r="AC234" s="69" t="str">
        <f t="shared" si="5"/>
        <v/>
      </c>
      <c r="AD234" s="69" t="str">
        <f t="shared" si="6"/>
        <v/>
      </c>
      <c r="AE234" s="70" t="str">
        <f t="shared" si="7"/>
        <v/>
      </c>
      <c r="AF234" s="71" t="str">
        <f t="shared" si="8"/>
        <v/>
      </c>
      <c r="AG234" s="69" t="str">
        <f t="shared" si="9"/>
        <v/>
      </c>
      <c r="AH234" s="69" t="str">
        <f t="shared" si="10"/>
        <v/>
      </c>
      <c r="AI234" s="69" t="str">
        <f t="shared" si="3"/>
        <v/>
      </c>
    </row>
    <row r="235">
      <c r="A235" s="56" t="str">
        <f t="shared" si="1"/>
        <v/>
      </c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80"/>
      <c r="P235" s="72"/>
      <c r="Q235" s="80"/>
      <c r="R235" s="63" t="str">
        <f t="shared" si="4"/>
        <v/>
      </c>
      <c r="S235" s="85" t="str">
        <f t="shared" si="2"/>
        <v/>
      </c>
      <c r="T235" s="76"/>
      <c r="U235" s="76"/>
      <c r="V235" s="76"/>
      <c r="W235" s="76"/>
      <c r="X235" s="75"/>
      <c r="Y235" s="68"/>
      <c r="Z235" s="68"/>
      <c r="AA235" s="76"/>
      <c r="AB235" s="76"/>
      <c r="AC235" s="69" t="str">
        <f t="shared" si="5"/>
        <v/>
      </c>
      <c r="AD235" s="69" t="str">
        <f t="shared" si="6"/>
        <v/>
      </c>
      <c r="AE235" s="70" t="str">
        <f t="shared" si="7"/>
        <v/>
      </c>
      <c r="AF235" s="71" t="str">
        <f t="shared" si="8"/>
        <v/>
      </c>
      <c r="AG235" s="69" t="str">
        <f t="shared" si="9"/>
        <v/>
      </c>
      <c r="AH235" s="69" t="str">
        <f t="shared" si="10"/>
        <v/>
      </c>
      <c r="AI235" s="69" t="str">
        <f t="shared" si="3"/>
        <v/>
      </c>
    </row>
    <row r="236">
      <c r="A236" s="56" t="str">
        <f t="shared" si="1"/>
        <v/>
      </c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80"/>
      <c r="P236" s="72"/>
      <c r="Q236" s="80"/>
      <c r="R236" s="63" t="str">
        <f t="shared" si="4"/>
        <v/>
      </c>
      <c r="S236" s="85" t="str">
        <f t="shared" si="2"/>
        <v/>
      </c>
      <c r="T236" s="76"/>
      <c r="U236" s="76"/>
      <c r="V236" s="76"/>
      <c r="W236" s="76"/>
      <c r="X236" s="75"/>
      <c r="Y236" s="68"/>
      <c r="Z236" s="68"/>
      <c r="AA236" s="76"/>
      <c r="AB236" s="76"/>
      <c r="AC236" s="69" t="str">
        <f t="shared" si="5"/>
        <v/>
      </c>
      <c r="AD236" s="69" t="str">
        <f t="shared" si="6"/>
        <v/>
      </c>
      <c r="AE236" s="70" t="str">
        <f t="shared" si="7"/>
        <v/>
      </c>
      <c r="AF236" s="71" t="str">
        <f t="shared" si="8"/>
        <v/>
      </c>
      <c r="AG236" s="69" t="str">
        <f t="shared" si="9"/>
        <v/>
      </c>
      <c r="AH236" s="69" t="str">
        <f t="shared" si="10"/>
        <v/>
      </c>
      <c r="AI236" s="69" t="str">
        <f t="shared" si="3"/>
        <v/>
      </c>
    </row>
    <row r="237">
      <c r="A237" s="56" t="str">
        <f t="shared" si="1"/>
        <v/>
      </c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80"/>
      <c r="P237" s="72"/>
      <c r="Q237" s="80"/>
      <c r="R237" s="63" t="str">
        <f t="shared" si="4"/>
        <v/>
      </c>
      <c r="S237" s="85" t="str">
        <f t="shared" si="2"/>
        <v/>
      </c>
      <c r="T237" s="76"/>
      <c r="U237" s="76"/>
      <c r="V237" s="76"/>
      <c r="W237" s="76"/>
      <c r="X237" s="75"/>
      <c r="Y237" s="68"/>
      <c r="Z237" s="68"/>
      <c r="AA237" s="76"/>
      <c r="AB237" s="76"/>
      <c r="AC237" s="69" t="str">
        <f t="shared" si="5"/>
        <v/>
      </c>
      <c r="AD237" s="69" t="str">
        <f t="shared" si="6"/>
        <v/>
      </c>
      <c r="AE237" s="70" t="str">
        <f t="shared" si="7"/>
        <v/>
      </c>
      <c r="AF237" s="71" t="str">
        <f t="shared" si="8"/>
        <v/>
      </c>
      <c r="AG237" s="69" t="str">
        <f t="shared" si="9"/>
        <v/>
      </c>
      <c r="AH237" s="69" t="str">
        <f t="shared" si="10"/>
        <v/>
      </c>
      <c r="AI237" s="69" t="str">
        <f t="shared" si="3"/>
        <v/>
      </c>
    </row>
    <row r="238">
      <c r="A238" s="56" t="str">
        <f t="shared" si="1"/>
        <v/>
      </c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80"/>
      <c r="P238" s="72"/>
      <c r="Q238" s="80"/>
      <c r="R238" s="63" t="str">
        <f t="shared" si="4"/>
        <v/>
      </c>
      <c r="S238" s="85" t="str">
        <f t="shared" si="2"/>
        <v/>
      </c>
      <c r="T238" s="76"/>
      <c r="U238" s="76"/>
      <c r="V238" s="76"/>
      <c r="W238" s="76"/>
      <c r="X238" s="75"/>
      <c r="Y238" s="68"/>
      <c r="Z238" s="68"/>
      <c r="AA238" s="76"/>
      <c r="AB238" s="76"/>
      <c r="AC238" s="69" t="str">
        <f t="shared" si="5"/>
        <v/>
      </c>
      <c r="AD238" s="69" t="str">
        <f t="shared" si="6"/>
        <v/>
      </c>
      <c r="AE238" s="70" t="str">
        <f t="shared" si="7"/>
        <v/>
      </c>
      <c r="AF238" s="71" t="str">
        <f t="shared" si="8"/>
        <v/>
      </c>
      <c r="AG238" s="69" t="str">
        <f t="shared" si="9"/>
        <v/>
      </c>
      <c r="AH238" s="69" t="str">
        <f t="shared" si="10"/>
        <v/>
      </c>
      <c r="AI238" s="69" t="str">
        <f t="shared" si="3"/>
        <v/>
      </c>
    </row>
    <row r="239">
      <c r="A239" s="56" t="str">
        <f t="shared" si="1"/>
        <v/>
      </c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80"/>
      <c r="P239" s="72"/>
      <c r="Q239" s="80"/>
      <c r="R239" s="63" t="str">
        <f t="shared" si="4"/>
        <v/>
      </c>
      <c r="S239" s="85" t="str">
        <f t="shared" si="2"/>
        <v/>
      </c>
      <c r="T239" s="76"/>
      <c r="U239" s="76"/>
      <c r="V239" s="76"/>
      <c r="W239" s="76"/>
      <c r="X239" s="75"/>
      <c r="Y239" s="68"/>
      <c r="Z239" s="68"/>
      <c r="AA239" s="76"/>
      <c r="AB239" s="76"/>
      <c r="AC239" s="69" t="str">
        <f t="shared" si="5"/>
        <v/>
      </c>
      <c r="AD239" s="69" t="str">
        <f t="shared" si="6"/>
        <v/>
      </c>
      <c r="AE239" s="70" t="str">
        <f t="shared" si="7"/>
        <v/>
      </c>
      <c r="AF239" s="71" t="str">
        <f t="shared" si="8"/>
        <v/>
      </c>
      <c r="AG239" s="69" t="str">
        <f t="shared" si="9"/>
        <v/>
      </c>
      <c r="AH239" s="69" t="str">
        <f t="shared" si="10"/>
        <v/>
      </c>
      <c r="AI239" s="69" t="str">
        <f t="shared" si="3"/>
        <v/>
      </c>
    </row>
    <row r="240">
      <c r="A240" s="56" t="str">
        <f t="shared" si="1"/>
        <v/>
      </c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80"/>
      <c r="P240" s="72"/>
      <c r="Q240" s="80"/>
      <c r="R240" s="63" t="str">
        <f t="shared" si="4"/>
        <v/>
      </c>
      <c r="S240" s="85" t="str">
        <f t="shared" si="2"/>
        <v/>
      </c>
      <c r="T240" s="76"/>
      <c r="U240" s="76"/>
      <c r="V240" s="76"/>
      <c r="W240" s="76"/>
      <c r="X240" s="75"/>
      <c r="Y240" s="68"/>
      <c r="Z240" s="68"/>
      <c r="AA240" s="76"/>
      <c r="AB240" s="76"/>
      <c r="AC240" s="69" t="str">
        <f t="shared" si="5"/>
        <v/>
      </c>
      <c r="AD240" s="69" t="str">
        <f t="shared" si="6"/>
        <v/>
      </c>
      <c r="AE240" s="70" t="str">
        <f t="shared" si="7"/>
        <v/>
      </c>
      <c r="AF240" s="71" t="str">
        <f t="shared" si="8"/>
        <v/>
      </c>
      <c r="AG240" s="69" t="str">
        <f t="shared" si="9"/>
        <v/>
      </c>
      <c r="AH240" s="69" t="str">
        <f t="shared" si="10"/>
        <v/>
      </c>
      <c r="AI240" s="69" t="str">
        <f t="shared" si="3"/>
        <v/>
      </c>
    </row>
    <row r="241">
      <c r="A241" s="56" t="str">
        <f t="shared" si="1"/>
        <v/>
      </c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80"/>
      <c r="P241" s="72"/>
      <c r="Q241" s="80"/>
      <c r="R241" s="63" t="str">
        <f t="shared" si="4"/>
        <v/>
      </c>
      <c r="S241" s="85" t="str">
        <f t="shared" si="2"/>
        <v/>
      </c>
      <c r="T241" s="76"/>
      <c r="U241" s="76"/>
      <c r="V241" s="76"/>
      <c r="W241" s="76"/>
      <c r="X241" s="75"/>
      <c r="Y241" s="68"/>
      <c r="Z241" s="68"/>
      <c r="AA241" s="76"/>
      <c r="AB241" s="76"/>
      <c r="AC241" s="69" t="str">
        <f t="shared" si="5"/>
        <v/>
      </c>
      <c r="AD241" s="69" t="str">
        <f t="shared" si="6"/>
        <v/>
      </c>
      <c r="AE241" s="70" t="str">
        <f t="shared" si="7"/>
        <v/>
      </c>
      <c r="AF241" s="71" t="str">
        <f t="shared" si="8"/>
        <v/>
      </c>
      <c r="AG241" s="69" t="str">
        <f t="shared" si="9"/>
        <v/>
      </c>
      <c r="AH241" s="69" t="str">
        <f t="shared" si="10"/>
        <v/>
      </c>
      <c r="AI241" s="69" t="str">
        <f t="shared" si="3"/>
        <v/>
      </c>
    </row>
    <row r="242">
      <c r="A242" s="56" t="str">
        <f t="shared" si="1"/>
        <v/>
      </c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80"/>
      <c r="P242" s="72"/>
      <c r="Q242" s="80"/>
      <c r="R242" s="63" t="str">
        <f t="shared" si="4"/>
        <v/>
      </c>
      <c r="S242" s="85" t="str">
        <f t="shared" si="2"/>
        <v/>
      </c>
      <c r="T242" s="76"/>
      <c r="U242" s="76"/>
      <c r="V242" s="76"/>
      <c r="W242" s="76"/>
      <c r="X242" s="75"/>
      <c r="Y242" s="68"/>
      <c r="Z242" s="68"/>
      <c r="AA242" s="76"/>
      <c r="AB242" s="76"/>
      <c r="AC242" s="69" t="str">
        <f t="shared" si="5"/>
        <v/>
      </c>
      <c r="AD242" s="69" t="str">
        <f t="shared" si="6"/>
        <v/>
      </c>
      <c r="AE242" s="70" t="str">
        <f t="shared" si="7"/>
        <v/>
      </c>
      <c r="AF242" s="71" t="str">
        <f t="shared" si="8"/>
        <v/>
      </c>
      <c r="AG242" s="69" t="str">
        <f t="shared" si="9"/>
        <v/>
      </c>
      <c r="AH242" s="69" t="str">
        <f t="shared" si="10"/>
        <v/>
      </c>
      <c r="AI242" s="69" t="str">
        <f t="shared" si="3"/>
        <v/>
      </c>
    </row>
    <row r="243">
      <c r="A243" s="56" t="str">
        <f t="shared" si="1"/>
        <v/>
      </c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80"/>
      <c r="P243" s="72"/>
      <c r="Q243" s="80"/>
      <c r="R243" s="63" t="str">
        <f t="shared" si="4"/>
        <v/>
      </c>
      <c r="S243" s="85" t="str">
        <f t="shared" si="2"/>
        <v/>
      </c>
      <c r="T243" s="76"/>
      <c r="U243" s="76"/>
      <c r="V243" s="76"/>
      <c r="W243" s="76"/>
      <c r="X243" s="75"/>
      <c r="Y243" s="68"/>
      <c r="Z243" s="68"/>
      <c r="AA243" s="76"/>
      <c r="AB243" s="76"/>
      <c r="AC243" s="69" t="str">
        <f t="shared" si="5"/>
        <v/>
      </c>
      <c r="AD243" s="69" t="str">
        <f t="shared" si="6"/>
        <v/>
      </c>
      <c r="AE243" s="70" t="str">
        <f t="shared" si="7"/>
        <v/>
      </c>
      <c r="AF243" s="71" t="str">
        <f t="shared" si="8"/>
        <v/>
      </c>
      <c r="AG243" s="69" t="str">
        <f t="shared" si="9"/>
        <v/>
      </c>
      <c r="AH243" s="69" t="str">
        <f t="shared" si="10"/>
        <v/>
      </c>
      <c r="AI243" s="69" t="str">
        <f t="shared" si="3"/>
        <v/>
      </c>
    </row>
    <row r="244">
      <c r="A244" s="56" t="str">
        <f t="shared" si="1"/>
        <v/>
      </c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80"/>
      <c r="P244" s="72"/>
      <c r="Q244" s="80"/>
      <c r="R244" s="63" t="str">
        <f t="shared" si="4"/>
        <v/>
      </c>
      <c r="S244" s="85" t="str">
        <f t="shared" si="2"/>
        <v/>
      </c>
      <c r="T244" s="76"/>
      <c r="U244" s="76"/>
      <c r="V244" s="76"/>
      <c r="W244" s="76"/>
      <c r="X244" s="75"/>
      <c r="Y244" s="68"/>
      <c r="Z244" s="68"/>
      <c r="AA244" s="76"/>
      <c r="AB244" s="76"/>
      <c r="AC244" s="69" t="str">
        <f t="shared" si="5"/>
        <v/>
      </c>
      <c r="AD244" s="69" t="str">
        <f t="shared" si="6"/>
        <v/>
      </c>
      <c r="AE244" s="70" t="str">
        <f t="shared" si="7"/>
        <v/>
      </c>
      <c r="AF244" s="71" t="str">
        <f t="shared" si="8"/>
        <v/>
      </c>
      <c r="AG244" s="69" t="str">
        <f t="shared" si="9"/>
        <v/>
      </c>
      <c r="AH244" s="69" t="str">
        <f t="shared" si="10"/>
        <v/>
      </c>
      <c r="AI244" s="69" t="str">
        <f t="shared" si="3"/>
        <v/>
      </c>
    </row>
    <row r="245">
      <c r="A245" s="56" t="str">
        <f t="shared" si="1"/>
        <v/>
      </c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80"/>
      <c r="P245" s="72"/>
      <c r="Q245" s="80"/>
      <c r="R245" s="63" t="str">
        <f t="shared" si="4"/>
        <v/>
      </c>
      <c r="S245" s="85" t="str">
        <f t="shared" si="2"/>
        <v/>
      </c>
      <c r="T245" s="76"/>
      <c r="U245" s="76"/>
      <c r="V245" s="76"/>
      <c r="W245" s="76"/>
      <c r="X245" s="75"/>
      <c r="Y245" s="68"/>
      <c r="Z245" s="68"/>
      <c r="AA245" s="76"/>
      <c r="AB245" s="76"/>
      <c r="AC245" s="69" t="str">
        <f t="shared" si="5"/>
        <v/>
      </c>
      <c r="AD245" s="69" t="str">
        <f t="shared" si="6"/>
        <v/>
      </c>
      <c r="AE245" s="70" t="str">
        <f t="shared" si="7"/>
        <v/>
      </c>
      <c r="AF245" s="71" t="str">
        <f t="shared" si="8"/>
        <v/>
      </c>
      <c r="AG245" s="69" t="str">
        <f t="shared" si="9"/>
        <v/>
      </c>
      <c r="AH245" s="69" t="str">
        <f t="shared" si="10"/>
        <v/>
      </c>
      <c r="AI245" s="69" t="str">
        <f t="shared" si="3"/>
        <v/>
      </c>
    </row>
    <row r="246">
      <c r="A246" s="56" t="str">
        <f t="shared" si="1"/>
        <v/>
      </c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80"/>
      <c r="P246" s="72"/>
      <c r="Q246" s="80"/>
      <c r="R246" s="63" t="str">
        <f t="shared" si="4"/>
        <v/>
      </c>
      <c r="S246" s="85" t="str">
        <f t="shared" si="2"/>
        <v/>
      </c>
      <c r="T246" s="76"/>
      <c r="U246" s="76"/>
      <c r="V246" s="76"/>
      <c r="W246" s="76"/>
      <c r="X246" s="75"/>
      <c r="Y246" s="68"/>
      <c r="Z246" s="68"/>
      <c r="AA246" s="76"/>
      <c r="AB246" s="76"/>
      <c r="AC246" s="69" t="str">
        <f t="shared" si="5"/>
        <v/>
      </c>
      <c r="AD246" s="69" t="str">
        <f t="shared" si="6"/>
        <v/>
      </c>
      <c r="AE246" s="70" t="str">
        <f t="shared" si="7"/>
        <v/>
      </c>
      <c r="AF246" s="71" t="str">
        <f t="shared" si="8"/>
        <v/>
      </c>
      <c r="AG246" s="69" t="str">
        <f t="shared" si="9"/>
        <v/>
      </c>
      <c r="AH246" s="69" t="str">
        <f t="shared" si="10"/>
        <v/>
      </c>
      <c r="AI246" s="69" t="str">
        <f t="shared" si="3"/>
        <v/>
      </c>
    </row>
    <row r="247">
      <c r="A247" s="56" t="str">
        <f t="shared" si="1"/>
        <v/>
      </c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80"/>
      <c r="P247" s="72"/>
      <c r="Q247" s="80"/>
      <c r="R247" s="63" t="str">
        <f t="shared" si="4"/>
        <v/>
      </c>
      <c r="S247" s="85" t="str">
        <f t="shared" si="2"/>
        <v/>
      </c>
      <c r="T247" s="76"/>
      <c r="U247" s="76"/>
      <c r="V247" s="76"/>
      <c r="W247" s="76"/>
      <c r="X247" s="75"/>
      <c r="Y247" s="68"/>
      <c r="Z247" s="68"/>
      <c r="AA247" s="76"/>
      <c r="AB247" s="76"/>
      <c r="AC247" s="69" t="str">
        <f t="shared" si="5"/>
        <v/>
      </c>
      <c r="AD247" s="69" t="str">
        <f t="shared" si="6"/>
        <v/>
      </c>
      <c r="AE247" s="70" t="str">
        <f t="shared" si="7"/>
        <v/>
      </c>
      <c r="AF247" s="71" t="str">
        <f t="shared" si="8"/>
        <v/>
      </c>
      <c r="AG247" s="69" t="str">
        <f t="shared" si="9"/>
        <v/>
      </c>
      <c r="AH247" s="69" t="str">
        <f t="shared" si="10"/>
        <v/>
      </c>
      <c r="AI247" s="69" t="str">
        <f t="shared" si="3"/>
        <v/>
      </c>
    </row>
    <row r="248">
      <c r="A248" s="56" t="str">
        <f t="shared" si="1"/>
        <v/>
      </c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80"/>
      <c r="P248" s="72"/>
      <c r="Q248" s="80"/>
      <c r="R248" s="63" t="str">
        <f t="shared" si="4"/>
        <v/>
      </c>
      <c r="S248" s="85" t="str">
        <f t="shared" si="2"/>
        <v/>
      </c>
      <c r="T248" s="76"/>
      <c r="U248" s="76"/>
      <c r="V248" s="76"/>
      <c r="W248" s="76"/>
      <c r="X248" s="75"/>
      <c r="Y248" s="68"/>
      <c r="Z248" s="68"/>
      <c r="AA248" s="76"/>
      <c r="AB248" s="76"/>
      <c r="AC248" s="69" t="str">
        <f t="shared" si="5"/>
        <v/>
      </c>
      <c r="AD248" s="69" t="str">
        <f t="shared" si="6"/>
        <v/>
      </c>
      <c r="AE248" s="70" t="str">
        <f t="shared" si="7"/>
        <v/>
      </c>
      <c r="AF248" s="71" t="str">
        <f t="shared" si="8"/>
        <v/>
      </c>
      <c r="AG248" s="69" t="str">
        <f t="shared" si="9"/>
        <v/>
      </c>
      <c r="AH248" s="69" t="str">
        <f t="shared" si="10"/>
        <v/>
      </c>
      <c r="AI248" s="69" t="str">
        <f t="shared" si="3"/>
        <v/>
      </c>
    </row>
    <row r="249">
      <c r="A249" s="56" t="str">
        <f t="shared" si="1"/>
        <v/>
      </c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80"/>
      <c r="P249" s="72"/>
      <c r="Q249" s="80"/>
      <c r="R249" s="63" t="str">
        <f t="shared" si="4"/>
        <v/>
      </c>
      <c r="S249" s="85" t="str">
        <f t="shared" si="2"/>
        <v/>
      </c>
      <c r="T249" s="76"/>
      <c r="U249" s="76"/>
      <c r="V249" s="76"/>
      <c r="W249" s="76"/>
      <c r="X249" s="75"/>
      <c r="Y249" s="68"/>
      <c r="Z249" s="68"/>
      <c r="AA249" s="76"/>
      <c r="AB249" s="76"/>
      <c r="AC249" s="69" t="str">
        <f t="shared" si="5"/>
        <v/>
      </c>
      <c r="AD249" s="69" t="str">
        <f t="shared" si="6"/>
        <v/>
      </c>
      <c r="AE249" s="70" t="str">
        <f t="shared" si="7"/>
        <v/>
      </c>
      <c r="AF249" s="71" t="str">
        <f t="shared" si="8"/>
        <v/>
      </c>
      <c r="AG249" s="69" t="str">
        <f t="shared" si="9"/>
        <v/>
      </c>
      <c r="AH249" s="69" t="str">
        <f t="shared" si="10"/>
        <v/>
      </c>
      <c r="AI249" s="69" t="str">
        <f t="shared" si="3"/>
        <v/>
      </c>
    </row>
    <row r="250">
      <c r="A250" s="56" t="str">
        <f t="shared" si="1"/>
        <v/>
      </c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80"/>
      <c r="P250" s="72"/>
      <c r="Q250" s="80"/>
      <c r="R250" s="63" t="str">
        <f t="shared" si="4"/>
        <v/>
      </c>
      <c r="S250" s="85" t="str">
        <f t="shared" si="2"/>
        <v/>
      </c>
      <c r="T250" s="76"/>
      <c r="U250" s="76"/>
      <c r="V250" s="76"/>
      <c r="W250" s="76"/>
      <c r="X250" s="75"/>
      <c r="Y250" s="68"/>
      <c r="Z250" s="68"/>
      <c r="AA250" s="76"/>
      <c r="AB250" s="76"/>
      <c r="AC250" s="69" t="str">
        <f t="shared" si="5"/>
        <v/>
      </c>
      <c r="AD250" s="69" t="str">
        <f t="shared" si="6"/>
        <v/>
      </c>
      <c r="AE250" s="70" t="str">
        <f t="shared" si="7"/>
        <v/>
      </c>
      <c r="AF250" s="71" t="str">
        <f t="shared" si="8"/>
        <v/>
      </c>
      <c r="AG250" s="69" t="str">
        <f t="shared" si="9"/>
        <v/>
      </c>
      <c r="AH250" s="69" t="str">
        <f t="shared" si="10"/>
        <v/>
      </c>
      <c r="AI250" s="69" t="str">
        <f t="shared" si="3"/>
        <v/>
      </c>
    </row>
    <row r="251">
      <c r="A251" s="56" t="str">
        <f t="shared" si="1"/>
        <v/>
      </c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80"/>
      <c r="P251" s="72"/>
      <c r="Q251" s="80"/>
      <c r="R251" s="63" t="str">
        <f t="shared" si="4"/>
        <v/>
      </c>
      <c r="S251" s="85" t="str">
        <f t="shared" si="2"/>
        <v/>
      </c>
      <c r="T251" s="76"/>
      <c r="U251" s="76"/>
      <c r="V251" s="76"/>
      <c r="W251" s="76"/>
      <c r="X251" s="75"/>
      <c r="Y251" s="68"/>
      <c r="Z251" s="68"/>
      <c r="AA251" s="76"/>
      <c r="AB251" s="76"/>
      <c r="AC251" s="69" t="str">
        <f t="shared" si="5"/>
        <v/>
      </c>
      <c r="AD251" s="69" t="str">
        <f t="shared" si="6"/>
        <v/>
      </c>
      <c r="AE251" s="70" t="str">
        <f t="shared" si="7"/>
        <v/>
      </c>
      <c r="AF251" s="71" t="str">
        <f t="shared" si="8"/>
        <v/>
      </c>
      <c r="AG251" s="69" t="str">
        <f t="shared" si="9"/>
        <v/>
      </c>
      <c r="AH251" s="69" t="str">
        <f t="shared" si="10"/>
        <v/>
      </c>
      <c r="AI251" s="69" t="str">
        <f t="shared" si="3"/>
        <v/>
      </c>
    </row>
    <row r="252">
      <c r="A252" s="56" t="str">
        <f t="shared" si="1"/>
        <v/>
      </c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80"/>
      <c r="P252" s="72"/>
      <c r="Q252" s="80"/>
      <c r="R252" s="63" t="str">
        <f t="shared" si="4"/>
        <v/>
      </c>
      <c r="S252" s="85" t="str">
        <f t="shared" si="2"/>
        <v/>
      </c>
      <c r="T252" s="76"/>
      <c r="U252" s="76"/>
      <c r="V252" s="76"/>
      <c r="W252" s="76"/>
      <c r="X252" s="75"/>
      <c r="Y252" s="68"/>
      <c r="Z252" s="68"/>
      <c r="AA252" s="76"/>
      <c r="AB252" s="76"/>
      <c r="AC252" s="69" t="str">
        <f t="shared" si="5"/>
        <v/>
      </c>
      <c r="AD252" s="69" t="str">
        <f t="shared" si="6"/>
        <v/>
      </c>
      <c r="AE252" s="70" t="str">
        <f t="shared" si="7"/>
        <v/>
      </c>
      <c r="AF252" s="71" t="str">
        <f t="shared" si="8"/>
        <v/>
      </c>
      <c r="AG252" s="69" t="str">
        <f t="shared" si="9"/>
        <v/>
      </c>
      <c r="AH252" s="69" t="str">
        <f t="shared" si="10"/>
        <v/>
      </c>
      <c r="AI252" s="69" t="str">
        <f t="shared" si="3"/>
        <v/>
      </c>
    </row>
    <row r="253">
      <c r="A253" s="56" t="str">
        <f t="shared" si="1"/>
        <v/>
      </c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80"/>
      <c r="P253" s="72"/>
      <c r="Q253" s="80"/>
      <c r="R253" s="63" t="str">
        <f t="shared" si="4"/>
        <v/>
      </c>
      <c r="S253" s="85" t="str">
        <f t="shared" si="2"/>
        <v/>
      </c>
      <c r="T253" s="76"/>
      <c r="U253" s="76"/>
      <c r="V253" s="76"/>
      <c r="W253" s="76"/>
      <c r="X253" s="75"/>
      <c r="Y253" s="68"/>
      <c r="Z253" s="68"/>
      <c r="AA253" s="76"/>
      <c r="AB253" s="76"/>
      <c r="AC253" s="69" t="str">
        <f t="shared" si="5"/>
        <v/>
      </c>
      <c r="AD253" s="69" t="str">
        <f t="shared" si="6"/>
        <v/>
      </c>
      <c r="AE253" s="70" t="str">
        <f t="shared" si="7"/>
        <v/>
      </c>
      <c r="AF253" s="71" t="str">
        <f t="shared" si="8"/>
        <v/>
      </c>
      <c r="AG253" s="69" t="str">
        <f t="shared" si="9"/>
        <v/>
      </c>
      <c r="AH253" s="69" t="str">
        <f t="shared" si="10"/>
        <v/>
      </c>
      <c r="AI253" s="69" t="str">
        <f t="shared" si="3"/>
        <v/>
      </c>
    </row>
    <row r="254">
      <c r="A254" s="56" t="str">
        <f t="shared" si="1"/>
        <v/>
      </c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80"/>
      <c r="P254" s="72"/>
      <c r="Q254" s="80"/>
      <c r="R254" s="63" t="str">
        <f t="shared" si="4"/>
        <v/>
      </c>
      <c r="S254" s="85" t="str">
        <f t="shared" si="2"/>
        <v/>
      </c>
      <c r="T254" s="76"/>
      <c r="U254" s="76"/>
      <c r="V254" s="76"/>
      <c r="W254" s="76"/>
      <c r="X254" s="75"/>
      <c r="Y254" s="68"/>
      <c r="Z254" s="68"/>
      <c r="AA254" s="76"/>
      <c r="AB254" s="76"/>
      <c r="AC254" s="69" t="str">
        <f t="shared" si="5"/>
        <v/>
      </c>
      <c r="AD254" s="69" t="str">
        <f t="shared" si="6"/>
        <v/>
      </c>
      <c r="AE254" s="70" t="str">
        <f t="shared" si="7"/>
        <v/>
      </c>
      <c r="AF254" s="71" t="str">
        <f t="shared" si="8"/>
        <v/>
      </c>
      <c r="AG254" s="69" t="str">
        <f t="shared" si="9"/>
        <v/>
      </c>
      <c r="AH254" s="69" t="str">
        <f t="shared" si="10"/>
        <v/>
      </c>
      <c r="AI254" s="69" t="str">
        <f t="shared" si="3"/>
        <v/>
      </c>
    </row>
    <row r="255">
      <c r="A255" s="56" t="str">
        <f t="shared" si="1"/>
        <v/>
      </c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80"/>
      <c r="P255" s="72"/>
      <c r="Q255" s="80"/>
      <c r="R255" s="63" t="str">
        <f t="shared" si="4"/>
        <v/>
      </c>
      <c r="S255" s="85" t="str">
        <f t="shared" si="2"/>
        <v/>
      </c>
      <c r="T255" s="76"/>
      <c r="U255" s="76"/>
      <c r="V255" s="76"/>
      <c r="W255" s="76"/>
      <c r="X255" s="75"/>
      <c r="Y255" s="68"/>
      <c r="Z255" s="68"/>
      <c r="AA255" s="76"/>
      <c r="AB255" s="76"/>
      <c r="AC255" s="69" t="str">
        <f t="shared" si="5"/>
        <v/>
      </c>
      <c r="AD255" s="69" t="str">
        <f t="shared" si="6"/>
        <v/>
      </c>
      <c r="AE255" s="70" t="str">
        <f t="shared" si="7"/>
        <v/>
      </c>
      <c r="AF255" s="71" t="str">
        <f t="shared" si="8"/>
        <v/>
      </c>
      <c r="AG255" s="69" t="str">
        <f t="shared" si="9"/>
        <v/>
      </c>
      <c r="AH255" s="69" t="str">
        <f t="shared" si="10"/>
        <v/>
      </c>
      <c r="AI255" s="69" t="str">
        <f t="shared" si="3"/>
        <v/>
      </c>
    </row>
    <row r="256">
      <c r="A256" s="56" t="str">
        <f t="shared" si="1"/>
        <v/>
      </c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80"/>
      <c r="P256" s="72"/>
      <c r="Q256" s="80"/>
      <c r="R256" s="63" t="str">
        <f t="shared" si="4"/>
        <v/>
      </c>
      <c r="S256" s="85" t="str">
        <f t="shared" si="2"/>
        <v/>
      </c>
      <c r="T256" s="76"/>
      <c r="U256" s="76"/>
      <c r="V256" s="76"/>
      <c r="W256" s="76"/>
      <c r="X256" s="75"/>
      <c r="Y256" s="68"/>
      <c r="Z256" s="68"/>
      <c r="AA256" s="76"/>
      <c r="AB256" s="76"/>
      <c r="AC256" s="69" t="str">
        <f t="shared" si="5"/>
        <v/>
      </c>
      <c r="AD256" s="69" t="str">
        <f t="shared" si="6"/>
        <v/>
      </c>
      <c r="AE256" s="70" t="str">
        <f t="shared" si="7"/>
        <v/>
      </c>
      <c r="AF256" s="71" t="str">
        <f t="shared" si="8"/>
        <v/>
      </c>
      <c r="AG256" s="69" t="str">
        <f t="shared" si="9"/>
        <v/>
      </c>
      <c r="AH256" s="69" t="str">
        <f t="shared" si="10"/>
        <v/>
      </c>
      <c r="AI256" s="69" t="str">
        <f t="shared" si="3"/>
        <v/>
      </c>
    </row>
    <row r="257">
      <c r="A257" s="56" t="str">
        <f t="shared" si="1"/>
        <v/>
      </c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80"/>
      <c r="P257" s="72"/>
      <c r="Q257" s="80"/>
      <c r="R257" s="63" t="str">
        <f t="shared" si="4"/>
        <v/>
      </c>
      <c r="S257" s="85" t="str">
        <f t="shared" si="2"/>
        <v/>
      </c>
      <c r="T257" s="76"/>
      <c r="U257" s="76"/>
      <c r="V257" s="76"/>
      <c r="W257" s="76"/>
      <c r="X257" s="75"/>
      <c r="Y257" s="68"/>
      <c r="Z257" s="68"/>
      <c r="AA257" s="76"/>
      <c r="AB257" s="76"/>
      <c r="AC257" s="69" t="str">
        <f t="shared" si="5"/>
        <v/>
      </c>
      <c r="AD257" s="69" t="str">
        <f t="shared" si="6"/>
        <v/>
      </c>
      <c r="AE257" s="70" t="str">
        <f t="shared" si="7"/>
        <v/>
      </c>
      <c r="AF257" s="71" t="str">
        <f t="shared" si="8"/>
        <v/>
      </c>
      <c r="AG257" s="69" t="str">
        <f t="shared" si="9"/>
        <v/>
      </c>
      <c r="AH257" s="69" t="str">
        <f t="shared" si="10"/>
        <v/>
      </c>
      <c r="AI257" s="69" t="str">
        <f t="shared" si="3"/>
        <v/>
      </c>
    </row>
    <row r="258">
      <c r="A258" s="56" t="str">
        <f t="shared" si="1"/>
        <v/>
      </c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80"/>
      <c r="P258" s="72"/>
      <c r="Q258" s="80"/>
      <c r="R258" s="63" t="str">
        <f t="shared" si="4"/>
        <v/>
      </c>
      <c r="S258" s="85" t="str">
        <f t="shared" si="2"/>
        <v/>
      </c>
      <c r="T258" s="76"/>
      <c r="U258" s="76"/>
      <c r="V258" s="76"/>
      <c r="W258" s="76"/>
      <c r="X258" s="75"/>
      <c r="Y258" s="68"/>
      <c r="Z258" s="68"/>
      <c r="AA258" s="76"/>
      <c r="AB258" s="76"/>
      <c r="AC258" s="69" t="str">
        <f t="shared" si="5"/>
        <v/>
      </c>
      <c r="AD258" s="69" t="str">
        <f t="shared" si="6"/>
        <v/>
      </c>
      <c r="AE258" s="70" t="str">
        <f t="shared" si="7"/>
        <v/>
      </c>
      <c r="AF258" s="71" t="str">
        <f t="shared" si="8"/>
        <v/>
      </c>
      <c r="AG258" s="69" t="str">
        <f t="shared" si="9"/>
        <v/>
      </c>
      <c r="AH258" s="69" t="str">
        <f t="shared" si="10"/>
        <v/>
      </c>
      <c r="AI258" s="69" t="str">
        <f t="shared" si="3"/>
        <v/>
      </c>
    </row>
    <row r="259">
      <c r="A259" s="56" t="str">
        <f t="shared" si="1"/>
        <v/>
      </c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80"/>
      <c r="P259" s="72"/>
      <c r="Q259" s="80"/>
      <c r="R259" s="63" t="str">
        <f t="shared" si="4"/>
        <v/>
      </c>
      <c r="S259" s="85" t="str">
        <f t="shared" si="2"/>
        <v/>
      </c>
      <c r="T259" s="76"/>
      <c r="U259" s="76"/>
      <c r="V259" s="76"/>
      <c r="W259" s="76"/>
      <c r="X259" s="75"/>
      <c r="Y259" s="68"/>
      <c r="Z259" s="68"/>
      <c r="AA259" s="76"/>
      <c r="AB259" s="76"/>
      <c r="AC259" s="69" t="str">
        <f t="shared" si="5"/>
        <v/>
      </c>
      <c r="AD259" s="69" t="str">
        <f t="shared" si="6"/>
        <v/>
      </c>
      <c r="AE259" s="70" t="str">
        <f t="shared" si="7"/>
        <v/>
      </c>
      <c r="AF259" s="71" t="str">
        <f t="shared" si="8"/>
        <v/>
      </c>
      <c r="AG259" s="69" t="str">
        <f t="shared" si="9"/>
        <v/>
      </c>
      <c r="AH259" s="69" t="str">
        <f t="shared" si="10"/>
        <v/>
      </c>
      <c r="AI259" s="69" t="str">
        <f t="shared" si="3"/>
        <v/>
      </c>
    </row>
    <row r="260">
      <c r="A260" s="56" t="str">
        <f t="shared" si="1"/>
        <v/>
      </c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80"/>
      <c r="P260" s="72"/>
      <c r="Q260" s="80"/>
      <c r="R260" s="63" t="str">
        <f t="shared" si="4"/>
        <v/>
      </c>
      <c r="S260" s="85" t="str">
        <f t="shared" si="2"/>
        <v/>
      </c>
      <c r="T260" s="76"/>
      <c r="U260" s="76"/>
      <c r="V260" s="76"/>
      <c r="W260" s="76"/>
      <c r="X260" s="75"/>
      <c r="Y260" s="68"/>
      <c r="Z260" s="68"/>
      <c r="AA260" s="76"/>
      <c r="AB260" s="76"/>
      <c r="AC260" s="69" t="str">
        <f t="shared" si="5"/>
        <v/>
      </c>
      <c r="AD260" s="69" t="str">
        <f t="shared" si="6"/>
        <v/>
      </c>
      <c r="AE260" s="70" t="str">
        <f t="shared" si="7"/>
        <v/>
      </c>
      <c r="AF260" s="71" t="str">
        <f t="shared" si="8"/>
        <v/>
      </c>
      <c r="AG260" s="69" t="str">
        <f t="shared" si="9"/>
        <v/>
      </c>
      <c r="AH260" s="69" t="str">
        <f t="shared" si="10"/>
        <v/>
      </c>
      <c r="AI260" s="69" t="str">
        <f t="shared" si="3"/>
        <v/>
      </c>
    </row>
    <row r="261">
      <c r="A261" s="56" t="str">
        <f t="shared" si="1"/>
        <v/>
      </c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80"/>
      <c r="P261" s="72"/>
      <c r="Q261" s="80"/>
      <c r="R261" s="63" t="str">
        <f t="shared" si="4"/>
        <v/>
      </c>
      <c r="S261" s="85" t="str">
        <f t="shared" si="2"/>
        <v/>
      </c>
      <c r="T261" s="76"/>
      <c r="U261" s="76"/>
      <c r="V261" s="76"/>
      <c r="W261" s="76"/>
      <c r="X261" s="75"/>
      <c r="Y261" s="68"/>
      <c r="Z261" s="68"/>
      <c r="AA261" s="76"/>
      <c r="AB261" s="76"/>
      <c r="AC261" s="69" t="str">
        <f t="shared" si="5"/>
        <v/>
      </c>
      <c r="AD261" s="69" t="str">
        <f t="shared" si="6"/>
        <v/>
      </c>
      <c r="AE261" s="70" t="str">
        <f t="shared" si="7"/>
        <v/>
      </c>
      <c r="AF261" s="71" t="str">
        <f t="shared" si="8"/>
        <v/>
      </c>
      <c r="AG261" s="69" t="str">
        <f t="shared" si="9"/>
        <v/>
      </c>
      <c r="AH261" s="69" t="str">
        <f t="shared" si="10"/>
        <v/>
      </c>
      <c r="AI261" s="69" t="str">
        <f t="shared" si="3"/>
        <v/>
      </c>
    </row>
    <row r="262">
      <c r="A262" s="56" t="str">
        <f t="shared" si="1"/>
        <v/>
      </c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80"/>
      <c r="P262" s="72"/>
      <c r="Q262" s="80"/>
      <c r="R262" s="63" t="str">
        <f t="shared" si="4"/>
        <v/>
      </c>
      <c r="S262" s="85" t="str">
        <f t="shared" si="2"/>
        <v/>
      </c>
      <c r="T262" s="76"/>
      <c r="U262" s="76"/>
      <c r="V262" s="76"/>
      <c r="W262" s="76"/>
      <c r="X262" s="75"/>
      <c r="Y262" s="68"/>
      <c r="Z262" s="68"/>
      <c r="AA262" s="76"/>
      <c r="AB262" s="76"/>
      <c r="AC262" s="69" t="str">
        <f t="shared" si="5"/>
        <v/>
      </c>
      <c r="AD262" s="69" t="str">
        <f t="shared" si="6"/>
        <v/>
      </c>
      <c r="AE262" s="70" t="str">
        <f t="shared" si="7"/>
        <v/>
      </c>
      <c r="AF262" s="71" t="str">
        <f t="shared" si="8"/>
        <v/>
      </c>
      <c r="AG262" s="69" t="str">
        <f t="shared" si="9"/>
        <v/>
      </c>
      <c r="AH262" s="69" t="str">
        <f t="shared" si="10"/>
        <v/>
      </c>
      <c r="AI262" s="69" t="str">
        <f t="shared" si="3"/>
        <v/>
      </c>
    </row>
    <row r="263">
      <c r="A263" s="56" t="str">
        <f t="shared" si="1"/>
        <v/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80"/>
      <c r="P263" s="72"/>
      <c r="Q263" s="80"/>
      <c r="R263" s="63" t="str">
        <f t="shared" si="4"/>
        <v/>
      </c>
      <c r="S263" s="85" t="str">
        <f t="shared" si="2"/>
        <v/>
      </c>
      <c r="T263" s="76"/>
      <c r="U263" s="76"/>
      <c r="V263" s="76"/>
      <c r="W263" s="76"/>
      <c r="X263" s="75"/>
      <c r="Y263" s="68"/>
      <c r="Z263" s="68"/>
      <c r="AA263" s="76"/>
      <c r="AB263" s="76"/>
      <c r="AC263" s="69" t="str">
        <f t="shared" si="5"/>
        <v/>
      </c>
      <c r="AD263" s="69" t="str">
        <f t="shared" si="6"/>
        <v/>
      </c>
      <c r="AE263" s="70" t="str">
        <f t="shared" si="7"/>
        <v/>
      </c>
      <c r="AF263" s="71" t="str">
        <f t="shared" si="8"/>
        <v/>
      </c>
      <c r="AG263" s="69" t="str">
        <f t="shared" si="9"/>
        <v/>
      </c>
      <c r="AH263" s="69" t="str">
        <f t="shared" si="10"/>
        <v/>
      </c>
      <c r="AI263" s="69" t="str">
        <f t="shared" si="3"/>
        <v/>
      </c>
    </row>
    <row r="264">
      <c r="A264" s="56" t="str">
        <f t="shared" si="1"/>
        <v/>
      </c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80"/>
      <c r="P264" s="72"/>
      <c r="Q264" s="80"/>
      <c r="R264" s="63" t="str">
        <f t="shared" si="4"/>
        <v/>
      </c>
      <c r="S264" s="85" t="str">
        <f t="shared" si="2"/>
        <v/>
      </c>
      <c r="T264" s="76"/>
      <c r="U264" s="76"/>
      <c r="V264" s="76"/>
      <c r="W264" s="76"/>
      <c r="X264" s="75"/>
      <c r="Y264" s="68"/>
      <c r="Z264" s="68"/>
      <c r="AA264" s="76"/>
      <c r="AB264" s="76"/>
      <c r="AC264" s="69" t="str">
        <f t="shared" si="5"/>
        <v/>
      </c>
      <c r="AD264" s="69" t="str">
        <f t="shared" si="6"/>
        <v/>
      </c>
      <c r="AE264" s="70" t="str">
        <f t="shared" si="7"/>
        <v/>
      </c>
      <c r="AF264" s="71" t="str">
        <f t="shared" si="8"/>
        <v/>
      </c>
      <c r="AG264" s="69" t="str">
        <f t="shared" si="9"/>
        <v/>
      </c>
      <c r="AH264" s="69" t="str">
        <f t="shared" si="10"/>
        <v/>
      </c>
      <c r="AI264" s="69" t="str">
        <f t="shared" si="3"/>
        <v/>
      </c>
    </row>
    <row r="265">
      <c r="A265" s="56" t="str">
        <f t="shared" si="1"/>
        <v/>
      </c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80"/>
      <c r="P265" s="72"/>
      <c r="Q265" s="80"/>
      <c r="R265" s="63" t="str">
        <f t="shared" si="4"/>
        <v/>
      </c>
      <c r="S265" s="85" t="str">
        <f t="shared" si="2"/>
        <v/>
      </c>
      <c r="T265" s="76"/>
      <c r="U265" s="76"/>
      <c r="V265" s="76"/>
      <c r="W265" s="76"/>
      <c r="X265" s="75"/>
      <c r="Y265" s="68"/>
      <c r="Z265" s="68"/>
      <c r="AA265" s="76"/>
      <c r="AB265" s="76"/>
      <c r="AC265" s="69" t="str">
        <f t="shared" si="5"/>
        <v/>
      </c>
      <c r="AD265" s="69" t="str">
        <f t="shared" si="6"/>
        <v/>
      </c>
      <c r="AE265" s="70" t="str">
        <f t="shared" si="7"/>
        <v/>
      </c>
      <c r="AF265" s="71" t="str">
        <f t="shared" si="8"/>
        <v/>
      </c>
      <c r="AG265" s="69" t="str">
        <f t="shared" si="9"/>
        <v/>
      </c>
      <c r="AH265" s="69" t="str">
        <f t="shared" si="10"/>
        <v/>
      </c>
      <c r="AI265" s="69" t="str">
        <f t="shared" si="3"/>
        <v/>
      </c>
    </row>
    <row r="266">
      <c r="A266" s="56" t="str">
        <f t="shared" si="1"/>
        <v/>
      </c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80"/>
      <c r="P266" s="72"/>
      <c r="Q266" s="80"/>
      <c r="R266" s="63" t="str">
        <f t="shared" si="4"/>
        <v/>
      </c>
      <c r="S266" s="85" t="str">
        <f t="shared" si="2"/>
        <v/>
      </c>
      <c r="T266" s="76"/>
      <c r="U266" s="76"/>
      <c r="V266" s="76"/>
      <c r="W266" s="76"/>
      <c r="X266" s="75"/>
      <c r="Y266" s="68"/>
      <c r="Z266" s="68"/>
      <c r="AA266" s="76"/>
      <c r="AB266" s="76"/>
      <c r="AC266" s="69" t="str">
        <f t="shared" si="5"/>
        <v/>
      </c>
      <c r="AD266" s="69" t="str">
        <f t="shared" si="6"/>
        <v/>
      </c>
      <c r="AE266" s="70" t="str">
        <f t="shared" si="7"/>
        <v/>
      </c>
      <c r="AF266" s="71" t="str">
        <f t="shared" si="8"/>
        <v/>
      </c>
      <c r="AG266" s="69" t="str">
        <f t="shared" si="9"/>
        <v/>
      </c>
      <c r="AH266" s="69" t="str">
        <f t="shared" si="10"/>
        <v/>
      </c>
      <c r="AI266" s="69" t="str">
        <f t="shared" si="3"/>
        <v/>
      </c>
    </row>
    <row r="267">
      <c r="A267" s="56" t="str">
        <f t="shared" si="1"/>
        <v/>
      </c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80"/>
      <c r="P267" s="72"/>
      <c r="Q267" s="80"/>
      <c r="R267" s="63" t="str">
        <f t="shared" si="4"/>
        <v/>
      </c>
      <c r="S267" s="85" t="str">
        <f t="shared" si="2"/>
        <v/>
      </c>
      <c r="T267" s="76"/>
      <c r="U267" s="76"/>
      <c r="V267" s="76"/>
      <c r="W267" s="76"/>
      <c r="X267" s="75"/>
      <c r="Y267" s="68"/>
      <c r="Z267" s="68"/>
      <c r="AA267" s="76"/>
      <c r="AB267" s="76"/>
      <c r="AC267" s="69" t="str">
        <f t="shared" si="5"/>
        <v/>
      </c>
      <c r="AD267" s="69" t="str">
        <f t="shared" si="6"/>
        <v/>
      </c>
      <c r="AE267" s="70" t="str">
        <f t="shared" si="7"/>
        <v/>
      </c>
      <c r="AF267" s="71" t="str">
        <f t="shared" si="8"/>
        <v/>
      </c>
      <c r="AG267" s="69" t="str">
        <f t="shared" si="9"/>
        <v/>
      </c>
      <c r="AH267" s="69" t="str">
        <f t="shared" si="10"/>
        <v/>
      </c>
      <c r="AI267" s="69" t="str">
        <f t="shared" si="3"/>
        <v/>
      </c>
    </row>
    <row r="268">
      <c r="A268" s="56" t="str">
        <f t="shared" si="1"/>
        <v/>
      </c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80"/>
      <c r="P268" s="72"/>
      <c r="Q268" s="80"/>
      <c r="R268" s="63" t="str">
        <f t="shared" si="4"/>
        <v/>
      </c>
      <c r="S268" s="85" t="str">
        <f t="shared" si="2"/>
        <v/>
      </c>
      <c r="T268" s="76"/>
      <c r="U268" s="76"/>
      <c r="V268" s="76"/>
      <c r="W268" s="76"/>
      <c r="X268" s="75"/>
      <c r="Y268" s="68"/>
      <c r="Z268" s="68"/>
      <c r="AA268" s="76"/>
      <c r="AB268" s="76"/>
      <c r="AC268" s="69" t="str">
        <f t="shared" si="5"/>
        <v/>
      </c>
      <c r="AD268" s="69" t="str">
        <f t="shared" si="6"/>
        <v/>
      </c>
      <c r="AE268" s="70" t="str">
        <f t="shared" si="7"/>
        <v/>
      </c>
      <c r="AF268" s="71" t="str">
        <f t="shared" si="8"/>
        <v/>
      </c>
      <c r="AG268" s="69" t="str">
        <f t="shared" si="9"/>
        <v/>
      </c>
      <c r="AH268" s="69" t="str">
        <f t="shared" si="10"/>
        <v/>
      </c>
      <c r="AI268" s="69" t="str">
        <f t="shared" si="3"/>
        <v/>
      </c>
    </row>
    <row r="269">
      <c r="A269" s="56" t="str">
        <f t="shared" si="1"/>
        <v/>
      </c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80"/>
      <c r="P269" s="72"/>
      <c r="Q269" s="80"/>
      <c r="R269" s="63" t="str">
        <f t="shared" si="4"/>
        <v/>
      </c>
      <c r="S269" s="85" t="str">
        <f t="shared" si="2"/>
        <v/>
      </c>
      <c r="T269" s="76"/>
      <c r="U269" s="76"/>
      <c r="V269" s="76"/>
      <c r="W269" s="76"/>
      <c r="X269" s="75"/>
      <c r="Y269" s="68"/>
      <c r="Z269" s="68"/>
      <c r="AA269" s="76"/>
      <c r="AB269" s="76"/>
      <c r="AC269" s="69" t="str">
        <f t="shared" si="5"/>
        <v/>
      </c>
      <c r="AD269" s="69" t="str">
        <f t="shared" si="6"/>
        <v/>
      </c>
      <c r="AE269" s="70" t="str">
        <f t="shared" si="7"/>
        <v/>
      </c>
      <c r="AF269" s="71" t="str">
        <f t="shared" si="8"/>
        <v/>
      </c>
      <c r="AG269" s="69" t="str">
        <f t="shared" si="9"/>
        <v/>
      </c>
      <c r="AH269" s="69" t="str">
        <f t="shared" si="10"/>
        <v/>
      </c>
      <c r="AI269" s="69" t="str">
        <f t="shared" si="3"/>
        <v/>
      </c>
    </row>
    <row r="270">
      <c r="A270" s="56" t="str">
        <f t="shared" si="1"/>
        <v/>
      </c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80"/>
      <c r="P270" s="72"/>
      <c r="Q270" s="80"/>
      <c r="R270" s="63" t="str">
        <f t="shared" si="4"/>
        <v/>
      </c>
      <c r="S270" s="85" t="str">
        <f t="shared" si="2"/>
        <v/>
      </c>
      <c r="T270" s="76"/>
      <c r="U270" s="76"/>
      <c r="V270" s="76"/>
      <c r="W270" s="76"/>
      <c r="X270" s="75"/>
      <c r="Y270" s="68"/>
      <c r="Z270" s="68"/>
      <c r="AA270" s="76"/>
      <c r="AB270" s="76"/>
      <c r="AC270" s="69" t="str">
        <f t="shared" si="5"/>
        <v/>
      </c>
      <c r="AD270" s="69" t="str">
        <f t="shared" si="6"/>
        <v/>
      </c>
      <c r="AE270" s="70" t="str">
        <f t="shared" si="7"/>
        <v/>
      </c>
      <c r="AF270" s="71" t="str">
        <f t="shared" si="8"/>
        <v/>
      </c>
      <c r="AG270" s="69" t="str">
        <f t="shared" si="9"/>
        <v/>
      </c>
      <c r="AH270" s="69" t="str">
        <f t="shared" si="10"/>
        <v/>
      </c>
      <c r="AI270" s="69" t="str">
        <f t="shared" si="3"/>
        <v/>
      </c>
    </row>
    <row r="271">
      <c r="A271" s="56" t="str">
        <f t="shared" si="1"/>
        <v/>
      </c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80"/>
      <c r="P271" s="72"/>
      <c r="Q271" s="80"/>
      <c r="R271" s="63" t="str">
        <f t="shared" si="4"/>
        <v/>
      </c>
      <c r="S271" s="85" t="str">
        <f t="shared" si="2"/>
        <v/>
      </c>
      <c r="T271" s="76"/>
      <c r="U271" s="76"/>
      <c r="V271" s="76"/>
      <c r="W271" s="76"/>
      <c r="X271" s="75"/>
      <c r="Y271" s="68"/>
      <c r="Z271" s="68"/>
      <c r="AA271" s="76"/>
      <c r="AB271" s="76"/>
      <c r="AC271" s="69" t="str">
        <f t="shared" si="5"/>
        <v/>
      </c>
      <c r="AD271" s="69" t="str">
        <f t="shared" si="6"/>
        <v/>
      </c>
      <c r="AE271" s="70" t="str">
        <f t="shared" si="7"/>
        <v/>
      </c>
      <c r="AF271" s="71" t="str">
        <f t="shared" si="8"/>
        <v/>
      </c>
      <c r="AG271" s="69" t="str">
        <f t="shared" si="9"/>
        <v/>
      </c>
      <c r="AH271" s="69" t="str">
        <f t="shared" si="10"/>
        <v/>
      </c>
      <c r="AI271" s="69" t="str">
        <f t="shared" si="3"/>
        <v/>
      </c>
    </row>
    <row r="272">
      <c r="A272" s="56" t="str">
        <f t="shared" si="1"/>
        <v/>
      </c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80"/>
      <c r="P272" s="72"/>
      <c r="Q272" s="80"/>
      <c r="R272" s="63" t="str">
        <f t="shared" si="4"/>
        <v/>
      </c>
      <c r="S272" s="85" t="str">
        <f t="shared" si="2"/>
        <v/>
      </c>
      <c r="T272" s="76"/>
      <c r="U272" s="76"/>
      <c r="V272" s="76"/>
      <c r="W272" s="76"/>
      <c r="X272" s="75"/>
      <c r="Y272" s="68"/>
      <c r="Z272" s="68"/>
      <c r="AA272" s="76"/>
      <c r="AB272" s="76"/>
      <c r="AC272" s="69" t="str">
        <f t="shared" si="5"/>
        <v/>
      </c>
      <c r="AD272" s="69" t="str">
        <f t="shared" si="6"/>
        <v/>
      </c>
      <c r="AE272" s="70" t="str">
        <f t="shared" si="7"/>
        <v/>
      </c>
      <c r="AF272" s="71" t="str">
        <f t="shared" si="8"/>
        <v/>
      </c>
      <c r="AG272" s="69" t="str">
        <f t="shared" si="9"/>
        <v/>
      </c>
      <c r="AH272" s="69" t="str">
        <f t="shared" si="10"/>
        <v/>
      </c>
      <c r="AI272" s="69" t="str">
        <f t="shared" si="3"/>
        <v/>
      </c>
    </row>
    <row r="273">
      <c r="A273" s="56" t="str">
        <f t="shared" si="1"/>
        <v/>
      </c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80"/>
      <c r="P273" s="72"/>
      <c r="Q273" s="80"/>
      <c r="R273" s="63" t="str">
        <f t="shared" si="4"/>
        <v/>
      </c>
      <c r="S273" s="85" t="str">
        <f t="shared" si="2"/>
        <v/>
      </c>
      <c r="T273" s="76"/>
      <c r="U273" s="76"/>
      <c r="V273" s="76"/>
      <c r="W273" s="76"/>
      <c r="X273" s="75"/>
      <c r="Y273" s="68"/>
      <c r="Z273" s="68"/>
      <c r="AA273" s="76"/>
      <c r="AB273" s="76"/>
      <c r="AC273" s="69" t="str">
        <f t="shared" si="5"/>
        <v/>
      </c>
      <c r="AD273" s="69" t="str">
        <f t="shared" si="6"/>
        <v/>
      </c>
      <c r="AE273" s="70" t="str">
        <f t="shared" si="7"/>
        <v/>
      </c>
      <c r="AF273" s="71" t="str">
        <f t="shared" si="8"/>
        <v/>
      </c>
      <c r="AG273" s="69" t="str">
        <f t="shared" si="9"/>
        <v/>
      </c>
      <c r="AH273" s="69" t="str">
        <f t="shared" si="10"/>
        <v/>
      </c>
      <c r="AI273" s="69" t="str">
        <f t="shared" si="3"/>
        <v/>
      </c>
    </row>
    <row r="274">
      <c r="A274" s="56" t="str">
        <f t="shared" si="1"/>
        <v/>
      </c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80"/>
      <c r="P274" s="72"/>
      <c r="Q274" s="80"/>
      <c r="R274" s="63" t="str">
        <f t="shared" si="4"/>
        <v/>
      </c>
      <c r="S274" s="85" t="str">
        <f t="shared" si="2"/>
        <v/>
      </c>
      <c r="T274" s="76"/>
      <c r="U274" s="76"/>
      <c r="V274" s="76"/>
      <c r="W274" s="76"/>
      <c r="X274" s="75"/>
      <c r="Y274" s="68"/>
      <c r="Z274" s="68"/>
      <c r="AA274" s="76"/>
      <c r="AB274" s="76"/>
      <c r="AC274" s="69" t="str">
        <f t="shared" si="5"/>
        <v/>
      </c>
      <c r="AD274" s="69" t="str">
        <f t="shared" si="6"/>
        <v/>
      </c>
      <c r="AE274" s="70" t="str">
        <f t="shared" si="7"/>
        <v/>
      </c>
      <c r="AF274" s="71" t="str">
        <f t="shared" si="8"/>
        <v/>
      </c>
      <c r="AG274" s="69" t="str">
        <f t="shared" si="9"/>
        <v/>
      </c>
      <c r="AH274" s="69" t="str">
        <f t="shared" si="10"/>
        <v/>
      </c>
      <c r="AI274" s="69" t="str">
        <f t="shared" si="3"/>
        <v/>
      </c>
    </row>
    <row r="275">
      <c r="A275" s="56" t="str">
        <f t="shared" si="1"/>
        <v/>
      </c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80"/>
      <c r="P275" s="72"/>
      <c r="Q275" s="80"/>
      <c r="R275" s="63" t="str">
        <f t="shared" si="4"/>
        <v/>
      </c>
      <c r="S275" s="85" t="str">
        <f t="shared" si="2"/>
        <v/>
      </c>
      <c r="T275" s="76"/>
      <c r="U275" s="76"/>
      <c r="V275" s="76"/>
      <c r="W275" s="76"/>
      <c r="X275" s="75"/>
      <c r="Y275" s="68"/>
      <c r="Z275" s="68"/>
      <c r="AA275" s="76"/>
      <c r="AB275" s="76"/>
      <c r="AC275" s="69" t="str">
        <f t="shared" si="5"/>
        <v/>
      </c>
      <c r="AD275" s="69" t="str">
        <f t="shared" si="6"/>
        <v/>
      </c>
      <c r="AE275" s="70" t="str">
        <f t="shared" si="7"/>
        <v/>
      </c>
      <c r="AF275" s="71" t="str">
        <f t="shared" si="8"/>
        <v/>
      </c>
      <c r="AG275" s="69" t="str">
        <f t="shared" si="9"/>
        <v/>
      </c>
      <c r="AH275" s="69" t="str">
        <f t="shared" si="10"/>
        <v/>
      </c>
      <c r="AI275" s="69" t="str">
        <f t="shared" si="3"/>
        <v/>
      </c>
    </row>
    <row r="276">
      <c r="A276" s="56" t="str">
        <f t="shared" si="1"/>
        <v/>
      </c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80"/>
      <c r="P276" s="72"/>
      <c r="Q276" s="80"/>
      <c r="R276" s="63" t="str">
        <f t="shared" si="4"/>
        <v/>
      </c>
      <c r="S276" s="85" t="str">
        <f t="shared" si="2"/>
        <v/>
      </c>
      <c r="T276" s="76"/>
      <c r="U276" s="76"/>
      <c r="V276" s="76"/>
      <c r="W276" s="76"/>
      <c r="X276" s="75"/>
      <c r="Y276" s="68"/>
      <c r="Z276" s="68"/>
      <c r="AA276" s="76"/>
      <c r="AB276" s="76"/>
      <c r="AC276" s="69" t="str">
        <f t="shared" si="5"/>
        <v/>
      </c>
      <c r="AD276" s="69" t="str">
        <f t="shared" si="6"/>
        <v/>
      </c>
      <c r="AE276" s="70" t="str">
        <f t="shared" si="7"/>
        <v/>
      </c>
      <c r="AF276" s="71" t="str">
        <f t="shared" si="8"/>
        <v/>
      </c>
      <c r="AG276" s="69" t="str">
        <f t="shared" si="9"/>
        <v/>
      </c>
      <c r="AH276" s="69" t="str">
        <f t="shared" si="10"/>
        <v/>
      </c>
      <c r="AI276" s="69" t="str">
        <f t="shared" si="3"/>
        <v/>
      </c>
    </row>
    <row r="277">
      <c r="A277" s="56" t="str">
        <f t="shared" si="1"/>
        <v/>
      </c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80"/>
      <c r="P277" s="72"/>
      <c r="Q277" s="80"/>
      <c r="R277" s="63" t="str">
        <f t="shared" si="4"/>
        <v/>
      </c>
      <c r="S277" s="85" t="str">
        <f t="shared" si="2"/>
        <v/>
      </c>
      <c r="T277" s="76"/>
      <c r="U277" s="76"/>
      <c r="V277" s="76"/>
      <c r="W277" s="76"/>
      <c r="X277" s="75"/>
      <c r="Y277" s="68"/>
      <c r="Z277" s="68"/>
      <c r="AA277" s="76"/>
      <c r="AB277" s="76"/>
      <c r="AC277" s="69" t="str">
        <f t="shared" si="5"/>
        <v/>
      </c>
      <c r="AD277" s="69" t="str">
        <f t="shared" si="6"/>
        <v/>
      </c>
      <c r="AE277" s="70" t="str">
        <f t="shared" si="7"/>
        <v/>
      </c>
      <c r="AF277" s="71" t="str">
        <f t="shared" si="8"/>
        <v/>
      </c>
      <c r="AG277" s="69" t="str">
        <f t="shared" si="9"/>
        <v/>
      </c>
      <c r="AH277" s="69" t="str">
        <f t="shared" si="10"/>
        <v/>
      </c>
      <c r="AI277" s="69" t="str">
        <f t="shared" si="3"/>
        <v/>
      </c>
    </row>
    <row r="278">
      <c r="A278" s="56" t="str">
        <f t="shared" si="1"/>
        <v/>
      </c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80"/>
      <c r="P278" s="72"/>
      <c r="Q278" s="80"/>
      <c r="R278" s="63" t="str">
        <f t="shared" si="4"/>
        <v/>
      </c>
      <c r="S278" s="85" t="str">
        <f t="shared" si="2"/>
        <v/>
      </c>
      <c r="T278" s="76"/>
      <c r="U278" s="76"/>
      <c r="V278" s="76"/>
      <c r="W278" s="76"/>
      <c r="X278" s="75"/>
      <c r="Y278" s="68"/>
      <c r="Z278" s="68"/>
      <c r="AA278" s="76"/>
      <c r="AB278" s="76"/>
      <c r="AC278" s="69" t="str">
        <f t="shared" si="5"/>
        <v/>
      </c>
      <c r="AD278" s="69" t="str">
        <f t="shared" si="6"/>
        <v/>
      </c>
      <c r="AE278" s="70" t="str">
        <f t="shared" si="7"/>
        <v/>
      </c>
      <c r="AF278" s="71" t="str">
        <f t="shared" si="8"/>
        <v/>
      </c>
      <c r="AG278" s="69" t="str">
        <f t="shared" si="9"/>
        <v/>
      </c>
      <c r="AH278" s="69" t="str">
        <f t="shared" si="10"/>
        <v/>
      </c>
      <c r="AI278" s="69" t="str">
        <f t="shared" si="3"/>
        <v/>
      </c>
    </row>
    <row r="279">
      <c r="A279" s="56" t="str">
        <f t="shared" si="1"/>
        <v/>
      </c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80"/>
      <c r="P279" s="72"/>
      <c r="Q279" s="80"/>
      <c r="R279" s="63" t="str">
        <f t="shared" si="4"/>
        <v/>
      </c>
      <c r="S279" s="85" t="str">
        <f t="shared" si="2"/>
        <v/>
      </c>
      <c r="T279" s="76"/>
      <c r="U279" s="76"/>
      <c r="V279" s="76"/>
      <c r="W279" s="76"/>
      <c r="X279" s="75"/>
      <c r="Y279" s="68"/>
      <c r="Z279" s="68"/>
      <c r="AA279" s="76"/>
      <c r="AB279" s="76"/>
      <c r="AC279" s="69" t="str">
        <f t="shared" si="5"/>
        <v/>
      </c>
      <c r="AD279" s="69" t="str">
        <f t="shared" si="6"/>
        <v/>
      </c>
      <c r="AE279" s="70" t="str">
        <f t="shared" si="7"/>
        <v/>
      </c>
      <c r="AF279" s="71" t="str">
        <f t="shared" si="8"/>
        <v/>
      </c>
      <c r="AG279" s="69" t="str">
        <f t="shared" si="9"/>
        <v/>
      </c>
      <c r="AH279" s="69" t="str">
        <f t="shared" si="10"/>
        <v/>
      </c>
      <c r="AI279" s="69" t="str">
        <f t="shared" si="3"/>
        <v/>
      </c>
    </row>
    <row r="280">
      <c r="A280" s="56" t="str">
        <f t="shared" si="1"/>
        <v/>
      </c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80"/>
      <c r="P280" s="72"/>
      <c r="Q280" s="80"/>
      <c r="R280" s="63" t="str">
        <f t="shared" si="4"/>
        <v/>
      </c>
      <c r="S280" s="85" t="str">
        <f t="shared" si="2"/>
        <v/>
      </c>
      <c r="T280" s="76"/>
      <c r="U280" s="76"/>
      <c r="V280" s="76"/>
      <c r="W280" s="76"/>
      <c r="X280" s="75"/>
      <c r="Y280" s="68"/>
      <c r="Z280" s="68"/>
      <c r="AA280" s="76"/>
      <c r="AB280" s="76"/>
      <c r="AC280" s="69" t="str">
        <f t="shared" si="5"/>
        <v/>
      </c>
      <c r="AD280" s="69" t="str">
        <f t="shared" si="6"/>
        <v/>
      </c>
      <c r="AE280" s="70" t="str">
        <f t="shared" si="7"/>
        <v/>
      </c>
      <c r="AF280" s="71" t="str">
        <f t="shared" si="8"/>
        <v/>
      </c>
      <c r="AG280" s="69" t="str">
        <f t="shared" si="9"/>
        <v/>
      </c>
      <c r="AH280" s="69" t="str">
        <f t="shared" si="10"/>
        <v/>
      </c>
      <c r="AI280" s="69" t="str">
        <f t="shared" si="3"/>
        <v/>
      </c>
    </row>
    <row r="281">
      <c r="A281" s="56" t="str">
        <f t="shared" si="1"/>
        <v/>
      </c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80"/>
      <c r="P281" s="72"/>
      <c r="Q281" s="80"/>
      <c r="R281" s="63" t="str">
        <f t="shared" si="4"/>
        <v/>
      </c>
      <c r="S281" s="85" t="str">
        <f t="shared" si="2"/>
        <v/>
      </c>
      <c r="T281" s="76"/>
      <c r="U281" s="76"/>
      <c r="V281" s="76"/>
      <c r="W281" s="76"/>
      <c r="X281" s="75"/>
      <c r="Y281" s="68"/>
      <c r="Z281" s="68"/>
      <c r="AA281" s="76"/>
      <c r="AB281" s="76"/>
      <c r="AC281" s="69" t="str">
        <f t="shared" si="5"/>
        <v/>
      </c>
      <c r="AD281" s="69" t="str">
        <f t="shared" si="6"/>
        <v/>
      </c>
      <c r="AE281" s="70" t="str">
        <f t="shared" si="7"/>
        <v/>
      </c>
      <c r="AF281" s="71" t="str">
        <f t="shared" si="8"/>
        <v/>
      </c>
      <c r="AG281" s="69" t="str">
        <f t="shared" si="9"/>
        <v/>
      </c>
      <c r="AH281" s="69" t="str">
        <f t="shared" si="10"/>
        <v/>
      </c>
      <c r="AI281" s="69" t="str">
        <f t="shared" si="3"/>
        <v/>
      </c>
    </row>
    <row r="282">
      <c r="A282" s="56" t="str">
        <f t="shared" si="1"/>
        <v/>
      </c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80"/>
      <c r="P282" s="72"/>
      <c r="Q282" s="80"/>
      <c r="R282" s="63" t="str">
        <f t="shared" si="4"/>
        <v/>
      </c>
      <c r="S282" s="85" t="str">
        <f t="shared" si="2"/>
        <v/>
      </c>
      <c r="T282" s="76"/>
      <c r="U282" s="76"/>
      <c r="V282" s="76"/>
      <c r="W282" s="76"/>
      <c r="X282" s="75"/>
      <c r="Y282" s="68"/>
      <c r="Z282" s="68"/>
      <c r="AA282" s="76"/>
      <c r="AB282" s="76"/>
      <c r="AC282" s="69" t="str">
        <f t="shared" si="5"/>
        <v/>
      </c>
      <c r="AD282" s="69" t="str">
        <f t="shared" si="6"/>
        <v/>
      </c>
      <c r="AE282" s="70" t="str">
        <f t="shared" si="7"/>
        <v/>
      </c>
      <c r="AF282" s="71" t="str">
        <f t="shared" si="8"/>
        <v/>
      </c>
      <c r="AG282" s="69" t="str">
        <f t="shared" si="9"/>
        <v/>
      </c>
      <c r="AH282" s="69" t="str">
        <f t="shared" si="10"/>
        <v/>
      </c>
      <c r="AI282" s="69" t="str">
        <f t="shared" si="3"/>
        <v/>
      </c>
    </row>
    <row r="283">
      <c r="A283" s="56" t="str">
        <f t="shared" si="1"/>
        <v/>
      </c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80"/>
      <c r="P283" s="72"/>
      <c r="Q283" s="80"/>
      <c r="R283" s="63" t="str">
        <f t="shared" si="4"/>
        <v/>
      </c>
      <c r="S283" s="85" t="str">
        <f t="shared" si="2"/>
        <v/>
      </c>
      <c r="T283" s="76"/>
      <c r="U283" s="76"/>
      <c r="V283" s="76"/>
      <c r="W283" s="76"/>
      <c r="X283" s="75"/>
      <c r="Y283" s="68"/>
      <c r="Z283" s="68"/>
      <c r="AA283" s="76"/>
      <c r="AB283" s="76"/>
      <c r="AC283" s="69" t="str">
        <f t="shared" si="5"/>
        <v/>
      </c>
      <c r="AD283" s="69" t="str">
        <f t="shared" si="6"/>
        <v/>
      </c>
      <c r="AE283" s="70" t="str">
        <f t="shared" si="7"/>
        <v/>
      </c>
      <c r="AF283" s="71" t="str">
        <f t="shared" si="8"/>
        <v/>
      </c>
      <c r="AG283" s="69" t="str">
        <f t="shared" si="9"/>
        <v/>
      </c>
      <c r="AH283" s="69" t="str">
        <f t="shared" si="10"/>
        <v/>
      </c>
      <c r="AI283" s="69" t="str">
        <f t="shared" si="3"/>
        <v/>
      </c>
    </row>
    <row r="284">
      <c r="A284" s="56" t="str">
        <f t="shared" si="1"/>
        <v/>
      </c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80"/>
      <c r="P284" s="72"/>
      <c r="Q284" s="80"/>
      <c r="R284" s="63" t="str">
        <f t="shared" si="4"/>
        <v/>
      </c>
      <c r="S284" s="85" t="str">
        <f t="shared" si="2"/>
        <v/>
      </c>
      <c r="T284" s="76"/>
      <c r="U284" s="76"/>
      <c r="V284" s="76"/>
      <c r="W284" s="76"/>
      <c r="X284" s="75"/>
      <c r="Y284" s="68"/>
      <c r="Z284" s="68"/>
      <c r="AA284" s="76"/>
      <c r="AB284" s="76"/>
      <c r="AC284" s="69" t="str">
        <f t="shared" si="5"/>
        <v/>
      </c>
      <c r="AD284" s="69" t="str">
        <f t="shared" si="6"/>
        <v/>
      </c>
      <c r="AE284" s="70" t="str">
        <f t="shared" si="7"/>
        <v/>
      </c>
      <c r="AF284" s="71" t="str">
        <f t="shared" si="8"/>
        <v/>
      </c>
      <c r="AG284" s="69" t="str">
        <f t="shared" si="9"/>
        <v/>
      </c>
      <c r="AH284" s="69" t="str">
        <f t="shared" si="10"/>
        <v/>
      </c>
      <c r="AI284" s="69" t="str">
        <f t="shared" si="3"/>
        <v/>
      </c>
    </row>
    <row r="285">
      <c r="A285" s="56" t="str">
        <f t="shared" si="1"/>
        <v/>
      </c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80"/>
      <c r="P285" s="72"/>
      <c r="Q285" s="80"/>
      <c r="R285" s="63" t="str">
        <f t="shared" si="4"/>
        <v/>
      </c>
      <c r="S285" s="85" t="str">
        <f t="shared" si="2"/>
        <v/>
      </c>
      <c r="T285" s="76"/>
      <c r="U285" s="76"/>
      <c r="V285" s="76"/>
      <c r="W285" s="76"/>
      <c r="X285" s="75"/>
      <c r="Y285" s="68"/>
      <c r="Z285" s="68"/>
      <c r="AA285" s="76"/>
      <c r="AB285" s="76"/>
      <c r="AC285" s="69" t="str">
        <f t="shared" si="5"/>
        <v/>
      </c>
      <c r="AD285" s="69" t="str">
        <f t="shared" si="6"/>
        <v/>
      </c>
      <c r="AE285" s="70" t="str">
        <f t="shared" si="7"/>
        <v/>
      </c>
      <c r="AF285" s="71" t="str">
        <f t="shared" si="8"/>
        <v/>
      </c>
      <c r="AG285" s="69" t="str">
        <f t="shared" si="9"/>
        <v/>
      </c>
      <c r="AH285" s="69" t="str">
        <f t="shared" si="10"/>
        <v/>
      </c>
      <c r="AI285" s="69" t="str">
        <f t="shared" si="3"/>
        <v/>
      </c>
    </row>
    <row r="286">
      <c r="A286" s="56" t="str">
        <f t="shared" si="1"/>
        <v/>
      </c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80"/>
      <c r="P286" s="72"/>
      <c r="Q286" s="80"/>
      <c r="R286" s="63" t="str">
        <f t="shared" si="4"/>
        <v/>
      </c>
      <c r="S286" s="85" t="str">
        <f t="shared" si="2"/>
        <v/>
      </c>
      <c r="T286" s="76"/>
      <c r="U286" s="76"/>
      <c r="V286" s="76"/>
      <c r="W286" s="76"/>
      <c r="X286" s="75"/>
      <c r="Y286" s="68"/>
      <c r="Z286" s="68"/>
      <c r="AA286" s="76"/>
      <c r="AB286" s="76"/>
      <c r="AC286" s="69" t="str">
        <f t="shared" si="5"/>
        <v/>
      </c>
      <c r="AD286" s="69" t="str">
        <f t="shared" si="6"/>
        <v/>
      </c>
      <c r="AE286" s="70" t="str">
        <f t="shared" si="7"/>
        <v/>
      </c>
      <c r="AF286" s="71" t="str">
        <f t="shared" si="8"/>
        <v/>
      </c>
      <c r="AG286" s="69" t="str">
        <f t="shared" si="9"/>
        <v/>
      </c>
      <c r="AH286" s="69" t="str">
        <f t="shared" si="10"/>
        <v/>
      </c>
      <c r="AI286" s="69" t="str">
        <f t="shared" si="3"/>
        <v/>
      </c>
    </row>
    <row r="287">
      <c r="A287" s="56" t="str">
        <f t="shared" si="1"/>
        <v/>
      </c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80"/>
      <c r="P287" s="72"/>
      <c r="Q287" s="80"/>
      <c r="R287" s="63" t="str">
        <f t="shared" si="4"/>
        <v/>
      </c>
      <c r="S287" s="85" t="str">
        <f t="shared" si="2"/>
        <v/>
      </c>
      <c r="T287" s="76"/>
      <c r="U287" s="76"/>
      <c r="V287" s="76"/>
      <c r="W287" s="76"/>
      <c r="X287" s="75"/>
      <c r="Y287" s="68"/>
      <c r="Z287" s="68"/>
      <c r="AA287" s="76"/>
      <c r="AB287" s="76"/>
      <c r="AC287" s="69" t="str">
        <f t="shared" si="5"/>
        <v/>
      </c>
      <c r="AD287" s="69" t="str">
        <f t="shared" si="6"/>
        <v/>
      </c>
      <c r="AE287" s="70" t="str">
        <f t="shared" si="7"/>
        <v/>
      </c>
      <c r="AF287" s="71" t="str">
        <f t="shared" si="8"/>
        <v/>
      </c>
      <c r="AG287" s="69" t="str">
        <f t="shared" si="9"/>
        <v/>
      </c>
      <c r="AH287" s="69" t="str">
        <f t="shared" si="10"/>
        <v/>
      </c>
      <c r="AI287" s="69" t="str">
        <f t="shared" si="3"/>
        <v/>
      </c>
    </row>
    <row r="288">
      <c r="A288" s="56" t="str">
        <f t="shared" si="1"/>
        <v/>
      </c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80"/>
      <c r="P288" s="72"/>
      <c r="Q288" s="80"/>
      <c r="R288" s="63" t="str">
        <f t="shared" si="4"/>
        <v/>
      </c>
      <c r="S288" s="85" t="str">
        <f t="shared" si="2"/>
        <v/>
      </c>
      <c r="T288" s="76"/>
      <c r="U288" s="76"/>
      <c r="V288" s="76"/>
      <c r="W288" s="76"/>
      <c r="X288" s="75"/>
      <c r="Y288" s="68"/>
      <c r="Z288" s="68"/>
      <c r="AA288" s="76"/>
      <c r="AB288" s="76"/>
      <c r="AC288" s="69" t="str">
        <f t="shared" si="5"/>
        <v/>
      </c>
      <c r="AD288" s="69" t="str">
        <f t="shared" si="6"/>
        <v/>
      </c>
      <c r="AE288" s="70" t="str">
        <f t="shared" si="7"/>
        <v/>
      </c>
      <c r="AF288" s="71" t="str">
        <f t="shared" si="8"/>
        <v/>
      </c>
      <c r="AG288" s="69" t="str">
        <f t="shared" si="9"/>
        <v/>
      </c>
      <c r="AH288" s="69" t="str">
        <f t="shared" si="10"/>
        <v/>
      </c>
      <c r="AI288" s="69" t="str">
        <f t="shared" si="3"/>
        <v/>
      </c>
    </row>
    <row r="289">
      <c r="A289" s="56" t="str">
        <f t="shared" si="1"/>
        <v/>
      </c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80"/>
      <c r="P289" s="72"/>
      <c r="Q289" s="80"/>
      <c r="R289" s="63" t="str">
        <f t="shared" si="4"/>
        <v/>
      </c>
      <c r="S289" s="85" t="str">
        <f t="shared" si="2"/>
        <v/>
      </c>
      <c r="T289" s="76"/>
      <c r="U289" s="76"/>
      <c r="V289" s="76"/>
      <c r="W289" s="76"/>
      <c r="X289" s="75"/>
      <c r="Y289" s="68"/>
      <c r="Z289" s="68"/>
      <c r="AA289" s="76"/>
      <c r="AB289" s="76"/>
      <c r="AC289" s="69" t="str">
        <f t="shared" si="5"/>
        <v/>
      </c>
      <c r="AD289" s="69" t="str">
        <f t="shared" si="6"/>
        <v/>
      </c>
      <c r="AE289" s="70" t="str">
        <f t="shared" si="7"/>
        <v/>
      </c>
      <c r="AF289" s="71" t="str">
        <f t="shared" si="8"/>
        <v/>
      </c>
      <c r="AG289" s="69" t="str">
        <f t="shared" si="9"/>
        <v/>
      </c>
      <c r="AH289" s="69" t="str">
        <f t="shared" si="10"/>
        <v/>
      </c>
      <c r="AI289" s="69" t="str">
        <f t="shared" si="3"/>
        <v/>
      </c>
    </row>
    <row r="290">
      <c r="A290" s="56" t="str">
        <f t="shared" si="1"/>
        <v/>
      </c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80"/>
      <c r="P290" s="72"/>
      <c r="Q290" s="80"/>
      <c r="R290" s="63" t="str">
        <f t="shared" si="4"/>
        <v/>
      </c>
      <c r="S290" s="85" t="str">
        <f t="shared" si="2"/>
        <v/>
      </c>
      <c r="T290" s="76"/>
      <c r="U290" s="76"/>
      <c r="V290" s="76"/>
      <c r="W290" s="76"/>
      <c r="X290" s="75"/>
      <c r="Y290" s="68"/>
      <c r="Z290" s="68"/>
      <c r="AA290" s="76"/>
      <c r="AB290" s="76"/>
      <c r="AC290" s="69" t="str">
        <f t="shared" si="5"/>
        <v/>
      </c>
      <c r="AD290" s="69" t="str">
        <f t="shared" si="6"/>
        <v/>
      </c>
      <c r="AE290" s="70" t="str">
        <f t="shared" si="7"/>
        <v/>
      </c>
      <c r="AF290" s="71" t="str">
        <f t="shared" si="8"/>
        <v/>
      </c>
      <c r="AG290" s="69" t="str">
        <f t="shared" si="9"/>
        <v/>
      </c>
      <c r="AH290" s="69" t="str">
        <f t="shared" si="10"/>
        <v/>
      </c>
      <c r="AI290" s="69" t="str">
        <f t="shared" si="3"/>
        <v/>
      </c>
    </row>
    <row r="291">
      <c r="A291" s="56" t="str">
        <f t="shared" si="1"/>
        <v/>
      </c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80"/>
      <c r="P291" s="72"/>
      <c r="Q291" s="80"/>
      <c r="R291" s="63" t="str">
        <f t="shared" si="4"/>
        <v/>
      </c>
      <c r="S291" s="85" t="str">
        <f t="shared" si="2"/>
        <v/>
      </c>
      <c r="T291" s="76"/>
      <c r="U291" s="76"/>
      <c r="V291" s="76"/>
      <c r="W291" s="76"/>
      <c r="X291" s="75"/>
      <c r="Y291" s="68"/>
      <c r="Z291" s="68"/>
      <c r="AA291" s="76"/>
      <c r="AB291" s="76"/>
      <c r="AC291" s="69" t="str">
        <f t="shared" si="5"/>
        <v/>
      </c>
      <c r="AD291" s="69" t="str">
        <f t="shared" si="6"/>
        <v/>
      </c>
      <c r="AE291" s="70" t="str">
        <f t="shared" si="7"/>
        <v/>
      </c>
      <c r="AF291" s="71" t="str">
        <f t="shared" si="8"/>
        <v/>
      </c>
      <c r="AG291" s="69" t="str">
        <f t="shared" si="9"/>
        <v/>
      </c>
      <c r="AH291" s="69" t="str">
        <f t="shared" si="10"/>
        <v/>
      </c>
      <c r="AI291" s="69" t="str">
        <f t="shared" si="3"/>
        <v/>
      </c>
    </row>
    <row r="292">
      <c r="A292" s="56" t="str">
        <f t="shared" si="1"/>
        <v/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80"/>
      <c r="P292" s="72"/>
      <c r="Q292" s="80"/>
      <c r="R292" s="63" t="str">
        <f t="shared" si="4"/>
        <v/>
      </c>
      <c r="S292" s="85" t="str">
        <f t="shared" si="2"/>
        <v/>
      </c>
      <c r="T292" s="76"/>
      <c r="U292" s="76"/>
      <c r="V292" s="76"/>
      <c r="W292" s="76"/>
      <c r="X292" s="75"/>
      <c r="Y292" s="68"/>
      <c r="Z292" s="68"/>
      <c r="AA292" s="76"/>
      <c r="AB292" s="76"/>
      <c r="AC292" s="69" t="str">
        <f t="shared" si="5"/>
        <v/>
      </c>
      <c r="AD292" s="69" t="str">
        <f t="shared" si="6"/>
        <v/>
      </c>
      <c r="AE292" s="70" t="str">
        <f t="shared" si="7"/>
        <v/>
      </c>
      <c r="AF292" s="71" t="str">
        <f t="shared" si="8"/>
        <v/>
      </c>
      <c r="AG292" s="69" t="str">
        <f t="shared" si="9"/>
        <v/>
      </c>
      <c r="AH292" s="69" t="str">
        <f t="shared" si="10"/>
        <v/>
      </c>
      <c r="AI292" s="69" t="str">
        <f t="shared" si="3"/>
        <v/>
      </c>
    </row>
    <row r="293">
      <c r="A293" s="56" t="str">
        <f t="shared" si="1"/>
        <v/>
      </c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80"/>
      <c r="P293" s="72"/>
      <c r="Q293" s="80"/>
      <c r="R293" s="63" t="str">
        <f t="shared" si="4"/>
        <v/>
      </c>
      <c r="S293" s="85" t="str">
        <f t="shared" si="2"/>
        <v/>
      </c>
      <c r="T293" s="76"/>
      <c r="U293" s="76"/>
      <c r="V293" s="76"/>
      <c r="W293" s="76"/>
      <c r="X293" s="75"/>
      <c r="Y293" s="68"/>
      <c r="Z293" s="68"/>
      <c r="AA293" s="76"/>
      <c r="AB293" s="76"/>
      <c r="AC293" s="69" t="str">
        <f t="shared" si="5"/>
        <v/>
      </c>
      <c r="AD293" s="69" t="str">
        <f t="shared" si="6"/>
        <v/>
      </c>
      <c r="AE293" s="70" t="str">
        <f t="shared" si="7"/>
        <v/>
      </c>
      <c r="AF293" s="71" t="str">
        <f t="shared" si="8"/>
        <v/>
      </c>
      <c r="AG293" s="69" t="str">
        <f t="shared" si="9"/>
        <v/>
      </c>
      <c r="AH293" s="69" t="str">
        <f t="shared" si="10"/>
        <v/>
      </c>
      <c r="AI293" s="69" t="str">
        <f t="shared" si="3"/>
        <v/>
      </c>
    </row>
    <row r="294">
      <c r="A294" s="56" t="str">
        <f t="shared" si="1"/>
        <v/>
      </c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80"/>
      <c r="P294" s="72"/>
      <c r="Q294" s="80"/>
      <c r="R294" s="63" t="str">
        <f t="shared" si="4"/>
        <v/>
      </c>
      <c r="S294" s="85" t="str">
        <f t="shared" si="2"/>
        <v/>
      </c>
      <c r="T294" s="76"/>
      <c r="U294" s="76"/>
      <c r="V294" s="76"/>
      <c r="W294" s="76"/>
      <c r="X294" s="75"/>
      <c r="Y294" s="68"/>
      <c r="Z294" s="68"/>
      <c r="AA294" s="76"/>
      <c r="AB294" s="76"/>
      <c r="AC294" s="69" t="str">
        <f t="shared" si="5"/>
        <v/>
      </c>
      <c r="AD294" s="69" t="str">
        <f t="shared" si="6"/>
        <v/>
      </c>
      <c r="AE294" s="70" t="str">
        <f t="shared" si="7"/>
        <v/>
      </c>
      <c r="AF294" s="71" t="str">
        <f t="shared" si="8"/>
        <v/>
      </c>
      <c r="AG294" s="69" t="str">
        <f t="shared" si="9"/>
        <v/>
      </c>
      <c r="AH294" s="69" t="str">
        <f t="shared" si="10"/>
        <v/>
      </c>
      <c r="AI294" s="69" t="str">
        <f t="shared" si="3"/>
        <v/>
      </c>
    </row>
    <row r="295">
      <c r="A295" s="56" t="str">
        <f t="shared" si="1"/>
        <v/>
      </c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80"/>
      <c r="P295" s="72"/>
      <c r="Q295" s="80"/>
      <c r="R295" s="63" t="str">
        <f t="shared" si="4"/>
        <v/>
      </c>
      <c r="S295" s="85" t="str">
        <f t="shared" si="2"/>
        <v/>
      </c>
      <c r="T295" s="76"/>
      <c r="U295" s="76"/>
      <c r="V295" s="76"/>
      <c r="W295" s="76"/>
      <c r="X295" s="75"/>
      <c r="Y295" s="68"/>
      <c r="Z295" s="68"/>
      <c r="AA295" s="76"/>
      <c r="AB295" s="76"/>
      <c r="AC295" s="69" t="str">
        <f t="shared" si="5"/>
        <v/>
      </c>
      <c r="AD295" s="69" t="str">
        <f t="shared" si="6"/>
        <v/>
      </c>
      <c r="AE295" s="70" t="str">
        <f t="shared" si="7"/>
        <v/>
      </c>
      <c r="AF295" s="71" t="str">
        <f t="shared" si="8"/>
        <v/>
      </c>
      <c r="AG295" s="69" t="str">
        <f t="shared" si="9"/>
        <v/>
      </c>
      <c r="AH295" s="69" t="str">
        <f t="shared" si="10"/>
        <v/>
      </c>
      <c r="AI295" s="69" t="str">
        <f t="shared" si="3"/>
        <v/>
      </c>
    </row>
    <row r="296">
      <c r="A296" s="56" t="str">
        <f t="shared" si="1"/>
        <v/>
      </c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80"/>
      <c r="P296" s="72"/>
      <c r="Q296" s="80"/>
      <c r="R296" s="63" t="str">
        <f t="shared" si="4"/>
        <v/>
      </c>
      <c r="S296" s="85" t="str">
        <f t="shared" si="2"/>
        <v/>
      </c>
      <c r="T296" s="76"/>
      <c r="U296" s="76"/>
      <c r="V296" s="76"/>
      <c r="W296" s="76"/>
      <c r="X296" s="75"/>
      <c r="Y296" s="68"/>
      <c r="Z296" s="68"/>
      <c r="AA296" s="76"/>
      <c r="AB296" s="76"/>
      <c r="AC296" s="69" t="str">
        <f t="shared" si="5"/>
        <v/>
      </c>
      <c r="AD296" s="69" t="str">
        <f t="shared" si="6"/>
        <v/>
      </c>
      <c r="AE296" s="70" t="str">
        <f t="shared" si="7"/>
        <v/>
      </c>
      <c r="AF296" s="71" t="str">
        <f t="shared" si="8"/>
        <v/>
      </c>
      <c r="AG296" s="69" t="str">
        <f t="shared" si="9"/>
        <v/>
      </c>
      <c r="AH296" s="69" t="str">
        <f t="shared" si="10"/>
        <v/>
      </c>
      <c r="AI296" s="69" t="str">
        <f t="shared" si="3"/>
        <v/>
      </c>
    </row>
    <row r="297">
      <c r="A297" s="56" t="str">
        <f t="shared" si="1"/>
        <v/>
      </c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80"/>
      <c r="P297" s="72"/>
      <c r="Q297" s="80"/>
      <c r="R297" s="63" t="str">
        <f t="shared" si="4"/>
        <v/>
      </c>
      <c r="S297" s="85" t="str">
        <f t="shared" si="2"/>
        <v/>
      </c>
      <c r="T297" s="76"/>
      <c r="U297" s="76"/>
      <c r="V297" s="76"/>
      <c r="W297" s="76"/>
      <c r="X297" s="75"/>
      <c r="Y297" s="68"/>
      <c r="Z297" s="68"/>
      <c r="AA297" s="76"/>
      <c r="AB297" s="76"/>
      <c r="AC297" s="69" t="str">
        <f t="shared" si="5"/>
        <v/>
      </c>
      <c r="AD297" s="69" t="str">
        <f t="shared" si="6"/>
        <v/>
      </c>
      <c r="AE297" s="70" t="str">
        <f t="shared" si="7"/>
        <v/>
      </c>
      <c r="AF297" s="71" t="str">
        <f t="shared" si="8"/>
        <v/>
      </c>
      <c r="AG297" s="69" t="str">
        <f t="shared" si="9"/>
        <v/>
      </c>
      <c r="AH297" s="69" t="str">
        <f t="shared" si="10"/>
        <v/>
      </c>
      <c r="AI297" s="69" t="str">
        <f t="shared" si="3"/>
        <v/>
      </c>
    </row>
    <row r="298">
      <c r="A298" s="56" t="str">
        <f t="shared" si="1"/>
        <v/>
      </c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80"/>
      <c r="P298" s="72"/>
      <c r="Q298" s="80"/>
      <c r="R298" s="63" t="str">
        <f t="shared" si="4"/>
        <v/>
      </c>
      <c r="S298" s="85" t="str">
        <f t="shared" si="2"/>
        <v/>
      </c>
      <c r="T298" s="76"/>
      <c r="U298" s="76"/>
      <c r="V298" s="76"/>
      <c r="W298" s="76"/>
      <c r="X298" s="75"/>
      <c r="Y298" s="68"/>
      <c r="Z298" s="68"/>
      <c r="AA298" s="76"/>
      <c r="AB298" s="76"/>
      <c r="AC298" s="69" t="str">
        <f t="shared" si="5"/>
        <v/>
      </c>
      <c r="AD298" s="69" t="str">
        <f t="shared" si="6"/>
        <v/>
      </c>
      <c r="AE298" s="70" t="str">
        <f t="shared" si="7"/>
        <v/>
      </c>
      <c r="AF298" s="71" t="str">
        <f t="shared" si="8"/>
        <v/>
      </c>
      <c r="AG298" s="69" t="str">
        <f t="shared" si="9"/>
        <v/>
      </c>
      <c r="AH298" s="69" t="str">
        <f t="shared" si="10"/>
        <v/>
      </c>
      <c r="AI298" s="69" t="str">
        <f t="shared" si="3"/>
        <v/>
      </c>
    </row>
    <row r="299">
      <c r="A299" s="56" t="str">
        <f t="shared" si="1"/>
        <v/>
      </c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80"/>
      <c r="P299" s="72"/>
      <c r="Q299" s="80"/>
      <c r="R299" s="63" t="str">
        <f t="shared" si="4"/>
        <v/>
      </c>
      <c r="S299" s="85" t="str">
        <f t="shared" si="2"/>
        <v/>
      </c>
      <c r="T299" s="76"/>
      <c r="U299" s="76"/>
      <c r="V299" s="76"/>
      <c r="W299" s="76"/>
      <c r="X299" s="75"/>
      <c r="Y299" s="68"/>
      <c r="Z299" s="68"/>
      <c r="AA299" s="76"/>
      <c r="AB299" s="76"/>
      <c r="AC299" s="69" t="str">
        <f t="shared" si="5"/>
        <v/>
      </c>
      <c r="AD299" s="69" t="str">
        <f t="shared" si="6"/>
        <v/>
      </c>
      <c r="AE299" s="70" t="str">
        <f t="shared" si="7"/>
        <v/>
      </c>
      <c r="AF299" s="71" t="str">
        <f t="shared" si="8"/>
        <v/>
      </c>
      <c r="AG299" s="69" t="str">
        <f t="shared" si="9"/>
        <v/>
      </c>
      <c r="AH299" s="69" t="str">
        <f t="shared" si="10"/>
        <v/>
      </c>
      <c r="AI299" s="69" t="str">
        <f t="shared" si="3"/>
        <v/>
      </c>
    </row>
    <row r="300">
      <c r="A300" s="56" t="str">
        <f t="shared" si="1"/>
        <v/>
      </c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80"/>
      <c r="P300" s="72"/>
      <c r="Q300" s="80"/>
      <c r="R300" s="63" t="str">
        <f t="shared" si="4"/>
        <v/>
      </c>
      <c r="S300" s="85" t="str">
        <f t="shared" si="2"/>
        <v/>
      </c>
      <c r="T300" s="76"/>
      <c r="U300" s="76"/>
      <c r="V300" s="76"/>
      <c r="W300" s="76"/>
      <c r="X300" s="75"/>
      <c r="Y300" s="68"/>
      <c r="Z300" s="68"/>
      <c r="AA300" s="76"/>
      <c r="AB300" s="76"/>
      <c r="AC300" s="69" t="str">
        <f t="shared" si="5"/>
        <v/>
      </c>
      <c r="AD300" s="69" t="str">
        <f t="shared" si="6"/>
        <v/>
      </c>
      <c r="AE300" s="70" t="str">
        <f t="shared" si="7"/>
        <v/>
      </c>
      <c r="AF300" s="71" t="str">
        <f t="shared" si="8"/>
        <v/>
      </c>
      <c r="AG300" s="69" t="str">
        <f t="shared" si="9"/>
        <v/>
      </c>
      <c r="AH300" s="69" t="str">
        <f t="shared" si="10"/>
        <v/>
      </c>
      <c r="AI300" s="69" t="str">
        <f t="shared" si="3"/>
        <v/>
      </c>
    </row>
    <row r="301">
      <c r="A301" s="56" t="str">
        <f t="shared" si="1"/>
        <v/>
      </c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80"/>
      <c r="P301" s="72"/>
      <c r="Q301" s="80"/>
      <c r="R301" s="63" t="str">
        <f t="shared" si="4"/>
        <v/>
      </c>
      <c r="S301" s="85" t="str">
        <f t="shared" si="2"/>
        <v/>
      </c>
      <c r="T301" s="76"/>
      <c r="U301" s="76"/>
      <c r="V301" s="76"/>
      <c r="W301" s="76"/>
      <c r="X301" s="75"/>
      <c r="Y301" s="68"/>
      <c r="Z301" s="68"/>
      <c r="AA301" s="76"/>
      <c r="AB301" s="76"/>
      <c r="AC301" s="69" t="str">
        <f t="shared" si="5"/>
        <v/>
      </c>
      <c r="AD301" s="69" t="str">
        <f t="shared" si="6"/>
        <v/>
      </c>
      <c r="AE301" s="70" t="str">
        <f t="shared" si="7"/>
        <v/>
      </c>
      <c r="AF301" s="71" t="str">
        <f t="shared" si="8"/>
        <v/>
      </c>
      <c r="AG301" s="69" t="str">
        <f t="shared" si="9"/>
        <v/>
      </c>
      <c r="AH301" s="69" t="str">
        <f t="shared" si="10"/>
        <v/>
      </c>
      <c r="AI301" s="69" t="str">
        <f t="shared" si="3"/>
        <v/>
      </c>
    </row>
    <row r="302">
      <c r="A302" s="56" t="str">
        <f t="shared" si="1"/>
        <v/>
      </c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80"/>
      <c r="P302" s="72"/>
      <c r="Q302" s="80"/>
      <c r="R302" s="63" t="str">
        <f t="shared" si="4"/>
        <v/>
      </c>
      <c r="S302" s="85" t="str">
        <f t="shared" si="2"/>
        <v/>
      </c>
      <c r="T302" s="76"/>
      <c r="U302" s="76"/>
      <c r="V302" s="76"/>
      <c r="W302" s="76"/>
      <c r="X302" s="75"/>
      <c r="Y302" s="68"/>
      <c r="Z302" s="68"/>
      <c r="AA302" s="76"/>
      <c r="AB302" s="76"/>
      <c r="AC302" s="69" t="str">
        <f t="shared" si="5"/>
        <v/>
      </c>
      <c r="AD302" s="69" t="str">
        <f t="shared" si="6"/>
        <v/>
      </c>
      <c r="AE302" s="70" t="str">
        <f t="shared" si="7"/>
        <v/>
      </c>
      <c r="AF302" s="71" t="str">
        <f t="shared" si="8"/>
        <v/>
      </c>
      <c r="AG302" s="69" t="str">
        <f t="shared" si="9"/>
        <v/>
      </c>
      <c r="AH302" s="69" t="str">
        <f t="shared" si="10"/>
        <v/>
      </c>
      <c r="AI302" s="69" t="str">
        <f t="shared" si="3"/>
        <v/>
      </c>
    </row>
    <row r="303">
      <c r="A303" s="56" t="str">
        <f t="shared" si="1"/>
        <v/>
      </c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80"/>
      <c r="P303" s="72"/>
      <c r="Q303" s="80"/>
      <c r="R303" s="63" t="str">
        <f t="shared" si="4"/>
        <v/>
      </c>
      <c r="S303" s="85" t="str">
        <f t="shared" si="2"/>
        <v/>
      </c>
      <c r="T303" s="76"/>
      <c r="U303" s="76"/>
      <c r="V303" s="76"/>
      <c r="W303" s="76"/>
      <c r="X303" s="75"/>
      <c r="Y303" s="68"/>
      <c r="Z303" s="68"/>
      <c r="AA303" s="76"/>
      <c r="AB303" s="76"/>
      <c r="AC303" s="69" t="str">
        <f t="shared" si="5"/>
        <v/>
      </c>
      <c r="AD303" s="69" t="str">
        <f t="shared" si="6"/>
        <v/>
      </c>
      <c r="AE303" s="70" t="str">
        <f t="shared" si="7"/>
        <v/>
      </c>
      <c r="AF303" s="71" t="str">
        <f t="shared" si="8"/>
        <v/>
      </c>
      <c r="AG303" s="69" t="str">
        <f t="shared" si="9"/>
        <v/>
      </c>
      <c r="AH303" s="69" t="str">
        <f t="shared" si="10"/>
        <v/>
      </c>
      <c r="AI303" s="69" t="str">
        <f t="shared" si="3"/>
        <v/>
      </c>
    </row>
    <row r="304">
      <c r="A304" s="56" t="str">
        <f t="shared" si="1"/>
        <v/>
      </c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80"/>
      <c r="P304" s="72"/>
      <c r="Q304" s="80"/>
      <c r="R304" s="63" t="str">
        <f t="shared" si="4"/>
        <v/>
      </c>
      <c r="S304" s="85" t="str">
        <f t="shared" si="2"/>
        <v/>
      </c>
      <c r="T304" s="76"/>
      <c r="U304" s="76"/>
      <c r="V304" s="76"/>
      <c r="W304" s="76"/>
      <c r="X304" s="75"/>
      <c r="Y304" s="68"/>
      <c r="Z304" s="68"/>
      <c r="AA304" s="76"/>
      <c r="AB304" s="76"/>
      <c r="AC304" s="69" t="str">
        <f t="shared" si="5"/>
        <v/>
      </c>
      <c r="AD304" s="69" t="str">
        <f t="shared" si="6"/>
        <v/>
      </c>
      <c r="AE304" s="70" t="str">
        <f t="shared" si="7"/>
        <v/>
      </c>
      <c r="AF304" s="71" t="str">
        <f t="shared" si="8"/>
        <v/>
      </c>
      <c r="AG304" s="69" t="str">
        <f t="shared" si="9"/>
        <v/>
      </c>
      <c r="AH304" s="69" t="str">
        <f t="shared" si="10"/>
        <v/>
      </c>
      <c r="AI304" s="69" t="str">
        <f t="shared" si="3"/>
        <v/>
      </c>
    </row>
    <row r="305">
      <c r="A305" s="56" t="str">
        <f t="shared" si="1"/>
        <v/>
      </c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80"/>
      <c r="P305" s="72"/>
      <c r="Q305" s="80"/>
      <c r="R305" s="63" t="str">
        <f t="shared" si="4"/>
        <v/>
      </c>
      <c r="S305" s="85" t="str">
        <f t="shared" si="2"/>
        <v/>
      </c>
      <c r="T305" s="76"/>
      <c r="U305" s="76"/>
      <c r="V305" s="76"/>
      <c r="W305" s="76"/>
      <c r="X305" s="75"/>
      <c r="Y305" s="68"/>
      <c r="Z305" s="68"/>
      <c r="AA305" s="76"/>
      <c r="AB305" s="76"/>
      <c r="AC305" s="69" t="str">
        <f t="shared" si="5"/>
        <v/>
      </c>
      <c r="AD305" s="69" t="str">
        <f t="shared" si="6"/>
        <v/>
      </c>
      <c r="AE305" s="70" t="str">
        <f t="shared" si="7"/>
        <v/>
      </c>
      <c r="AF305" s="71" t="str">
        <f t="shared" si="8"/>
        <v/>
      </c>
      <c r="AG305" s="69" t="str">
        <f t="shared" si="9"/>
        <v/>
      </c>
      <c r="AH305" s="69" t="str">
        <f t="shared" si="10"/>
        <v/>
      </c>
      <c r="AI305" s="69" t="str">
        <f t="shared" si="3"/>
        <v/>
      </c>
    </row>
    <row r="306">
      <c r="A306" s="56" t="str">
        <f t="shared" si="1"/>
        <v/>
      </c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80"/>
      <c r="P306" s="72"/>
      <c r="Q306" s="80"/>
      <c r="R306" s="63" t="str">
        <f t="shared" si="4"/>
        <v/>
      </c>
      <c r="S306" s="85" t="str">
        <f t="shared" si="2"/>
        <v/>
      </c>
      <c r="T306" s="76"/>
      <c r="U306" s="76"/>
      <c r="V306" s="76"/>
      <c r="W306" s="76"/>
      <c r="X306" s="75"/>
      <c r="Y306" s="68"/>
      <c r="Z306" s="68"/>
      <c r="AA306" s="76"/>
      <c r="AB306" s="76"/>
      <c r="AC306" s="69" t="str">
        <f t="shared" si="5"/>
        <v/>
      </c>
      <c r="AD306" s="69" t="str">
        <f t="shared" si="6"/>
        <v/>
      </c>
      <c r="AE306" s="70" t="str">
        <f t="shared" si="7"/>
        <v/>
      </c>
      <c r="AF306" s="71" t="str">
        <f t="shared" si="8"/>
        <v/>
      </c>
      <c r="AG306" s="69" t="str">
        <f t="shared" si="9"/>
        <v/>
      </c>
      <c r="AH306" s="69" t="str">
        <f t="shared" si="10"/>
        <v/>
      </c>
      <c r="AI306" s="69" t="str">
        <f t="shared" si="3"/>
        <v/>
      </c>
    </row>
    <row r="307">
      <c r="A307" s="56" t="str">
        <f t="shared" si="1"/>
        <v/>
      </c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80"/>
      <c r="P307" s="72"/>
      <c r="Q307" s="80"/>
      <c r="R307" s="63" t="str">
        <f t="shared" si="4"/>
        <v/>
      </c>
      <c r="S307" s="85" t="str">
        <f t="shared" si="2"/>
        <v/>
      </c>
      <c r="T307" s="76"/>
      <c r="U307" s="76"/>
      <c r="V307" s="76"/>
      <c r="W307" s="76"/>
      <c r="X307" s="75"/>
      <c r="Y307" s="68"/>
      <c r="Z307" s="68"/>
      <c r="AA307" s="76"/>
      <c r="AB307" s="76"/>
      <c r="AC307" s="69" t="str">
        <f t="shared" si="5"/>
        <v/>
      </c>
      <c r="AD307" s="69" t="str">
        <f t="shared" si="6"/>
        <v/>
      </c>
      <c r="AE307" s="70" t="str">
        <f t="shared" si="7"/>
        <v/>
      </c>
      <c r="AF307" s="71" t="str">
        <f t="shared" si="8"/>
        <v/>
      </c>
      <c r="AG307" s="69" t="str">
        <f t="shared" si="9"/>
        <v/>
      </c>
      <c r="AH307" s="69" t="str">
        <f t="shared" si="10"/>
        <v/>
      </c>
      <c r="AI307" s="69" t="str">
        <f t="shared" si="3"/>
        <v/>
      </c>
    </row>
    <row r="308">
      <c r="A308" s="56" t="str">
        <f t="shared" si="1"/>
        <v/>
      </c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80"/>
      <c r="P308" s="72"/>
      <c r="Q308" s="80"/>
      <c r="R308" s="63" t="str">
        <f t="shared" si="4"/>
        <v/>
      </c>
      <c r="S308" s="85" t="str">
        <f t="shared" si="2"/>
        <v/>
      </c>
      <c r="T308" s="76"/>
      <c r="U308" s="76"/>
      <c r="V308" s="76"/>
      <c r="W308" s="76"/>
      <c r="X308" s="75"/>
      <c r="Y308" s="68"/>
      <c r="Z308" s="68"/>
      <c r="AA308" s="76"/>
      <c r="AB308" s="76"/>
      <c r="AC308" s="69" t="str">
        <f t="shared" si="5"/>
        <v/>
      </c>
      <c r="AD308" s="69" t="str">
        <f t="shared" si="6"/>
        <v/>
      </c>
      <c r="AE308" s="70" t="str">
        <f t="shared" si="7"/>
        <v/>
      </c>
      <c r="AF308" s="71" t="str">
        <f t="shared" si="8"/>
        <v/>
      </c>
      <c r="AG308" s="69" t="str">
        <f t="shared" si="9"/>
        <v/>
      </c>
      <c r="AH308" s="69" t="str">
        <f t="shared" si="10"/>
        <v/>
      </c>
      <c r="AI308" s="69" t="str">
        <f t="shared" si="3"/>
        <v/>
      </c>
    </row>
    <row r="309">
      <c r="A309" s="56" t="str">
        <f t="shared" si="1"/>
        <v/>
      </c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80"/>
      <c r="P309" s="72"/>
      <c r="Q309" s="80"/>
      <c r="R309" s="63" t="str">
        <f t="shared" si="4"/>
        <v/>
      </c>
      <c r="S309" s="85" t="str">
        <f t="shared" si="2"/>
        <v/>
      </c>
      <c r="T309" s="76"/>
      <c r="U309" s="76"/>
      <c r="V309" s="76"/>
      <c r="W309" s="76"/>
      <c r="X309" s="75"/>
      <c r="Y309" s="68"/>
      <c r="Z309" s="68"/>
      <c r="AA309" s="76"/>
      <c r="AB309" s="76"/>
      <c r="AC309" s="69" t="str">
        <f t="shared" si="5"/>
        <v/>
      </c>
      <c r="AD309" s="69" t="str">
        <f t="shared" si="6"/>
        <v/>
      </c>
      <c r="AE309" s="70" t="str">
        <f t="shared" si="7"/>
        <v/>
      </c>
      <c r="AF309" s="71" t="str">
        <f t="shared" si="8"/>
        <v/>
      </c>
      <c r="AG309" s="69" t="str">
        <f t="shared" si="9"/>
        <v/>
      </c>
      <c r="AH309" s="69" t="str">
        <f t="shared" si="10"/>
        <v/>
      </c>
      <c r="AI309" s="69" t="str">
        <f t="shared" si="3"/>
        <v/>
      </c>
    </row>
    <row r="310">
      <c r="A310" s="56" t="str">
        <f t="shared" si="1"/>
        <v/>
      </c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80"/>
      <c r="P310" s="72"/>
      <c r="Q310" s="80"/>
      <c r="R310" s="63" t="str">
        <f t="shared" si="4"/>
        <v/>
      </c>
      <c r="S310" s="85" t="str">
        <f t="shared" si="2"/>
        <v/>
      </c>
      <c r="T310" s="76"/>
      <c r="U310" s="76"/>
      <c r="V310" s="76"/>
      <c r="W310" s="76"/>
      <c r="X310" s="75"/>
      <c r="Y310" s="68"/>
      <c r="Z310" s="68"/>
      <c r="AA310" s="76"/>
      <c r="AB310" s="76"/>
      <c r="AC310" s="69" t="str">
        <f t="shared" si="5"/>
        <v/>
      </c>
      <c r="AD310" s="69" t="str">
        <f t="shared" si="6"/>
        <v/>
      </c>
      <c r="AE310" s="70" t="str">
        <f t="shared" si="7"/>
        <v/>
      </c>
      <c r="AF310" s="71" t="str">
        <f t="shared" si="8"/>
        <v/>
      </c>
      <c r="AG310" s="69" t="str">
        <f t="shared" si="9"/>
        <v/>
      </c>
      <c r="AH310" s="69" t="str">
        <f t="shared" si="10"/>
        <v/>
      </c>
      <c r="AI310" s="69" t="str">
        <f t="shared" si="3"/>
        <v/>
      </c>
    </row>
    <row r="311">
      <c r="A311" s="56" t="str">
        <f t="shared" si="1"/>
        <v/>
      </c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80"/>
      <c r="P311" s="72"/>
      <c r="Q311" s="80"/>
      <c r="R311" s="63" t="str">
        <f t="shared" si="4"/>
        <v/>
      </c>
      <c r="S311" s="85" t="str">
        <f t="shared" si="2"/>
        <v/>
      </c>
      <c r="T311" s="76"/>
      <c r="U311" s="76"/>
      <c r="V311" s="76"/>
      <c r="W311" s="76"/>
      <c r="X311" s="75"/>
      <c r="Y311" s="68"/>
      <c r="Z311" s="68"/>
      <c r="AA311" s="76"/>
      <c r="AB311" s="76"/>
      <c r="AC311" s="69" t="str">
        <f t="shared" si="5"/>
        <v/>
      </c>
      <c r="AD311" s="69" t="str">
        <f t="shared" si="6"/>
        <v/>
      </c>
      <c r="AE311" s="70" t="str">
        <f t="shared" si="7"/>
        <v/>
      </c>
      <c r="AF311" s="71" t="str">
        <f t="shared" si="8"/>
        <v/>
      </c>
      <c r="AG311" s="69" t="str">
        <f t="shared" si="9"/>
        <v/>
      </c>
      <c r="AH311" s="69" t="str">
        <f t="shared" si="10"/>
        <v/>
      </c>
      <c r="AI311" s="69" t="str">
        <f t="shared" si="3"/>
        <v/>
      </c>
    </row>
    <row r="312">
      <c r="A312" s="56" t="str">
        <f t="shared" si="1"/>
        <v/>
      </c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80"/>
      <c r="P312" s="72"/>
      <c r="Q312" s="80"/>
      <c r="R312" s="63" t="str">
        <f t="shared" si="4"/>
        <v/>
      </c>
      <c r="S312" s="85" t="str">
        <f t="shared" si="2"/>
        <v/>
      </c>
      <c r="T312" s="76"/>
      <c r="U312" s="76"/>
      <c r="V312" s="76"/>
      <c r="W312" s="76"/>
      <c r="X312" s="75"/>
      <c r="Y312" s="68"/>
      <c r="Z312" s="68"/>
      <c r="AA312" s="76"/>
      <c r="AB312" s="76"/>
      <c r="AC312" s="69" t="str">
        <f t="shared" si="5"/>
        <v/>
      </c>
      <c r="AD312" s="69" t="str">
        <f t="shared" si="6"/>
        <v/>
      </c>
      <c r="AE312" s="70" t="str">
        <f t="shared" si="7"/>
        <v/>
      </c>
      <c r="AF312" s="71" t="str">
        <f t="shared" si="8"/>
        <v/>
      </c>
      <c r="AG312" s="69" t="str">
        <f t="shared" si="9"/>
        <v/>
      </c>
      <c r="AH312" s="69" t="str">
        <f t="shared" si="10"/>
        <v/>
      </c>
      <c r="AI312" s="69" t="str">
        <f t="shared" si="3"/>
        <v/>
      </c>
    </row>
    <row r="313">
      <c r="A313" s="56" t="str">
        <f t="shared" si="1"/>
        <v/>
      </c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80"/>
      <c r="P313" s="72"/>
      <c r="Q313" s="80"/>
      <c r="R313" s="63" t="str">
        <f t="shared" si="4"/>
        <v/>
      </c>
      <c r="S313" s="85" t="str">
        <f t="shared" si="2"/>
        <v/>
      </c>
      <c r="T313" s="76"/>
      <c r="U313" s="76"/>
      <c r="V313" s="76"/>
      <c r="W313" s="76"/>
      <c r="X313" s="75"/>
      <c r="Y313" s="68"/>
      <c r="Z313" s="68"/>
      <c r="AA313" s="76"/>
      <c r="AB313" s="76"/>
      <c r="AC313" s="69" t="str">
        <f t="shared" si="5"/>
        <v/>
      </c>
      <c r="AD313" s="69" t="str">
        <f t="shared" si="6"/>
        <v/>
      </c>
      <c r="AE313" s="70" t="str">
        <f t="shared" si="7"/>
        <v/>
      </c>
      <c r="AF313" s="71" t="str">
        <f t="shared" si="8"/>
        <v/>
      </c>
      <c r="AG313" s="69" t="str">
        <f t="shared" si="9"/>
        <v/>
      </c>
      <c r="AH313" s="69" t="str">
        <f t="shared" si="10"/>
        <v/>
      </c>
      <c r="AI313" s="69" t="str">
        <f t="shared" si="3"/>
        <v/>
      </c>
    </row>
    <row r="314">
      <c r="A314" s="56" t="str">
        <f t="shared" si="1"/>
        <v/>
      </c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80"/>
      <c r="P314" s="72"/>
      <c r="Q314" s="80"/>
      <c r="R314" s="63" t="str">
        <f t="shared" si="4"/>
        <v/>
      </c>
      <c r="S314" s="85" t="str">
        <f t="shared" si="2"/>
        <v/>
      </c>
      <c r="T314" s="76"/>
      <c r="U314" s="76"/>
      <c r="V314" s="76"/>
      <c r="W314" s="76"/>
      <c r="X314" s="75"/>
      <c r="Y314" s="68"/>
      <c r="Z314" s="68"/>
      <c r="AA314" s="76"/>
      <c r="AB314" s="76"/>
      <c r="AC314" s="69" t="str">
        <f t="shared" si="5"/>
        <v/>
      </c>
      <c r="AD314" s="69" t="str">
        <f t="shared" si="6"/>
        <v/>
      </c>
      <c r="AE314" s="70" t="str">
        <f t="shared" si="7"/>
        <v/>
      </c>
      <c r="AF314" s="71" t="str">
        <f t="shared" si="8"/>
        <v/>
      </c>
      <c r="AG314" s="69" t="str">
        <f t="shared" si="9"/>
        <v/>
      </c>
      <c r="AH314" s="69" t="str">
        <f t="shared" si="10"/>
        <v/>
      </c>
      <c r="AI314" s="69" t="str">
        <f t="shared" si="3"/>
        <v/>
      </c>
    </row>
    <row r="315">
      <c r="A315" s="56" t="str">
        <f t="shared" si="1"/>
        <v/>
      </c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80"/>
      <c r="P315" s="72"/>
      <c r="Q315" s="80"/>
      <c r="R315" s="63" t="str">
        <f t="shared" si="4"/>
        <v/>
      </c>
      <c r="S315" s="85" t="str">
        <f t="shared" si="2"/>
        <v/>
      </c>
      <c r="T315" s="76"/>
      <c r="U315" s="76"/>
      <c r="V315" s="76"/>
      <c r="W315" s="76"/>
      <c r="X315" s="75"/>
      <c r="Y315" s="68"/>
      <c r="Z315" s="68"/>
      <c r="AA315" s="76"/>
      <c r="AB315" s="76"/>
      <c r="AC315" s="69" t="str">
        <f t="shared" si="5"/>
        <v/>
      </c>
      <c r="AD315" s="69" t="str">
        <f t="shared" si="6"/>
        <v/>
      </c>
      <c r="AE315" s="70" t="str">
        <f t="shared" si="7"/>
        <v/>
      </c>
      <c r="AF315" s="71" t="str">
        <f t="shared" si="8"/>
        <v/>
      </c>
      <c r="AG315" s="69" t="str">
        <f t="shared" si="9"/>
        <v/>
      </c>
      <c r="AH315" s="69" t="str">
        <f t="shared" si="10"/>
        <v/>
      </c>
      <c r="AI315" s="69" t="str">
        <f t="shared" si="3"/>
        <v/>
      </c>
    </row>
    <row r="316">
      <c r="A316" s="56" t="str">
        <f t="shared" si="1"/>
        <v/>
      </c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80"/>
      <c r="P316" s="72"/>
      <c r="Q316" s="80"/>
      <c r="R316" s="63" t="str">
        <f t="shared" si="4"/>
        <v/>
      </c>
      <c r="S316" s="85" t="str">
        <f t="shared" si="2"/>
        <v/>
      </c>
      <c r="T316" s="76"/>
      <c r="U316" s="76"/>
      <c r="V316" s="76"/>
      <c r="W316" s="76"/>
      <c r="X316" s="75"/>
      <c r="Y316" s="68"/>
      <c r="Z316" s="68"/>
      <c r="AA316" s="76"/>
      <c r="AB316" s="76"/>
      <c r="AC316" s="69" t="str">
        <f t="shared" si="5"/>
        <v/>
      </c>
      <c r="AD316" s="69" t="str">
        <f t="shared" si="6"/>
        <v/>
      </c>
      <c r="AE316" s="70" t="str">
        <f t="shared" si="7"/>
        <v/>
      </c>
      <c r="AF316" s="71" t="str">
        <f t="shared" si="8"/>
        <v/>
      </c>
      <c r="AG316" s="69" t="str">
        <f t="shared" si="9"/>
        <v/>
      </c>
      <c r="AH316" s="69" t="str">
        <f t="shared" si="10"/>
        <v/>
      </c>
      <c r="AI316" s="69" t="str">
        <f t="shared" si="3"/>
        <v/>
      </c>
    </row>
    <row r="317">
      <c r="A317" s="56" t="str">
        <f t="shared" si="1"/>
        <v/>
      </c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80"/>
      <c r="P317" s="72"/>
      <c r="Q317" s="80"/>
      <c r="R317" s="63" t="str">
        <f t="shared" si="4"/>
        <v/>
      </c>
      <c r="S317" s="85" t="str">
        <f t="shared" si="2"/>
        <v/>
      </c>
      <c r="T317" s="76"/>
      <c r="U317" s="76"/>
      <c r="V317" s="76"/>
      <c r="W317" s="76"/>
      <c r="X317" s="75"/>
      <c r="Y317" s="68"/>
      <c r="Z317" s="68"/>
      <c r="AA317" s="76"/>
      <c r="AB317" s="76"/>
      <c r="AC317" s="69" t="str">
        <f t="shared" si="5"/>
        <v/>
      </c>
      <c r="AD317" s="69" t="str">
        <f t="shared" si="6"/>
        <v/>
      </c>
      <c r="AE317" s="70" t="str">
        <f t="shared" si="7"/>
        <v/>
      </c>
      <c r="AF317" s="71" t="str">
        <f t="shared" si="8"/>
        <v/>
      </c>
      <c r="AG317" s="69" t="str">
        <f t="shared" si="9"/>
        <v/>
      </c>
      <c r="AH317" s="69" t="str">
        <f t="shared" si="10"/>
        <v/>
      </c>
      <c r="AI317" s="69" t="str">
        <f t="shared" si="3"/>
        <v/>
      </c>
    </row>
    <row r="318">
      <c r="A318" s="56" t="str">
        <f t="shared" si="1"/>
        <v/>
      </c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80"/>
      <c r="P318" s="72"/>
      <c r="Q318" s="80"/>
      <c r="R318" s="63" t="str">
        <f t="shared" si="4"/>
        <v/>
      </c>
      <c r="S318" s="85" t="str">
        <f t="shared" si="2"/>
        <v/>
      </c>
      <c r="T318" s="76"/>
      <c r="U318" s="76"/>
      <c r="V318" s="76"/>
      <c r="W318" s="76"/>
      <c r="X318" s="75"/>
      <c r="Y318" s="68"/>
      <c r="Z318" s="68"/>
      <c r="AA318" s="76"/>
      <c r="AB318" s="76"/>
      <c r="AC318" s="69" t="str">
        <f t="shared" si="5"/>
        <v/>
      </c>
      <c r="AD318" s="69" t="str">
        <f t="shared" si="6"/>
        <v/>
      </c>
      <c r="AE318" s="70" t="str">
        <f t="shared" si="7"/>
        <v/>
      </c>
      <c r="AF318" s="71" t="str">
        <f t="shared" si="8"/>
        <v/>
      </c>
      <c r="AG318" s="69" t="str">
        <f t="shared" si="9"/>
        <v/>
      </c>
      <c r="AH318" s="69" t="str">
        <f t="shared" si="10"/>
        <v/>
      </c>
      <c r="AI318" s="69" t="str">
        <f t="shared" si="3"/>
        <v/>
      </c>
    </row>
    <row r="319">
      <c r="A319" s="56" t="str">
        <f t="shared" si="1"/>
        <v/>
      </c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80"/>
      <c r="P319" s="72"/>
      <c r="Q319" s="80"/>
      <c r="R319" s="63" t="str">
        <f t="shared" si="4"/>
        <v/>
      </c>
      <c r="S319" s="85" t="str">
        <f t="shared" si="2"/>
        <v/>
      </c>
      <c r="T319" s="76"/>
      <c r="U319" s="76"/>
      <c r="V319" s="76"/>
      <c r="W319" s="76"/>
      <c r="X319" s="75"/>
      <c r="Y319" s="68"/>
      <c r="Z319" s="68"/>
      <c r="AA319" s="76"/>
      <c r="AB319" s="76"/>
      <c r="AC319" s="69" t="str">
        <f t="shared" si="5"/>
        <v/>
      </c>
      <c r="AD319" s="69" t="str">
        <f t="shared" si="6"/>
        <v/>
      </c>
      <c r="AE319" s="70" t="str">
        <f t="shared" si="7"/>
        <v/>
      </c>
      <c r="AF319" s="71" t="str">
        <f t="shared" si="8"/>
        <v/>
      </c>
      <c r="AG319" s="69" t="str">
        <f t="shared" si="9"/>
        <v/>
      </c>
      <c r="AH319" s="69" t="str">
        <f t="shared" si="10"/>
        <v/>
      </c>
      <c r="AI319" s="69" t="str">
        <f t="shared" si="3"/>
        <v/>
      </c>
    </row>
    <row r="320">
      <c r="A320" s="56" t="str">
        <f t="shared" si="1"/>
        <v/>
      </c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80"/>
      <c r="P320" s="72"/>
      <c r="Q320" s="80"/>
      <c r="R320" s="63" t="str">
        <f t="shared" si="4"/>
        <v/>
      </c>
      <c r="S320" s="85" t="str">
        <f t="shared" si="2"/>
        <v/>
      </c>
      <c r="T320" s="76"/>
      <c r="U320" s="76"/>
      <c r="V320" s="76"/>
      <c r="W320" s="76"/>
      <c r="X320" s="75"/>
      <c r="Y320" s="68"/>
      <c r="Z320" s="68"/>
      <c r="AA320" s="76"/>
      <c r="AB320" s="76"/>
      <c r="AC320" s="69" t="str">
        <f t="shared" si="5"/>
        <v/>
      </c>
      <c r="AD320" s="69" t="str">
        <f t="shared" si="6"/>
        <v/>
      </c>
      <c r="AE320" s="70" t="str">
        <f t="shared" si="7"/>
        <v/>
      </c>
      <c r="AF320" s="71" t="str">
        <f t="shared" si="8"/>
        <v/>
      </c>
      <c r="AG320" s="69" t="str">
        <f t="shared" si="9"/>
        <v/>
      </c>
      <c r="AH320" s="69" t="str">
        <f t="shared" si="10"/>
        <v/>
      </c>
      <c r="AI320" s="69" t="str">
        <f t="shared" si="3"/>
        <v/>
      </c>
    </row>
    <row r="321">
      <c r="A321" s="56" t="str">
        <f t="shared" si="1"/>
        <v/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80"/>
      <c r="P321" s="72"/>
      <c r="Q321" s="80"/>
      <c r="R321" s="63" t="str">
        <f t="shared" si="4"/>
        <v/>
      </c>
      <c r="S321" s="85" t="str">
        <f t="shared" si="2"/>
        <v/>
      </c>
      <c r="T321" s="76"/>
      <c r="U321" s="76"/>
      <c r="V321" s="76"/>
      <c r="W321" s="76"/>
      <c r="X321" s="75"/>
      <c r="Y321" s="68"/>
      <c r="Z321" s="68"/>
      <c r="AA321" s="76"/>
      <c r="AB321" s="76"/>
      <c r="AC321" s="69" t="str">
        <f t="shared" si="5"/>
        <v/>
      </c>
      <c r="AD321" s="69" t="str">
        <f t="shared" si="6"/>
        <v/>
      </c>
      <c r="AE321" s="70" t="str">
        <f t="shared" si="7"/>
        <v/>
      </c>
      <c r="AF321" s="71" t="str">
        <f t="shared" si="8"/>
        <v/>
      </c>
      <c r="AG321" s="69" t="str">
        <f t="shared" si="9"/>
        <v/>
      </c>
      <c r="AH321" s="69" t="str">
        <f t="shared" si="10"/>
        <v/>
      </c>
      <c r="AI321" s="69" t="str">
        <f t="shared" si="3"/>
        <v/>
      </c>
    </row>
    <row r="322">
      <c r="A322" s="56" t="str">
        <f t="shared" si="1"/>
        <v/>
      </c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80"/>
      <c r="P322" s="72"/>
      <c r="Q322" s="80"/>
      <c r="R322" s="63" t="str">
        <f t="shared" si="4"/>
        <v/>
      </c>
      <c r="S322" s="85" t="str">
        <f t="shared" si="2"/>
        <v/>
      </c>
      <c r="T322" s="76"/>
      <c r="U322" s="76"/>
      <c r="V322" s="76"/>
      <c r="W322" s="76"/>
      <c r="X322" s="75"/>
      <c r="Y322" s="68"/>
      <c r="Z322" s="68"/>
      <c r="AA322" s="76"/>
      <c r="AB322" s="76"/>
      <c r="AC322" s="69" t="str">
        <f t="shared" si="5"/>
        <v/>
      </c>
      <c r="AD322" s="69" t="str">
        <f t="shared" si="6"/>
        <v/>
      </c>
      <c r="AE322" s="70" t="str">
        <f t="shared" si="7"/>
        <v/>
      </c>
      <c r="AF322" s="71" t="str">
        <f t="shared" si="8"/>
        <v/>
      </c>
      <c r="AG322" s="69" t="str">
        <f t="shared" si="9"/>
        <v/>
      </c>
      <c r="AH322" s="69" t="str">
        <f t="shared" si="10"/>
        <v/>
      </c>
      <c r="AI322" s="69" t="str">
        <f t="shared" si="3"/>
        <v/>
      </c>
    </row>
    <row r="323">
      <c r="A323" s="56" t="str">
        <f t="shared" si="1"/>
        <v/>
      </c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80"/>
      <c r="P323" s="72"/>
      <c r="Q323" s="80"/>
      <c r="R323" s="63" t="str">
        <f t="shared" si="4"/>
        <v/>
      </c>
      <c r="S323" s="85" t="str">
        <f t="shared" si="2"/>
        <v/>
      </c>
      <c r="T323" s="76"/>
      <c r="U323" s="76"/>
      <c r="V323" s="76"/>
      <c r="W323" s="76"/>
      <c r="X323" s="75"/>
      <c r="Y323" s="68"/>
      <c r="Z323" s="68"/>
      <c r="AA323" s="76"/>
      <c r="AB323" s="76"/>
      <c r="AC323" s="69" t="str">
        <f t="shared" si="5"/>
        <v/>
      </c>
      <c r="AD323" s="69" t="str">
        <f t="shared" si="6"/>
        <v/>
      </c>
      <c r="AE323" s="70" t="str">
        <f t="shared" si="7"/>
        <v/>
      </c>
      <c r="AF323" s="71" t="str">
        <f t="shared" si="8"/>
        <v/>
      </c>
      <c r="AG323" s="69" t="str">
        <f t="shared" si="9"/>
        <v/>
      </c>
      <c r="AH323" s="69" t="str">
        <f t="shared" si="10"/>
        <v/>
      </c>
      <c r="AI323" s="69" t="str">
        <f t="shared" si="3"/>
        <v/>
      </c>
    </row>
    <row r="324">
      <c r="A324" s="56" t="str">
        <f t="shared" si="1"/>
        <v/>
      </c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80"/>
      <c r="P324" s="72"/>
      <c r="Q324" s="80"/>
      <c r="R324" s="63" t="str">
        <f t="shared" si="4"/>
        <v/>
      </c>
      <c r="S324" s="85" t="str">
        <f t="shared" si="2"/>
        <v/>
      </c>
      <c r="T324" s="76"/>
      <c r="U324" s="76"/>
      <c r="V324" s="76"/>
      <c r="W324" s="76"/>
      <c r="X324" s="75"/>
      <c r="Y324" s="68"/>
      <c r="Z324" s="68"/>
      <c r="AA324" s="76"/>
      <c r="AB324" s="76"/>
      <c r="AC324" s="69" t="str">
        <f t="shared" si="5"/>
        <v/>
      </c>
      <c r="AD324" s="69" t="str">
        <f t="shared" si="6"/>
        <v/>
      </c>
      <c r="AE324" s="70" t="str">
        <f t="shared" si="7"/>
        <v/>
      </c>
      <c r="AF324" s="71" t="str">
        <f t="shared" si="8"/>
        <v/>
      </c>
      <c r="AG324" s="69" t="str">
        <f t="shared" si="9"/>
        <v/>
      </c>
      <c r="AH324" s="69" t="str">
        <f t="shared" si="10"/>
        <v/>
      </c>
      <c r="AI324" s="69" t="str">
        <f t="shared" si="3"/>
        <v/>
      </c>
    </row>
    <row r="325">
      <c r="A325" s="56" t="str">
        <f t="shared" si="1"/>
        <v/>
      </c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80"/>
      <c r="P325" s="72"/>
      <c r="Q325" s="80"/>
      <c r="R325" s="63" t="str">
        <f t="shared" si="4"/>
        <v/>
      </c>
      <c r="S325" s="85" t="str">
        <f t="shared" si="2"/>
        <v/>
      </c>
      <c r="T325" s="76"/>
      <c r="U325" s="76"/>
      <c r="V325" s="76"/>
      <c r="W325" s="76"/>
      <c r="X325" s="75"/>
      <c r="Y325" s="68"/>
      <c r="Z325" s="68"/>
      <c r="AA325" s="76"/>
      <c r="AB325" s="76"/>
      <c r="AC325" s="69" t="str">
        <f t="shared" si="5"/>
        <v/>
      </c>
      <c r="AD325" s="69" t="str">
        <f t="shared" si="6"/>
        <v/>
      </c>
      <c r="AE325" s="70" t="str">
        <f t="shared" si="7"/>
        <v/>
      </c>
      <c r="AF325" s="71" t="str">
        <f t="shared" si="8"/>
        <v/>
      </c>
      <c r="AG325" s="69" t="str">
        <f t="shared" si="9"/>
        <v/>
      </c>
      <c r="AH325" s="69" t="str">
        <f t="shared" si="10"/>
        <v/>
      </c>
      <c r="AI325" s="69" t="str">
        <f t="shared" si="3"/>
        <v/>
      </c>
    </row>
    <row r="326">
      <c r="A326" s="56" t="str">
        <f t="shared" si="1"/>
        <v/>
      </c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80"/>
      <c r="P326" s="72"/>
      <c r="Q326" s="80"/>
      <c r="R326" s="63" t="str">
        <f t="shared" si="4"/>
        <v/>
      </c>
      <c r="S326" s="85" t="str">
        <f t="shared" si="2"/>
        <v/>
      </c>
      <c r="T326" s="76"/>
      <c r="U326" s="76"/>
      <c r="V326" s="76"/>
      <c r="W326" s="76"/>
      <c r="X326" s="75"/>
      <c r="Y326" s="68"/>
      <c r="Z326" s="68"/>
      <c r="AA326" s="76"/>
      <c r="AB326" s="76"/>
      <c r="AC326" s="69" t="str">
        <f t="shared" si="5"/>
        <v/>
      </c>
      <c r="AD326" s="69" t="str">
        <f t="shared" si="6"/>
        <v/>
      </c>
      <c r="AE326" s="70" t="str">
        <f t="shared" si="7"/>
        <v/>
      </c>
      <c r="AF326" s="71" t="str">
        <f t="shared" si="8"/>
        <v/>
      </c>
      <c r="AG326" s="69" t="str">
        <f t="shared" si="9"/>
        <v/>
      </c>
      <c r="AH326" s="69" t="str">
        <f t="shared" si="10"/>
        <v/>
      </c>
      <c r="AI326" s="69" t="str">
        <f t="shared" si="3"/>
        <v/>
      </c>
    </row>
    <row r="327">
      <c r="A327" s="56" t="str">
        <f t="shared" si="1"/>
        <v/>
      </c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80"/>
      <c r="P327" s="72"/>
      <c r="Q327" s="80"/>
      <c r="R327" s="63" t="str">
        <f t="shared" si="4"/>
        <v/>
      </c>
      <c r="S327" s="85" t="str">
        <f t="shared" si="2"/>
        <v/>
      </c>
      <c r="T327" s="76"/>
      <c r="U327" s="76"/>
      <c r="V327" s="76"/>
      <c r="W327" s="76"/>
      <c r="X327" s="75"/>
      <c r="Y327" s="68"/>
      <c r="Z327" s="68"/>
      <c r="AA327" s="76"/>
      <c r="AB327" s="76"/>
      <c r="AC327" s="69" t="str">
        <f t="shared" si="5"/>
        <v/>
      </c>
      <c r="AD327" s="69" t="str">
        <f t="shared" si="6"/>
        <v/>
      </c>
      <c r="AE327" s="70" t="str">
        <f t="shared" si="7"/>
        <v/>
      </c>
      <c r="AF327" s="71" t="str">
        <f t="shared" si="8"/>
        <v/>
      </c>
      <c r="AG327" s="69" t="str">
        <f t="shared" si="9"/>
        <v/>
      </c>
      <c r="AH327" s="69" t="str">
        <f t="shared" si="10"/>
        <v/>
      </c>
      <c r="AI327" s="69" t="str">
        <f t="shared" si="3"/>
        <v/>
      </c>
    </row>
    <row r="328">
      <c r="A328" s="56" t="str">
        <f t="shared" si="1"/>
        <v/>
      </c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80"/>
      <c r="P328" s="72"/>
      <c r="Q328" s="80"/>
      <c r="R328" s="63" t="str">
        <f t="shared" si="4"/>
        <v/>
      </c>
      <c r="S328" s="85" t="str">
        <f t="shared" si="2"/>
        <v/>
      </c>
      <c r="T328" s="76"/>
      <c r="U328" s="76"/>
      <c r="V328" s="76"/>
      <c r="W328" s="76"/>
      <c r="X328" s="75"/>
      <c r="Y328" s="68"/>
      <c r="Z328" s="68"/>
      <c r="AA328" s="76"/>
      <c r="AB328" s="76"/>
      <c r="AC328" s="69" t="str">
        <f t="shared" si="5"/>
        <v/>
      </c>
      <c r="AD328" s="69" t="str">
        <f t="shared" si="6"/>
        <v/>
      </c>
      <c r="AE328" s="70" t="str">
        <f t="shared" si="7"/>
        <v/>
      </c>
      <c r="AF328" s="71" t="str">
        <f t="shared" si="8"/>
        <v/>
      </c>
      <c r="AG328" s="69" t="str">
        <f t="shared" si="9"/>
        <v/>
      </c>
      <c r="AH328" s="69" t="str">
        <f t="shared" si="10"/>
        <v/>
      </c>
      <c r="AI328" s="69" t="str">
        <f t="shared" si="3"/>
        <v/>
      </c>
    </row>
    <row r="329">
      <c r="A329" s="56" t="str">
        <f t="shared" si="1"/>
        <v/>
      </c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80"/>
      <c r="P329" s="72"/>
      <c r="Q329" s="80"/>
      <c r="R329" s="63" t="str">
        <f t="shared" si="4"/>
        <v/>
      </c>
      <c r="S329" s="85" t="str">
        <f t="shared" si="2"/>
        <v/>
      </c>
      <c r="T329" s="76"/>
      <c r="U329" s="76"/>
      <c r="V329" s="76"/>
      <c r="W329" s="76"/>
      <c r="X329" s="75"/>
      <c r="Y329" s="68"/>
      <c r="Z329" s="68"/>
      <c r="AA329" s="76"/>
      <c r="AB329" s="76"/>
      <c r="AC329" s="69" t="str">
        <f t="shared" si="5"/>
        <v/>
      </c>
      <c r="AD329" s="69" t="str">
        <f t="shared" si="6"/>
        <v/>
      </c>
      <c r="AE329" s="70" t="str">
        <f t="shared" si="7"/>
        <v/>
      </c>
      <c r="AF329" s="71" t="str">
        <f t="shared" si="8"/>
        <v/>
      </c>
      <c r="AG329" s="69" t="str">
        <f t="shared" si="9"/>
        <v/>
      </c>
      <c r="AH329" s="69" t="str">
        <f t="shared" si="10"/>
        <v/>
      </c>
      <c r="AI329" s="69" t="str">
        <f t="shared" si="3"/>
        <v/>
      </c>
    </row>
    <row r="330">
      <c r="A330" s="56" t="str">
        <f t="shared" si="1"/>
        <v/>
      </c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80"/>
      <c r="P330" s="72"/>
      <c r="Q330" s="80"/>
      <c r="R330" s="63" t="str">
        <f t="shared" si="4"/>
        <v/>
      </c>
      <c r="S330" s="85" t="str">
        <f t="shared" si="2"/>
        <v/>
      </c>
      <c r="T330" s="76"/>
      <c r="U330" s="76"/>
      <c r="V330" s="76"/>
      <c r="W330" s="76"/>
      <c r="X330" s="75"/>
      <c r="Y330" s="68"/>
      <c r="Z330" s="68"/>
      <c r="AA330" s="76"/>
      <c r="AB330" s="76"/>
      <c r="AC330" s="69" t="str">
        <f t="shared" si="5"/>
        <v/>
      </c>
      <c r="AD330" s="69" t="str">
        <f t="shared" si="6"/>
        <v/>
      </c>
      <c r="AE330" s="70" t="str">
        <f t="shared" si="7"/>
        <v/>
      </c>
      <c r="AF330" s="71" t="str">
        <f t="shared" si="8"/>
        <v/>
      </c>
      <c r="AG330" s="69" t="str">
        <f t="shared" si="9"/>
        <v/>
      </c>
      <c r="AH330" s="69" t="str">
        <f t="shared" si="10"/>
        <v/>
      </c>
      <c r="AI330" s="69" t="str">
        <f t="shared" si="3"/>
        <v/>
      </c>
    </row>
    <row r="331">
      <c r="A331" s="56" t="str">
        <f t="shared" si="1"/>
        <v/>
      </c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80"/>
      <c r="P331" s="72"/>
      <c r="Q331" s="80"/>
      <c r="R331" s="63" t="str">
        <f t="shared" si="4"/>
        <v/>
      </c>
      <c r="S331" s="85" t="str">
        <f t="shared" si="2"/>
        <v/>
      </c>
      <c r="T331" s="76"/>
      <c r="U331" s="76"/>
      <c r="V331" s="76"/>
      <c r="W331" s="76"/>
      <c r="X331" s="75"/>
      <c r="Y331" s="68"/>
      <c r="Z331" s="68"/>
      <c r="AA331" s="76"/>
      <c r="AB331" s="76"/>
      <c r="AC331" s="69" t="str">
        <f t="shared" si="5"/>
        <v/>
      </c>
      <c r="AD331" s="69" t="str">
        <f t="shared" si="6"/>
        <v/>
      </c>
      <c r="AE331" s="70" t="str">
        <f t="shared" si="7"/>
        <v/>
      </c>
      <c r="AF331" s="71" t="str">
        <f t="shared" si="8"/>
        <v/>
      </c>
      <c r="AG331" s="69" t="str">
        <f t="shared" si="9"/>
        <v/>
      </c>
      <c r="AH331" s="69" t="str">
        <f t="shared" si="10"/>
        <v/>
      </c>
      <c r="AI331" s="69" t="str">
        <f t="shared" si="3"/>
        <v/>
      </c>
    </row>
    <row r="332">
      <c r="A332" s="56" t="str">
        <f t="shared" si="1"/>
        <v/>
      </c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80"/>
      <c r="P332" s="72"/>
      <c r="Q332" s="80"/>
      <c r="R332" s="63" t="str">
        <f t="shared" si="4"/>
        <v/>
      </c>
      <c r="S332" s="85" t="str">
        <f t="shared" si="2"/>
        <v/>
      </c>
      <c r="T332" s="76"/>
      <c r="U332" s="76"/>
      <c r="V332" s="76"/>
      <c r="W332" s="76"/>
      <c r="X332" s="75"/>
      <c r="Y332" s="68"/>
      <c r="Z332" s="68"/>
      <c r="AA332" s="76"/>
      <c r="AB332" s="76"/>
      <c r="AC332" s="69" t="str">
        <f t="shared" si="5"/>
        <v/>
      </c>
      <c r="AD332" s="69" t="str">
        <f t="shared" si="6"/>
        <v/>
      </c>
      <c r="AE332" s="70" t="str">
        <f t="shared" si="7"/>
        <v/>
      </c>
      <c r="AF332" s="71" t="str">
        <f t="shared" si="8"/>
        <v/>
      </c>
      <c r="AG332" s="69" t="str">
        <f t="shared" si="9"/>
        <v/>
      </c>
      <c r="AH332" s="69" t="str">
        <f t="shared" si="10"/>
        <v/>
      </c>
      <c r="AI332" s="69" t="str">
        <f t="shared" si="3"/>
        <v/>
      </c>
    </row>
    <row r="333">
      <c r="A333" s="56" t="str">
        <f t="shared" si="1"/>
        <v/>
      </c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80"/>
      <c r="P333" s="72"/>
      <c r="Q333" s="80"/>
      <c r="R333" s="63" t="str">
        <f t="shared" si="4"/>
        <v/>
      </c>
      <c r="S333" s="85" t="str">
        <f t="shared" si="2"/>
        <v/>
      </c>
      <c r="T333" s="76"/>
      <c r="U333" s="76"/>
      <c r="V333" s="76"/>
      <c r="W333" s="76"/>
      <c r="X333" s="75"/>
      <c r="Y333" s="68"/>
      <c r="Z333" s="68"/>
      <c r="AA333" s="76"/>
      <c r="AB333" s="76"/>
      <c r="AC333" s="69" t="str">
        <f t="shared" si="5"/>
        <v/>
      </c>
      <c r="AD333" s="69" t="str">
        <f t="shared" si="6"/>
        <v/>
      </c>
      <c r="AE333" s="70" t="str">
        <f t="shared" si="7"/>
        <v/>
      </c>
      <c r="AF333" s="71" t="str">
        <f t="shared" si="8"/>
        <v/>
      </c>
      <c r="AG333" s="69" t="str">
        <f t="shared" si="9"/>
        <v/>
      </c>
      <c r="AH333" s="69" t="str">
        <f t="shared" si="10"/>
        <v/>
      </c>
      <c r="AI333" s="69" t="str">
        <f t="shared" si="3"/>
        <v/>
      </c>
    </row>
    <row r="334">
      <c r="A334" s="56" t="str">
        <f t="shared" si="1"/>
        <v/>
      </c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80"/>
      <c r="P334" s="72"/>
      <c r="Q334" s="80"/>
      <c r="R334" s="63" t="str">
        <f t="shared" si="4"/>
        <v/>
      </c>
      <c r="S334" s="85" t="str">
        <f t="shared" si="2"/>
        <v/>
      </c>
      <c r="T334" s="76"/>
      <c r="U334" s="76"/>
      <c r="V334" s="76"/>
      <c r="W334" s="76"/>
      <c r="X334" s="75"/>
      <c r="Y334" s="68"/>
      <c r="Z334" s="68"/>
      <c r="AA334" s="76"/>
      <c r="AB334" s="76"/>
      <c r="AC334" s="69" t="str">
        <f t="shared" si="5"/>
        <v/>
      </c>
      <c r="AD334" s="69" t="str">
        <f t="shared" si="6"/>
        <v/>
      </c>
      <c r="AE334" s="70" t="str">
        <f t="shared" si="7"/>
        <v/>
      </c>
      <c r="AF334" s="71" t="str">
        <f t="shared" si="8"/>
        <v/>
      </c>
      <c r="AG334" s="69" t="str">
        <f t="shared" si="9"/>
        <v/>
      </c>
      <c r="AH334" s="69" t="str">
        <f t="shared" si="10"/>
        <v/>
      </c>
      <c r="AI334" s="69" t="str">
        <f t="shared" si="3"/>
        <v/>
      </c>
    </row>
    <row r="335">
      <c r="A335" s="56" t="str">
        <f t="shared" si="1"/>
        <v/>
      </c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80"/>
      <c r="P335" s="72"/>
      <c r="Q335" s="80"/>
      <c r="R335" s="63" t="str">
        <f t="shared" si="4"/>
        <v/>
      </c>
      <c r="S335" s="85" t="str">
        <f t="shared" si="2"/>
        <v/>
      </c>
      <c r="T335" s="76"/>
      <c r="U335" s="76"/>
      <c r="V335" s="76"/>
      <c r="W335" s="76"/>
      <c r="X335" s="75"/>
      <c r="Y335" s="68"/>
      <c r="Z335" s="68"/>
      <c r="AA335" s="76"/>
      <c r="AB335" s="76"/>
      <c r="AC335" s="69" t="str">
        <f t="shared" si="5"/>
        <v/>
      </c>
      <c r="AD335" s="69" t="str">
        <f t="shared" si="6"/>
        <v/>
      </c>
      <c r="AE335" s="70" t="str">
        <f t="shared" si="7"/>
        <v/>
      </c>
      <c r="AF335" s="71" t="str">
        <f t="shared" si="8"/>
        <v/>
      </c>
      <c r="AG335" s="69" t="str">
        <f t="shared" si="9"/>
        <v/>
      </c>
      <c r="AH335" s="69" t="str">
        <f t="shared" si="10"/>
        <v/>
      </c>
      <c r="AI335" s="69" t="str">
        <f t="shared" si="3"/>
        <v/>
      </c>
    </row>
    <row r="336">
      <c r="A336" s="56" t="str">
        <f t="shared" si="1"/>
        <v/>
      </c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80"/>
      <c r="P336" s="72"/>
      <c r="Q336" s="80"/>
      <c r="R336" s="63" t="str">
        <f t="shared" si="4"/>
        <v/>
      </c>
      <c r="S336" s="85" t="str">
        <f t="shared" si="2"/>
        <v/>
      </c>
      <c r="T336" s="76"/>
      <c r="U336" s="76"/>
      <c r="V336" s="76"/>
      <c r="W336" s="76"/>
      <c r="X336" s="75"/>
      <c r="Y336" s="68"/>
      <c r="Z336" s="68"/>
      <c r="AA336" s="76"/>
      <c r="AB336" s="76"/>
      <c r="AC336" s="69" t="str">
        <f t="shared" si="5"/>
        <v/>
      </c>
      <c r="AD336" s="69" t="str">
        <f t="shared" si="6"/>
        <v/>
      </c>
      <c r="AE336" s="70" t="str">
        <f t="shared" si="7"/>
        <v/>
      </c>
      <c r="AF336" s="71" t="str">
        <f t="shared" si="8"/>
        <v/>
      </c>
      <c r="AG336" s="69" t="str">
        <f t="shared" si="9"/>
        <v/>
      </c>
      <c r="AH336" s="69" t="str">
        <f t="shared" si="10"/>
        <v/>
      </c>
      <c r="AI336" s="69" t="str">
        <f t="shared" si="3"/>
        <v/>
      </c>
    </row>
    <row r="337">
      <c r="A337" s="56" t="str">
        <f t="shared" si="1"/>
        <v/>
      </c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80"/>
      <c r="P337" s="72"/>
      <c r="Q337" s="80"/>
      <c r="R337" s="63" t="str">
        <f t="shared" si="4"/>
        <v/>
      </c>
      <c r="S337" s="85" t="str">
        <f t="shared" si="2"/>
        <v/>
      </c>
      <c r="T337" s="76"/>
      <c r="U337" s="76"/>
      <c r="V337" s="76"/>
      <c r="W337" s="76"/>
      <c r="X337" s="75"/>
      <c r="Y337" s="68"/>
      <c r="Z337" s="68"/>
      <c r="AA337" s="76"/>
      <c r="AB337" s="76"/>
      <c r="AC337" s="69" t="str">
        <f t="shared" si="5"/>
        <v/>
      </c>
      <c r="AD337" s="69" t="str">
        <f t="shared" si="6"/>
        <v/>
      </c>
      <c r="AE337" s="70" t="str">
        <f t="shared" si="7"/>
        <v/>
      </c>
      <c r="AF337" s="71" t="str">
        <f t="shared" si="8"/>
        <v/>
      </c>
      <c r="AG337" s="69" t="str">
        <f t="shared" si="9"/>
        <v/>
      </c>
      <c r="AH337" s="69" t="str">
        <f t="shared" si="10"/>
        <v/>
      </c>
      <c r="AI337" s="69" t="str">
        <f t="shared" si="3"/>
        <v/>
      </c>
    </row>
    <row r="338">
      <c r="A338" s="56" t="str">
        <f t="shared" si="1"/>
        <v/>
      </c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80"/>
      <c r="P338" s="72"/>
      <c r="Q338" s="80"/>
      <c r="R338" s="63" t="str">
        <f t="shared" si="4"/>
        <v/>
      </c>
      <c r="S338" s="85" t="str">
        <f t="shared" si="2"/>
        <v/>
      </c>
      <c r="T338" s="76"/>
      <c r="U338" s="76"/>
      <c r="V338" s="76"/>
      <c r="W338" s="76"/>
      <c r="X338" s="75"/>
      <c r="Y338" s="68"/>
      <c r="Z338" s="68"/>
      <c r="AA338" s="76"/>
      <c r="AB338" s="76"/>
      <c r="AC338" s="69" t="str">
        <f t="shared" si="5"/>
        <v/>
      </c>
      <c r="AD338" s="69" t="str">
        <f t="shared" si="6"/>
        <v/>
      </c>
      <c r="AE338" s="70" t="str">
        <f t="shared" si="7"/>
        <v/>
      </c>
      <c r="AF338" s="71" t="str">
        <f t="shared" si="8"/>
        <v/>
      </c>
      <c r="AG338" s="69" t="str">
        <f t="shared" si="9"/>
        <v/>
      </c>
      <c r="AH338" s="69" t="str">
        <f t="shared" si="10"/>
        <v/>
      </c>
      <c r="AI338" s="69" t="str">
        <f t="shared" si="3"/>
        <v/>
      </c>
    </row>
    <row r="339">
      <c r="A339" s="56" t="str">
        <f t="shared" si="1"/>
        <v/>
      </c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80"/>
      <c r="P339" s="72"/>
      <c r="Q339" s="80"/>
      <c r="R339" s="63" t="str">
        <f t="shared" si="4"/>
        <v/>
      </c>
      <c r="S339" s="85" t="str">
        <f t="shared" si="2"/>
        <v/>
      </c>
      <c r="T339" s="76"/>
      <c r="U339" s="76"/>
      <c r="V339" s="76"/>
      <c r="W339" s="76"/>
      <c r="X339" s="75"/>
      <c r="Y339" s="68"/>
      <c r="Z339" s="68"/>
      <c r="AA339" s="76"/>
      <c r="AB339" s="76"/>
      <c r="AC339" s="69" t="str">
        <f t="shared" si="5"/>
        <v/>
      </c>
      <c r="AD339" s="69" t="str">
        <f t="shared" si="6"/>
        <v/>
      </c>
      <c r="AE339" s="70" t="str">
        <f t="shared" si="7"/>
        <v/>
      </c>
      <c r="AF339" s="71" t="str">
        <f t="shared" si="8"/>
        <v/>
      </c>
      <c r="AG339" s="69" t="str">
        <f t="shared" si="9"/>
        <v/>
      </c>
      <c r="AH339" s="69" t="str">
        <f t="shared" si="10"/>
        <v/>
      </c>
      <c r="AI339" s="69" t="str">
        <f t="shared" si="3"/>
        <v/>
      </c>
    </row>
    <row r="340">
      <c r="A340" s="56" t="str">
        <f t="shared" si="1"/>
        <v/>
      </c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80"/>
      <c r="P340" s="72"/>
      <c r="Q340" s="80"/>
      <c r="R340" s="63" t="str">
        <f t="shared" si="4"/>
        <v/>
      </c>
      <c r="S340" s="85" t="str">
        <f t="shared" si="2"/>
        <v/>
      </c>
      <c r="T340" s="76"/>
      <c r="U340" s="76"/>
      <c r="V340" s="76"/>
      <c r="W340" s="76"/>
      <c r="X340" s="75"/>
      <c r="Y340" s="68"/>
      <c r="Z340" s="68"/>
      <c r="AA340" s="76"/>
      <c r="AB340" s="76"/>
      <c r="AC340" s="69" t="str">
        <f t="shared" si="5"/>
        <v/>
      </c>
      <c r="AD340" s="69" t="str">
        <f t="shared" si="6"/>
        <v/>
      </c>
      <c r="AE340" s="70" t="str">
        <f t="shared" si="7"/>
        <v/>
      </c>
      <c r="AF340" s="71" t="str">
        <f t="shared" si="8"/>
        <v/>
      </c>
      <c r="AG340" s="69" t="str">
        <f t="shared" si="9"/>
        <v/>
      </c>
      <c r="AH340" s="69" t="str">
        <f t="shared" si="10"/>
        <v/>
      </c>
      <c r="AI340" s="69" t="str">
        <f t="shared" si="3"/>
        <v/>
      </c>
    </row>
    <row r="341">
      <c r="A341" s="56" t="str">
        <f t="shared" si="1"/>
        <v/>
      </c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80"/>
      <c r="P341" s="72"/>
      <c r="Q341" s="80"/>
      <c r="R341" s="63" t="str">
        <f t="shared" si="4"/>
        <v/>
      </c>
      <c r="S341" s="85" t="str">
        <f t="shared" si="2"/>
        <v/>
      </c>
      <c r="T341" s="76"/>
      <c r="U341" s="76"/>
      <c r="V341" s="76"/>
      <c r="W341" s="76"/>
      <c r="X341" s="75"/>
      <c r="Y341" s="68"/>
      <c r="Z341" s="68"/>
      <c r="AA341" s="76"/>
      <c r="AB341" s="76"/>
      <c r="AC341" s="69" t="str">
        <f t="shared" si="5"/>
        <v/>
      </c>
      <c r="AD341" s="69" t="str">
        <f t="shared" si="6"/>
        <v/>
      </c>
      <c r="AE341" s="70" t="str">
        <f t="shared" si="7"/>
        <v/>
      </c>
      <c r="AF341" s="71" t="str">
        <f t="shared" si="8"/>
        <v/>
      </c>
      <c r="AG341" s="69" t="str">
        <f t="shared" si="9"/>
        <v/>
      </c>
      <c r="AH341" s="69" t="str">
        <f t="shared" si="10"/>
        <v/>
      </c>
      <c r="AI341" s="69" t="str">
        <f t="shared" si="3"/>
        <v/>
      </c>
    </row>
    <row r="342">
      <c r="A342" s="56" t="str">
        <f t="shared" si="1"/>
        <v/>
      </c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80"/>
      <c r="P342" s="72"/>
      <c r="Q342" s="80"/>
      <c r="R342" s="63" t="str">
        <f t="shared" si="4"/>
        <v/>
      </c>
      <c r="S342" s="85" t="str">
        <f t="shared" si="2"/>
        <v/>
      </c>
      <c r="T342" s="76"/>
      <c r="U342" s="76"/>
      <c r="V342" s="76"/>
      <c r="W342" s="76"/>
      <c r="X342" s="75"/>
      <c r="Y342" s="68"/>
      <c r="Z342" s="68"/>
      <c r="AA342" s="76"/>
      <c r="AB342" s="76"/>
      <c r="AC342" s="69" t="str">
        <f t="shared" si="5"/>
        <v/>
      </c>
      <c r="AD342" s="69" t="str">
        <f t="shared" si="6"/>
        <v/>
      </c>
      <c r="AE342" s="70" t="str">
        <f t="shared" si="7"/>
        <v/>
      </c>
      <c r="AF342" s="71" t="str">
        <f t="shared" si="8"/>
        <v/>
      </c>
      <c r="AG342" s="69" t="str">
        <f t="shared" si="9"/>
        <v/>
      </c>
      <c r="AH342" s="69" t="str">
        <f t="shared" si="10"/>
        <v/>
      </c>
      <c r="AI342" s="69" t="str">
        <f t="shared" si="3"/>
        <v/>
      </c>
    </row>
    <row r="343">
      <c r="A343" s="56" t="str">
        <f t="shared" si="1"/>
        <v/>
      </c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80"/>
      <c r="P343" s="72"/>
      <c r="Q343" s="80"/>
      <c r="R343" s="63" t="str">
        <f t="shared" si="4"/>
        <v/>
      </c>
      <c r="S343" s="85" t="str">
        <f t="shared" si="2"/>
        <v/>
      </c>
      <c r="T343" s="76"/>
      <c r="U343" s="76"/>
      <c r="V343" s="76"/>
      <c r="W343" s="76"/>
      <c r="X343" s="75"/>
      <c r="Y343" s="68"/>
      <c r="Z343" s="68"/>
      <c r="AA343" s="76"/>
      <c r="AB343" s="76"/>
      <c r="AC343" s="69" t="str">
        <f t="shared" si="5"/>
        <v/>
      </c>
      <c r="AD343" s="69" t="str">
        <f t="shared" si="6"/>
        <v/>
      </c>
      <c r="AE343" s="70" t="str">
        <f t="shared" si="7"/>
        <v/>
      </c>
      <c r="AF343" s="71" t="str">
        <f t="shared" si="8"/>
        <v/>
      </c>
      <c r="AG343" s="69" t="str">
        <f t="shared" si="9"/>
        <v/>
      </c>
      <c r="AH343" s="69" t="str">
        <f t="shared" si="10"/>
        <v/>
      </c>
      <c r="AI343" s="69" t="str">
        <f t="shared" si="3"/>
        <v/>
      </c>
    </row>
    <row r="344">
      <c r="A344" s="56" t="str">
        <f t="shared" si="1"/>
        <v/>
      </c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80"/>
      <c r="P344" s="72"/>
      <c r="Q344" s="80"/>
      <c r="R344" s="63" t="str">
        <f t="shared" si="4"/>
        <v/>
      </c>
      <c r="S344" s="85" t="str">
        <f t="shared" si="2"/>
        <v/>
      </c>
      <c r="T344" s="76"/>
      <c r="U344" s="76"/>
      <c r="V344" s="76"/>
      <c r="W344" s="76"/>
      <c r="X344" s="75"/>
      <c r="Y344" s="68"/>
      <c r="Z344" s="68"/>
      <c r="AA344" s="76"/>
      <c r="AB344" s="76"/>
      <c r="AC344" s="69" t="str">
        <f t="shared" si="5"/>
        <v/>
      </c>
      <c r="AD344" s="69" t="str">
        <f t="shared" si="6"/>
        <v/>
      </c>
      <c r="AE344" s="70" t="str">
        <f t="shared" si="7"/>
        <v/>
      </c>
      <c r="AF344" s="71" t="str">
        <f t="shared" si="8"/>
        <v/>
      </c>
      <c r="AG344" s="69" t="str">
        <f t="shared" si="9"/>
        <v/>
      </c>
      <c r="AH344" s="69" t="str">
        <f t="shared" si="10"/>
        <v/>
      </c>
      <c r="AI344" s="69" t="str">
        <f t="shared" si="3"/>
        <v/>
      </c>
    </row>
    <row r="345">
      <c r="A345" s="56" t="str">
        <f t="shared" si="1"/>
        <v/>
      </c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80"/>
      <c r="P345" s="72"/>
      <c r="Q345" s="80"/>
      <c r="R345" s="63" t="str">
        <f t="shared" si="4"/>
        <v/>
      </c>
      <c r="S345" s="85" t="str">
        <f t="shared" si="2"/>
        <v/>
      </c>
      <c r="T345" s="76"/>
      <c r="U345" s="76"/>
      <c r="V345" s="76"/>
      <c r="W345" s="76"/>
      <c r="X345" s="75"/>
      <c r="Y345" s="68"/>
      <c r="Z345" s="68"/>
      <c r="AA345" s="76"/>
      <c r="AB345" s="76"/>
      <c r="AC345" s="69" t="str">
        <f t="shared" si="5"/>
        <v/>
      </c>
      <c r="AD345" s="69" t="str">
        <f t="shared" si="6"/>
        <v/>
      </c>
      <c r="AE345" s="70" t="str">
        <f t="shared" si="7"/>
        <v/>
      </c>
      <c r="AF345" s="71" t="str">
        <f t="shared" si="8"/>
        <v/>
      </c>
      <c r="AG345" s="69" t="str">
        <f t="shared" si="9"/>
        <v/>
      </c>
      <c r="AH345" s="69" t="str">
        <f t="shared" si="10"/>
        <v/>
      </c>
      <c r="AI345" s="69" t="str">
        <f t="shared" si="3"/>
        <v/>
      </c>
    </row>
    <row r="346">
      <c r="A346" s="56" t="str">
        <f t="shared" si="1"/>
        <v/>
      </c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80"/>
      <c r="P346" s="72"/>
      <c r="Q346" s="80"/>
      <c r="R346" s="63" t="str">
        <f t="shared" si="4"/>
        <v/>
      </c>
      <c r="S346" s="85" t="str">
        <f t="shared" si="2"/>
        <v/>
      </c>
      <c r="T346" s="76"/>
      <c r="U346" s="76"/>
      <c r="V346" s="76"/>
      <c r="W346" s="76"/>
      <c r="X346" s="75"/>
      <c r="Y346" s="68"/>
      <c r="Z346" s="68"/>
      <c r="AA346" s="76"/>
      <c r="AB346" s="76"/>
      <c r="AC346" s="69" t="str">
        <f t="shared" si="5"/>
        <v/>
      </c>
      <c r="AD346" s="69" t="str">
        <f t="shared" si="6"/>
        <v/>
      </c>
      <c r="AE346" s="70" t="str">
        <f t="shared" si="7"/>
        <v/>
      </c>
      <c r="AF346" s="71" t="str">
        <f t="shared" si="8"/>
        <v/>
      </c>
      <c r="AG346" s="69" t="str">
        <f t="shared" si="9"/>
        <v/>
      </c>
      <c r="AH346" s="69" t="str">
        <f t="shared" si="10"/>
        <v/>
      </c>
      <c r="AI346" s="69" t="str">
        <f t="shared" si="3"/>
        <v/>
      </c>
    </row>
    <row r="347">
      <c r="A347" s="56" t="str">
        <f t="shared" si="1"/>
        <v/>
      </c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80"/>
      <c r="P347" s="72"/>
      <c r="Q347" s="80"/>
      <c r="R347" s="63" t="str">
        <f t="shared" si="4"/>
        <v/>
      </c>
      <c r="S347" s="85" t="str">
        <f t="shared" si="2"/>
        <v/>
      </c>
      <c r="T347" s="76"/>
      <c r="U347" s="76"/>
      <c r="V347" s="76"/>
      <c r="W347" s="76"/>
      <c r="X347" s="75"/>
      <c r="Y347" s="68"/>
      <c r="Z347" s="68"/>
      <c r="AA347" s="76"/>
      <c r="AB347" s="76"/>
      <c r="AC347" s="69" t="str">
        <f t="shared" si="5"/>
        <v/>
      </c>
      <c r="AD347" s="69" t="str">
        <f t="shared" si="6"/>
        <v/>
      </c>
      <c r="AE347" s="70" t="str">
        <f t="shared" si="7"/>
        <v/>
      </c>
      <c r="AF347" s="71" t="str">
        <f t="shared" si="8"/>
        <v/>
      </c>
      <c r="AG347" s="69" t="str">
        <f t="shared" si="9"/>
        <v/>
      </c>
      <c r="AH347" s="69" t="str">
        <f t="shared" si="10"/>
        <v/>
      </c>
      <c r="AI347" s="69" t="str">
        <f t="shared" si="3"/>
        <v/>
      </c>
    </row>
    <row r="348">
      <c r="A348" s="56" t="str">
        <f t="shared" si="1"/>
        <v/>
      </c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80"/>
      <c r="P348" s="72"/>
      <c r="Q348" s="80"/>
      <c r="R348" s="63" t="str">
        <f t="shared" si="4"/>
        <v/>
      </c>
      <c r="S348" s="85" t="str">
        <f t="shared" si="2"/>
        <v/>
      </c>
      <c r="T348" s="76"/>
      <c r="U348" s="76"/>
      <c r="V348" s="76"/>
      <c r="W348" s="76"/>
      <c r="X348" s="75"/>
      <c r="Y348" s="68"/>
      <c r="Z348" s="68"/>
      <c r="AA348" s="76"/>
      <c r="AB348" s="76"/>
      <c r="AC348" s="69" t="str">
        <f t="shared" si="5"/>
        <v/>
      </c>
      <c r="AD348" s="69" t="str">
        <f t="shared" si="6"/>
        <v/>
      </c>
      <c r="AE348" s="70" t="str">
        <f t="shared" si="7"/>
        <v/>
      </c>
      <c r="AF348" s="71" t="str">
        <f t="shared" si="8"/>
        <v/>
      </c>
      <c r="AG348" s="69" t="str">
        <f t="shared" si="9"/>
        <v/>
      </c>
      <c r="AH348" s="69" t="str">
        <f t="shared" si="10"/>
        <v/>
      </c>
      <c r="AI348" s="69" t="str">
        <f t="shared" si="3"/>
        <v/>
      </c>
    </row>
    <row r="349">
      <c r="A349" s="56" t="str">
        <f t="shared" si="1"/>
        <v/>
      </c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80"/>
      <c r="P349" s="72"/>
      <c r="Q349" s="80"/>
      <c r="R349" s="63" t="str">
        <f t="shared" si="4"/>
        <v/>
      </c>
      <c r="S349" s="85" t="str">
        <f t="shared" si="2"/>
        <v/>
      </c>
      <c r="T349" s="76"/>
      <c r="U349" s="76"/>
      <c r="V349" s="76"/>
      <c r="W349" s="76"/>
      <c r="X349" s="75"/>
      <c r="Y349" s="68"/>
      <c r="Z349" s="68"/>
      <c r="AA349" s="76"/>
      <c r="AB349" s="76"/>
      <c r="AC349" s="69" t="str">
        <f t="shared" si="5"/>
        <v/>
      </c>
      <c r="AD349" s="69" t="str">
        <f t="shared" si="6"/>
        <v/>
      </c>
      <c r="AE349" s="70" t="str">
        <f t="shared" si="7"/>
        <v/>
      </c>
      <c r="AF349" s="71" t="str">
        <f t="shared" si="8"/>
        <v/>
      </c>
      <c r="AG349" s="69" t="str">
        <f t="shared" si="9"/>
        <v/>
      </c>
      <c r="AH349" s="69" t="str">
        <f t="shared" si="10"/>
        <v/>
      </c>
      <c r="AI349" s="69" t="str">
        <f t="shared" si="3"/>
        <v/>
      </c>
    </row>
    <row r="350">
      <c r="A350" s="56" t="str">
        <f t="shared" si="1"/>
        <v/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80"/>
      <c r="P350" s="72"/>
      <c r="Q350" s="80"/>
      <c r="R350" s="63" t="str">
        <f t="shared" si="4"/>
        <v/>
      </c>
      <c r="S350" s="85" t="str">
        <f t="shared" si="2"/>
        <v/>
      </c>
      <c r="T350" s="76"/>
      <c r="U350" s="76"/>
      <c r="V350" s="76"/>
      <c r="W350" s="76"/>
      <c r="X350" s="75"/>
      <c r="Y350" s="68"/>
      <c r="Z350" s="68"/>
      <c r="AA350" s="76"/>
      <c r="AB350" s="76"/>
      <c r="AC350" s="69" t="str">
        <f t="shared" si="5"/>
        <v/>
      </c>
      <c r="AD350" s="69" t="str">
        <f t="shared" si="6"/>
        <v/>
      </c>
      <c r="AE350" s="70" t="str">
        <f t="shared" si="7"/>
        <v/>
      </c>
      <c r="AF350" s="71" t="str">
        <f t="shared" si="8"/>
        <v/>
      </c>
      <c r="AG350" s="69" t="str">
        <f t="shared" si="9"/>
        <v/>
      </c>
      <c r="AH350" s="69" t="str">
        <f t="shared" si="10"/>
        <v/>
      </c>
      <c r="AI350" s="69" t="str">
        <f t="shared" si="3"/>
        <v/>
      </c>
    </row>
    <row r="351">
      <c r="A351" s="56" t="str">
        <f t="shared" si="1"/>
        <v/>
      </c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80"/>
      <c r="P351" s="72"/>
      <c r="Q351" s="80"/>
      <c r="R351" s="63" t="str">
        <f t="shared" si="4"/>
        <v/>
      </c>
      <c r="S351" s="85" t="str">
        <f t="shared" si="2"/>
        <v/>
      </c>
      <c r="T351" s="76"/>
      <c r="U351" s="76"/>
      <c r="V351" s="76"/>
      <c r="W351" s="76"/>
      <c r="X351" s="75"/>
      <c r="Y351" s="68"/>
      <c r="Z351" s="68"/>
      <c r="AA351" s="76"/>
      <c r="AB351" s="76"/>
      <c r="AC351" s="69" t="str">
        <f t="shared" si="5"/>
        <v/>
      </c>
      <c r="AD351" s="69" t="str">
        <f t="shared" si="6"/>
        <v/>
      </c>
      <c r="AE351" s="70" t="str">
        <f t="shared" si="7"/>
        <v/>
      </c>
      <c r="AF351" s="71" t="str">
        <f t="shared" si="8"/>
        <v/>
      </c>
      <c r="AG351" s="69" t="str">
        <f t="shared" si="9"/>
        <v/>
      </c>
      <c r="AH351" s="69" t="str">
        <f t="shared" si="10"/>
        <v/>
      </c>
      <c r="AI351" s="69" t="str">
        <f t="shared" si="3"/>
        <v/>
      </c>
    </row>
    <row r="352">
      <c r="A352" s="56" t="str">
        <f t="shared" si="1"/>
        <v/>
      </c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80"/>
      <c r="P352" s="72"/>
      <c r="Q352" s="80"/>
      <c r="R352" s="63" t="str">
        <f t="shared" si="4"/>
        <v/>
      </c>
      <c r="S352" s="85" t="str">
        <f t="shared" si="2"/>
        <v/>
      </c>
      <c r="T352" s="76"/>
      <c r="U352" s="76"/>
      <c r="V352" s="76"/>
      <c r="W352" s="76"/>
      <c r="X352" s="75"/>
      <c r="Y352" s="68"/>
      <c r="Z352" s="68"/>
      <c r="AA352" s="76"/>
      <c r="AB352" s="76"/>
      <c r="AC352" s="69" t="str">
        <f t="shared" si="5"/>
        <v/>
      </c>
      <c r="AD352" s="69" t="str">
        <f t="shared" si="6"/>
        <v/>
      </c>
      <c r="AE352" s="70" t="str">
        <f t="shared" si="7"/>
        <v/>
      </c>
      <c r="AF352" s="71" t="str">
        <f t="shared" si="8"/>
        <v/>
      </c>
      <c r="AG352" s="69" t="str">
        <f t="shared" si="9"/>
        <v/>
      </c>
      <c r="AH352" s="69" t="str">
        <f t="shared" si="10"/>
        <v/>
      </c>
      <c r="AI352" s="69" t="str">
        <f t="shared" si="3"/>
        <v/>
      </c>
    </row>
    <row r="353">
      <c r="A353" s="56" t="str">
        <f t="shared" si="1"/>
        <v/>
      </c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80"/>
      <c r="P353" s="72"/>
      <c r="Q353" s="80"/>
      <c r="R353" s="63" t="str">
        <f t="shared" si="4"/>
        <v/>
      </c>
      <c r="S353" s="85" t="str">
        <f t="shared" si="2"/>
        <v/>
      </c>
      <c r="T353" s="76"/>
      <c r="U353" s="76"/>
      <c r="V353" s="76"/>
      <c r="W353" s="76"/>
      <c r="X353" s="75"/>
      <c r="Y353" s="68"/>
      <c r="Z353" s="68"/>
      <c r="AA353" s="76"/>
      <c r="AB353" s="76"/>
      <c r="AC353" s="69" t="str">
        <f t="shared" si="5"/>
        <v/>
      </c>
      <c r="AD353" s="69" t="str">
        <f t="shared" si="6"/>
        <v/>
      </c>
      <c r="AE353" s="70" t="str">
        <f t="shared" si="7"/>
        <v/>
      </c>
      <c r="AF353" s="71" t="str">
        <f t="shared" si="8"/>
        <v/>
      </c>
      <c r="AG353" s="69" t="str">
        <f t="shared" si="9"/>
        <v/>
      </c>
      <c r="AH353" s="69" t="str">
        <f t="shared" si="10"/>
        <v/>
      </c>
      <c r="AI353" s="69" t="str">
        <f t="shared" si="3"/>
        <v/>
      </c>
    </row>
    <row r="354">
      <c r="A354" s="56" t="str">
        <f t="shared" si="1"/>
        <v/>
      </c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80"/>
      <c r="P354" s="72"/>
      <c r="Q354" s="80"/>
      <c r="R354" s="63" t="str">
        <f t="shared" si="4"/>
        <v/>
      </c>
      <c r="S354" s="85" t="str">
        <f t="shared" si="2"/>
        <v/>
      </c>
      <c r="T354" s="76"/>
      <c r="U354" s="76"/>
      <c r="V354" s="76"/>
      <c r="W354" s="76"/>
      <c r="X354" s="75"/>
      <c r="Y354" s="68"/>
      <c r="Z354" s="68"/>
      <c r="AA354" s="76"/>
      <c r="AB354" s="76"/>
      <c r="AC354" s="69" t="str">
        <f t="shared" si="5"/>
        <v/>
      </c>
      <c r="AD354" s="69" t="str">
        <f t="shared" si="6"/>
        <v/>
      </c>
      <c r="AE354" s="70" t="str">
        <f t="shared" si="7"/>
        <v/>
      </c>
      <c r="AF354" s="71" t="str">
        <f t="shared" si="8"/>
        <v/>
      </c>
      <c r="AG354" s="69" t="str">
        <f t="shared" si="9"/>
        <v/>
      </c>
      <c r="AH354" s="69" t="str">
        <f t="shared" si="10"/>
        <v/>
      </c>
      <c r="AI354" s="69" t="str">
        <f t="shared" si="3"/>
        <v/>
      </c>
    </row>
    <row r="355">
      <c r="A355" s="56" t="str">
        <f t="shared" si="1"/>
        <v/>
      </c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80"/>
      <c r="P355" s="72"/>
      <c r="Q355" s="80"/>
      <c r="R355" s="63" t="str">
        <f t="shared" si="4"/>
        <v/>
      </c>
      <c r="S355" s="85" t="str">
        <f t="shared" si="2"/>
        <v/>
      </c>
      <c r="T355" s="76"/>
      <c r="U355" s="76"/>
      <c r="V355" s="76"/>
      <c r="W355" s="76"/>
      <c r="X355" s="75"/>
      <c r="Y355" s="68"/>
      <c r="Z355" s="68"/>
      <c r="AA355" s="76"/>
      <c r="AB355" s="76"/>
      <c r="AC355" s="69" t="str">
        <f t="shared" si="5"/>
        <v/>
      </c>
      <c r="AD355" s="69" t="str">
        <f t="shared" si="6"/>
        <v/>
      </c>
      <c r="AE355" s="70" t="str">
        <f t="shared" si="7"/>
        <v/>
      </c>
      <c r="AF355" s="71" t="str">
        <f t="shared" si="8"/>
        <v/>
      </c>
      <c r="AG355" s="69" t="str">
        <f t="shared" si="9"/>
        <v/>
      </c>
      <c r="AH355" s="69" t="str">
        <f t="shared" si="10"/>
        <v/>
      </c>
      <c r="AI355" s="69" t="str">
        <f t="shared" si="3"/>
        <v/>
      </c>
    </row>
    <row r="356">
      <c r="A356" s="56" t="str">
        <f t="shared" si="1"/>
        <v/>
      </c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80"/>
      <c r="P356" s="72"/>
      <c r="Q356" s="80"/>
      <c r="R356" s="63" t="str">
        <f t="shared" si="4"/>
        <v/>
      </c>
      <c r="S356" s="85" t="str">
        <f t="shared" si="2"/>
        <v/>
      </c>
      <c r="T356" s="76"/>
      <c r="U356" s="76"/>
      <c r="V356" s="76"/>
      <c r="W356" s="76"/>
      <c r="X356" s="75"/>
      <c r="Y356" s="68"/>
      <c r="Z356" s="68"/>
      <c r="AA356" s="76"/>
      <c r="AB356" s="76"/>
      <c r="AC356" s="69" t="str">
        <f t="shared" si="5"/>
        <v/>
      </c>
      <c r="AD356" s="69" t="str">
        <f t="shared" si="6"/>
        <v/>
      </c>
      <c r="AE356" s="70" t="str">
        <f t="shared" si="7"/>
        <v/>
      </c>
      <c r="AF356" s="71" t="str">
        <f t="shared" si="8"/>
        <v/>
      </c>
      <c r="AG356" s="69" t="str">
        <f t="shared" si="9"/>
        <v/>
      </c>
      <c r="AH356" s="69" t="str">
        <f t="shared" si="10"/>
        <v/>
      </c>
      <c r="AI356" s="69" t="str">
        <f t="shared" si="3"/>
        <v/>
      </c>
    </row>
    <row r="357">
      <c r="A357" s="56" t="str">
        <f t="shared" si="1"/>
        <v/>
      </c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80"/>
      <c r="P357" s="72"/>
      <c r="Q357" s="80"/>
      <c r="R357" s="63" t="str">
        <f t="shared" si="4"/>
        <v/>
      </c>
      <c r="S357" s="85" t="str">
        <f t="shared" si="2"/>
        <v/>
      </c>
      <c r="T357" s="76"/>
      <c r="U357" s="76"/>
      <c r="V357" s="76"/>
      <c r="W357" s="76"/>
      <c r="X357" s="75"/>
      <c r="Y357" s="68"/>
      <c r="Z357" s="68"/>
      <c r="AA357" s="76"/>
      <c r="AB357" s="76"/>
      <c r="AC357" s="69" t="str">
        <f t="shared" si="5"/>
        <v/>
      </c>
      <c r="AD357" s="69" t="str">
        <f t="shared" si="6"/>
        <v/>
      </c>
      <c r="AE357" s="70" t="str">
        <f t="shared" si="7"/>
        <v/>
      </c>
      <c r="AF357" s="71" t="str">
        <f t="shared" si="8"/>
        <v/>
      </c>
      <c r="AG357" s="69" t="str">
        <f t="shared" si="9"/>
        <v/>
      </c>
      <c r="AH357" s="69" t="str">
        <f t="shared" si="10"/>
        <v/>
      </c>
      <c r="AI357" s="69" t="str">
        <f t="shared" si="3"/>
        <v/>
      </c>
    </row>
    <row r="358">
      <c r="A358" s="56" t="str">
        <f t="shared" si="1"/>
        <v/>
      </c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80"/>
      <c r="P358" s="72"/>
      <c r="Q358" s="80"/>
      <c r="R358" s="63" t="str">
        <f t="shared" si="4"/>
        <v/>
      </c>
      <c r="S358" s="85" t="str">
        <f t="shared" si="2"/>
        <v/>
      </c>
      <c r="T358" s="76"/>
      <c r="U358" s="76"/>
      <c r="V358" s="76"/>
      <c r="W358" s="76"/>
      <c r="X358" s="75"/>
      <c r="Y358" s="68"/>
      <c r="Z358" s="68"/>
      <c r="AA358" s="76"/>
      <c r="AB358" s="76"/>
      <c r="AC358" s="69" t="str">
        <f t="shared" si="5"/>
        <v/>
      </c>
      <c r="AD358" s="69" t="str">
        <f t="shared" si="6"/>
        <v/>
      </c>
      <c r="AE358" s="70" t="str">
        <f t="shared" si="7"/>
        <v/>
      </c>
      <c r="AF358" s="71" t="str">
        <f t="shared" si="8"/>
        <v/>
      </c>
      <c r="AG358" s="69" t="str">
        <f t="shared" si="9"/>
        <v/>
      </c>
      <c r="AH358" s="69" t="str">
        <f t="shared" si="10"/>
        <v/>
      </c>
      <c r="AI358" s="69" t="str">
        <f t="shared" si="3"/>
        <v/>
      </c>
    </row>
    <row r="359">
      <c r="A359" s="56" t="str">
        <f t="shared" si="1"/>
        <v/>
      </c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80"/>
      <c r="P359" s="72"/>
      <c r="Q359" s="80"/>
      <c r="R359" s="63" t="str">
        <f t="shared" si="4"/>
        <v/>
      </c>
      <c r="S359" s="85" t="str">
        <f t="shared" si="2"/>
        <v/>
      </c>
      <c r="T359" s="76"/>
      <c r="U359" s="76"/>
      <c r="V359" s="76"/>
      <c r="W359" s="76"/>
      <c r="X359" s="75"/>
      <c r="Y359" s="68"/>
      <c r="Z359" s="68"/>
      <c r="AA359" s="76"/>
      <c r="AB359" s="76"/>
      <c r="AC359" s="69" t="str">
        <f t="shared" si="5"/>
        <v/>
      </c>
      <c r="AD359" s="69" t="str">
        <f t="shared" si="6"/>
        <v/>
      </c>
      <c r="AE359" s="70" t="str">
        <f t="shared" si="7"/>
        <v/>
      </c>
      <c r="AF359" s="71" t="str">
        <f t="shared" si="8"/>
        <v/>
      </c>
      <c r="AG359" s="69" t="str">
        <f t="shared" si="9"/>
        <v/>
      </c>
      <c r="AH359" s="69" t="str">
        <f t="shared" si="10"/>
        <v/>
      </c>
      <c r="AI359" s="69" t="str">
        <f t="shared" si="3"/>
        <v/>
      </c>
    </row>
    <row r="360">
      <c r="A360" s="56" t="str">
        <f t="shared" si="1"/>
        <v/>
      </c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80"/>
      <c r="P360" s="72"/>
      <c r="Q360" s="80"/>
      <c r="R360" s="63" t="str">
        <f t="shared" si="4"/>
        <v/>
      </c>
      <c r="S360" s="85" t="str">
        <f t="shared" si="2"/>
        <v/>
      </c>
      <c r="T360" s="76"/>
      <c r="U360" s="76"/>
      <c r="V360" s="76"/>
      <c r="W360" s="76"/>
      <c r="X360" s="75"/>
      <c r="Y360" s="68"/>
      <c r="Z360" s="68"/>
      <c r="AA360" s="76"/>
      <c r="AB360" s="76"/>
      <c r="AC360" s="69" t="str">
        <f t="shared" si="5"/>
        <v/>
      </c>
      <c r="AD360" s="69" t="str">
        <f t="shared" si="6"/>
        <v/>
      </c>
      <c r="AE360" s="70" t="str">
        <f t="shared" si="7"/>
        <v/>
      </c>
      <c r="AF360" s="71" t="str">
        <f t="shared" si="8"/>
        <v/>
      </c>
      <c r="AG360" s="69" t="str">
        <f t="shared" si="9"/>
        <v/>
      </c>
      <c r="AH360" s="69" t="str">
        <f t="shared" si="10"/>
        <v/>
      </c>
      <c r="AI360" s="69" t="str">
        <f t="shared" si="3"/>
        <v/>
      </c>
    </row>
    <row r="361">
      <c r="A361" s="56" t="str">
        <f t="shared" si="1"/>
        <v/>
      </c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80"/>
      <c r="P361" s="72"/>
      <c r="Q361" s="80"/>
      <c r="R361" s="63" t="str">
        <f t="shared" si="4"/>
        <v/>
      </c>
      <c r="S361" s="85" t="str">
        <f t="shared" si="2"/>
        <v/>
      </c>
      <c r="T361" s="76"/>
      <c r="U361" s="76"/>
      <c r="V361" s="76"/>
      <c r="W361" s="76"/>
      <c r="X361" s="75"/>
      <c r="Y361" s="68"/>
      <c r="Z361" s="68"/>
      <c r="AA361" s="76"/>
      <c r="AB361" s="76"/>
      <c r="AC361" s="69" t="str">
        <f t="shared" si="5"/>
        <v/>
      </c>
      <c r="AD361" s="69" t="str">
        <f t="shared" si="6"/>
        <v/>
      </c>
      <c r="AE361" s="70" t="str">
        <f t="shared" si="7"/>
        <v/>
      </c>
      <c r="AF361" s="71" t="str">
        <f t="shared" si="8"/>
        <v/>
      </c>
      <c r="AG361" s="69" t="str">
        <f t="shared" si="9"/>
        <v/>
      </c>
      <c r="AH361" s="69" t="str">
        <f t="shared" si="10"/>
        <v/>
      </c>
      <c r="AI361" s="69" t="str">
        <f t="shared" si="3"/>
        <v/>
      </c>
    </row>
    <row r="362">
      <c r="A362" s="56" t="str">
        <f t="shared" si="1"/>
        <v/>
      </c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80"/>
      <c r="P362" s="72"/>
      <c r="Q362" s="80"/>
      <c r="R362" s="63" t="str">
        <f t="shared" si="4"/>
        <v/>
      </c>
      <c r="S362" s="85" t="str">
        <f t="shared" si="2"/>
        <v/>
      </c>
      <c r="T362" s="76"/>
      <c r="U362" s="76"/>
      <c r="V362" s="76"/>
      <c r="W362" s="76"/>
      <c r="X362" s="75"/>
      <c r="Y362" s="68"/>
      <c r="Z362" s="68"/>
      <c r="AA362" s="76"/>
      <c r="AB362" s="76"/>
      <c r="AC362" s="69" t="str">
        <f t="shared" si="5"/>
        <v/>
      </c>
      <c r="AD362" s="69" t="str">
        <f t="shared" si="6"/>
        <v/>
      </c>
      <c r="AE362" s="70" t="str">
        <f t="shared" si="7"/>
        <v/>
      </c>
      <c r="AF362" s="71" t="str">
        <f t="shared" si="8"/>
        <v/>
      </c>
      <c r="AG362" s="69" t="str">
        <f t="shared" si="9"/>
        <v/>
      </c>
      <c r="AH362" s="69" t="str">
        <f t="shared" si="10"/>
        <v/>
      </c>
      <c r="AI362" s="69" t="str">
        <f t="shared" si="3"/>
        <v/>
      </c>
    </row>
    <row r="363">
      <c r="A363" s="56" t="str">
        <f t="shared" si="1"/>
        <v/>
      </c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80"/>
      <c r="P363" s="72"/>
      <c r="Q363" s="80"/>
      <c r="R363" s="63" t="str">
        <f t="shared" si="4"/>
        <v/>
      </c>
      <c r="S363" s="85" t="str">
        <f t="shared" si="2"/>
        <v/>
      </c>
      <c r="T363" s="76"/>
      <c r="U363" s="76"/>
      <c r="V363" s="76"/>
      <c r="W363" s="76"/>
      <c r="X363" s="75"/>
      <c r="Y363" s="68"/>
      <c r="Z363" s="68"/>
      <c r="AA363" s="76"/>
      <c r="AB363" s="76"/>
      <c r="AC363" s="69" t="str">
        <f t="shared" si="5"/>
        <v/>
      </c>
      <c r="AD363" s="69" t="str">
        <f t="shared" si="6"/>
        <v/>
      </c>
      <c r="AE363" s="70" t="str">
        <f t="shared" si="7"/>
        <v/>
      </c>
      <c r="AF363" s="71" t="str">
        <f t="shared" si="8"/>
        <v/>
      </c>
      <c r="AG363" s="69" t="str">
        <f t="shared" si="9"/>
        <v/>
      </c>
      <c r="AH363" s="69" t="str">
        <f t="shared" si="10"/>
        <v/>
      </c>
      <c r="AI363" s="69" t="str">
        <f t="shared" si="3"/>
        <v/>
      </c>
    </row>
    <row r="364">
      <c r="A364" s="56" t="str">
        <f t="shared" si="1"/>
        <v/>
      </c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80"/>
      <c r="P364" s="72"/>
      <c r="Q364" s="80"/>
      <c r="R364" s="63" t="str">
        <f t="shared" si="4"/>
        <v/>
      </c>
      <c r="S364" s="85" t="str">
        <f t="shared" si="2"/>
        <v/>
      </c>
      <c r="T364" s="76"/>
      <c r="U364" s="76"/>
      <c r="V364" s="76"/>
      <c r="W364" s="76"/>
      <c r="X364" s="75"/>
      <c r="Y364" s="68"/>
      <c r="Z364" s="68"/>
      <c r="AA364" s="76"/>
      <c r="AB364" s="76"/>
      <c r="AC364" s="69" t="str">
        <f t="shared" si="5"/>
        <v/>
      </c>
      <c r="AD364" s="69" t="str">
        <f t="shared" si="6"/>
        <v/>
      </c>
      <c r="AE364" s="70" t="str">
        <f t="shared" si="7"/>
        <v/>
      </c>
      <c r="AF364" s="71" t="str">
        <f t="shared" si="8"/>
        <v/>
      </c>
      <c r="AG364" s="69" t="str">
        <f t="shared" si="9"/>
        <v/>
      </c>
      <c r="AH364" s="69" t="str">
        <f t="shared" si="10"/>
        <v/>
      </c>
      <c r="AI364" s="69" t="str">
        <f t="shared" si="3"/>
        <v/>
      </c>
    </row>
    <row r="365">
      <c r="A365" s="56" t="str">
        <f t="shared" si="1"/>
        <v/>
      </c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80"/>
      <c r="P365" s="72"/>
      <c r="Q365" s="80"/>
      <c r="R365" s="63" t="str">
        <f t="shared" si="4"/>
        <v/>
      </c>
      <c r="S365" s="85" t="str">
        <f t="shared" si="2"/>
        <v/>
      </c>
      <c r="T365" s="76"/>
      <c r="U365" s="76"/>
      <c r="V365" s="76"/>
      <c r="W365" s="76"/>
      <c r="X365" s="75"/>
      <c r="Y365" s="68"/>
      <c r="Z365" s="68"/>
      <c r="AA365" s="76"/>
      <c r="AB365" s="76"/>
      <c r="AC365" s="69" t="str">
        <f t="shared" si="5"/>
        <v/>
      </c>
      <c r="AD365" s="69" t="str">
        <f t="shared" si="6"/>
        <v/>
      </c>
      <c r="AE365" s="70" t="str">
        <f t="shared" si="7"/>
        <v/>
      </c>
      <c r="AF365" s="71" t="str">
        <f t="shared" si="8"/>
        <v/>
      </c>
      <c r="AG365" s="69" t="str">
        <f t="shared" si="9"/>
        <v/>
      </c>
      <c r="AH365" s="69" t="str">
        <f t="shared" si="10"/>
        <v/>
      </c>
      <c r="AI365" s="69" t="str">
        <f t="shared" si="3"/>
        <v/>
      </c>
    </row>
    <row r="366">
      <c r="A366" s="56" t="str">
        <f t="shared" si="1"/>
        <v/>
      </c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80"/>
      <c r="P366" s="72"/>
      <c r="Q366" s="80"/>
      <c r="R366" s="63" t="str">
        <f t="shared" si="4"/>
        <v/>
      </c>
      <c r="S366" s="85" t="str">
        <f t="shared" si="2"/>
        <v/>
      </c>
      <c r="T366" s="76"/>
      <c r="U366" s="76"/>
      <c r="V366" s="76"/>
      <c r="W366" s="76"/>
      <c r="X366" s="75"/>
      <c r="Y366" s="68"/>
      <c r="Z366" s="68"/>
      <c r="AA366" s="76"/>
      <c r="AB366" s="76"/>
      <c r="AC366" s="69" t="str">
        <f t="shared" si="5"/>
        <v/>
      </c>
      <c r="AD366" s="69" t="str">
        <f t="shared" si="6"/>
        <v/>
      </c>
      <c r="AE366" s="70" t="str">
        <f t="shared" si="7"/>
        <v/>
      </c>
      <c r="AF366" s="71" t="str">
        <f t="shared" si="8"/>
        <v/>
      </c>
      <c r="AG366" s="69" t="str">
        <f t="shared" si="9"/>
        <v/>
      </c>
      <c r="AH366" s="69" t="str">
        <f t="shared" si="10"/>
        <v/>
      </c>
      <c r="AI366" s="69" t="str">
        <f t="shared" si="3"/>
        <v/>
      </c>
    </row>
    <row r="367">
      <c r="A367" s="56" t="str">
        <f t="shared" si="1"/>
        <v/>
      </c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80"/>
      <c r="P367" s="72"/>
      <c r="Q367" s="80"/>
      <c r="R367" s="63" t="str">
        <f t="shared" si="4"/>
        <v/>
      </c>
      <c r="S367" s="85" t="str">
        <f t="shared" si="2"/>
        <v/>
      </c>
      <c r="T367" s="76"/>
      <c r="U367" s="76"/>
      <c r="V367" s="76"/>
      <c r="W367" s="76"/>
      <c r="X367" s="75"/>
      <c r="Y367" s="68"/>
      <c r="Z367" s="68"/>
      <c r="AA367" s="76"/>
      <c r="AB367" s="76"/>
      <c r="AC367" s="69" t="str">
        <f t="shared" si="5"/>
        <v/>
      </c>
      <c r="AD367" s="69" t="str">
        <f t="shared" si="6"/>
        <v/>
      </c>
      <c r="AE367" s="70" t="str">
        <f t="shared" si="7"/>
        <v/>
      </c>
      <c r="AF367" s="71" t="str">
        <f t="shared" si="8"/>
        <v/>
      </c>
      <c r="AG367" s="69" t="str">
        <f t="shared" si="9"/>
        <v/>
      </c>
      <c r="AH367" s="69" t="str">
        <f t="shared" si="10"/>
        <v/>
      </c>
      <c r="AI367" s="69" t="str">
        <f t="shared" si="3"/>
        <v/>
      </c>
    </row>
    <row r="368">
      <c r="A368" s="56" t="str">
        <f t="shared" si="1"/>
        <v/>
      </c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80"/>
      <c r="P368" s="72"/>
      <c r="Q368" s="80"/>
      <c r="R368" s="63" t="str">
        <f t="shared" si="4"/>
        <v/>
      </c>
      <c r="S368" s="85" t="str">
        <f t="shared" si="2"/>
        <v/>
      </c>
      <c r="T368" s="76"/>
      <c r="U368" s="76"/>
      <c r="V368" s="76"/>
      <c r="W368" s="76"/>
      <c r="X368" s="75"/>
      <c r="Y368" s="68"/>
      <c r="Z368" s="68"/>
      <c r="AA368" s="76"/>
      <c r="AB368" s="76"/>
      <c r="AC368" s="69" t="str">
        <f t="shared" si="5"/>
        <v/>
      </c>
      <c r="AD368" s="69" t="str">
        <f t="shared" si="6"/>
        <v/>
      </c>
      <c r="AE368" s="70" t="str">
        <f t="shared" si="7"/>
        <v/>
      </c>
      <c r="AF368" s="71" t="str">
        <f t="shared" si="8"/>
        <v/>
      </c>
      <c r="AG368" s="69" t="str">
        <f t="shared" si="9"/>
        <v/>
      </c>
      <c r="AH368" s="69" t="str">
        <f t="shared" si="10"/>
        <v/>
      </c>
      <c r="AI368" s="69" t="str">
        <f t="shared" si="3"/>
        <v/>
      </c>
    </row>
    <row r="369">
      <c r="A369" s="56" t="str">
        <f t="shared" si="1"/>
        <v/>
      </c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80"/>
      <c r="P369" s="72"/>
      <c r="Q369" s="80"/>
      <c r="R369" s="63" t="str">
        <f t="shared" si="4"/>
        <v/>
      </c>
      <c r="S369" s="85" t="str">
        <f t="shared" si="2"/>
        <v/>
      </c>
      <c r="T369" s="76"/>
      <c r="U369" s="76"/>
      <c r="V369" s="76"/>
      <c r="W369" s="76"/>
      <c r="X369" s="75"/>
      <c r="Y369" s="68"/>
      <c r="Z369" s="68"/>
      <c r="AA369" s="76"/>
      <c r="AB369" s="76"/>
      <c r="AC369" s="69" t="str">
        <f t="shared" si="5"/>
        <v/>
      </c>
      <c r="AD369" s="69" t="str">
        <f t="shared" si="6"/>
        <v/>
      </c>
      <c r="AE369" s="70" t="str">
        <f t="shared" si="7"/>
        <v/>
      </c>
      <c r="AF369" s="71" t="str">
        <f t="shared" si="8"/>
        <v/>
      </c>
      <c r="AG369" s="69" t="str">
        <f t="shared" si="9"/>
        <v/>
      </c>
      <c r="AH369" s="69" t="str">
        <f t="shared" si="10"/>
        <v/>
      </c>
      <c r="AI369" s="69" t="str">
        <f t="shared" si="3"/>
        <v/>
      </c>
    </row>
    <row r="370">
      <c r="A370" s="56" t="str">
        <f t="shared" si="1"/>
        <v/>
      </c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80"/>
      <c r="P370" s="72"/>
      <c r="Q370" s="80"/>
      <c r="R370" s="63" t="str">
        <f t="shared" si="4"/>
        <v/>
      </c>
      <c r="S370" s="85" t="str">
        <f t="shared" si="2"/>
        <v/>
      </c>
      <c r="T370" s="76"/>
      <c r="U370" s="76"/>
      <c r="V370" s="76"/>
      <c r="W370" s="76"/>
      <c r="X370" s="75"/>
      <c r="Y370" s="68"/>
      <c r="Z370" s="68"/>
      <c r="AA370" s="76"/>
      <c r="AB370" s="76"/>
      <c r="AC370" s="69" t="str">
        <f t="shared" si="5"/>
        <v/>
      </c>
      <c r="AD370" s="69" t="str">
        <f t="shared" si="6"/>
        <v/>
      </c>
      <c r="AE370" s="70" t="str">
        <f t="shared" si="7"/>
        <v/>
      </c>
      <c r="AF370" s="71" t="str">
        <f t="shared" si="8"/>
        <v/>
      </c>
      <c r="AG370" s="69" t="str">
        <f t="shared" si="9"/>
        <v/>
      </c>
      <c r="AH370" s="69" t="str">
        <f t="shared" si="10"/>
        <v/>
      </c>
      <c r="AI370" s="69" t="str">
        <f t="shared" si="3"/>
        <v/>
      </c>
    </row>
    <row r="371">
      <c r="A371" s="56" t="str">
        <f t="shared" si="1"/>
        <v/>
      </c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80"/>
      <c r="P371" s="72"/>
      <c r="Q371" s="80"/>
      <c r="R371" s="63" t="str">
        <f t="shared" si="4"/>
        <v/>
      </c>
      <c r="S371" s="85" t="str">
        <f t="shared" si="2"/>
        <v/>
      </c>
      <c r="T371" s="76"/>
      <c r="U371" s="76"/>
      <c r="V371" s="76"/>
      <c r="W371" s="76"/>
      <c r="X371" s="75"/>
      <c r="Y371" s="68"/>
      <c r="Z371" s="68"/>
      <c r="AA371" s="76"/>
      <c r="AB371" s="76"/>
      <c r="AC371" s="69" t="str">
        <f t="shared" si="5"/>
        <v/>
      </c>
      <c r="AD371" s="69" t="str">
        <f t="shared" si="6"/>
        <v/>
      </c>
      <c r="AE371" s="70" t="str">
        <f t="shared" si="7"/>
        <v/>
      </c>
      <c r="AF371" s="71" t="str">
        <f t="shared" si="8"/>
        <v/>
      </c>
      <c r="AG371" s="69" t="str">
        <f t="shared" si="9"/>
        <v/>
      </c>
      <c r="AH371" s="69" t="str">
        <f t="shared" si="10"/>
        <v/>
      </c>
      <c r="AI371" s="69" t="str">
        <f t="shared" si="3"/>
        <v/>
      </c>
    </row>
    <row r="372">
      <c r="A372" s="56" t="str">
        <f t="shared" si="1"/>
        <v/>
      </c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80"/>
      <c r="P372" s="72"/>
      <c r="Q372" s="80"/>
      <c r="R372" s="63" t="str">
        <f t="shared" si="4"/>
        <v/>
      </c>
      <c r="S372" s="85" t="str">
        <f t="shared" si="2"/>
        <v/>
      </c>
      <c r="T372" s="76"/>
      <c r="U372" s="76"/>
      <c r="V372" s="76"/>
      <c r="W372" s="76"/>
      <c r="X372" s="75"/>
      <c r="Y372" s="68"/>
      <c r="Z372" s="68"/>
      <c r="AA372" s="76"/>
      <c r="AB372" s="76"/>
      <c r="AC372" s="69" t="str">
        <f t="shared" si="5"/>
        <v/>
      </c>
      <c r="AD372" s="69" t="str">
        <f t="shared" si="6"/>
        <v/>
      </c>
      <c r="AE372" s="70" t="str">
        <f t="shared" si="7"/>
        <v/>
      </c>
      <c r="AF372" s="71" t="str">
        <f t="shared" si="8"/>
        <v/>
      </c>
      <c r="AG372" s="69" t="str">
        <f t="shared" si="9"/>
        <v/>
      </c>
      <c r="AH372" s="69" t="str">
        <f t="shared" si="10"/>
        <v/>
      </c>
      <c r="AI372" s="69" t="str">
        <f t="shared" si="3"/>
        <v/>
      </c>
    </row>
    <row r="373">
      <c r="A373" s="56" t="str">
        <f t="shared" si="1"/>
        <v/>
      </c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80"/>
      <c r="P373" s="72"/>
      <c r="Q373" s="80"/>
      <c r="R373" s="63" t="str">
        <f t="shared" si="4"/>
        <v/>
      </c>
      <c r="S373" s="85" t="str">
        <f t="shared" si="2"/>
        <v/>
      </c>
      <c r="T373" s="76"/>
      <c r="U373" s="76"/>
      <c r="V373" s="76"/>
      <c r="W373" s="76"/>
      <c r="X373" s="75"/>
      <c r="Y373" s="68"/>
      <c r="Z373" s="68"/>
      <c r="AA373" s="76"/>
      <c r="AB373" s="76"/>
      <c r="AC373" s="69" t="str">
        <f t="shared" si="5"/>
        <v/>
      </c>
      <c r="AD373" s="69" t="str">
        <f t="shared" si="6"/>
        <v/>
      </c>
      <c r="AE373" s="70" t="str">
        <f t="shared" si="7"/>
        <v/>
      </c>
      <c r="AF373" s="71" t="str">
        <f t="shared" si="8"/>
        <v/>
      </c>
      <c r="AG373" s="69" t="str">
        <f t="shared" si="9"/>
        <v/>
      </c>
      <c r="AH373" s="69" t="str">
        <f t="shared" si="10"/>
        <v/>
      </c>
      <c r="AI373" s="69" t="str">
        <f t="shared" si="3"/>
        <v/>
      </c>
    </row>
    <row r="374">
      <c r="A374" s="56" t="str">
        <f t="shared" si="1"/>
        <v/>
      </c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80"/>
      <c r="P374" s="72"/>
      <c r="Q374" s="80"/>
      <c r="R374" s="63" t="str">
        <f t="shared" si="4"/>
        <v/>
      </c>
      <c r="S374" s="85" t="str">
        <f t="shared" si="2"/>
        <v/>
      </c>
      <c r="T374" s="76"/>
      <c r="U374" s="76"/>
      <c r="V374" s="76"/>
      <c r="W374" s="76"/>
      <c r="X374" s="75"/>
      <c r="Y374" s="68"/>
      <c r="Z374" s="68"/>
      <c r="AA374" s="76"/>
      <c r="AB374" s="76"/>
      <c r="AC374" s="69" t="str">
        <f t="shared" si="5"/>
        <v/>
      </c>
      <c r="AD374" s="69" t="str">
        <f t="shared" si="6"/>
        <v/>
      </c>
      <c r="AE374" s="70" t="str">
        <f t="shared" si="7"/>
        <v/>
      </c>
      <c r="AF374" s="71" t="str">
        <f t="shared" si="8"/>
        <v/>
      </c>
      <c r="AG374" s="69" t="str">
        <f t="shared" si="9"/>
        <v/>
      </c>
      <c r="AH374" s="69" t="str">
        <f t="shared" si="10"/>
        <v/>
      </c>
      <c r="AI374" s="69" t="str">
        <f t="shared" si="3"/>
        <v/>
      </c>
    </row>
    <row r="375">
      <c r="A375" s="56" t="str">
        <f t="shared" si="1"/>
        <v/>
      </c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80"/>
      <c r="P375" s="72"/>
      <c r="Q375" s="80"/>
      <c r="R375" s="63" t="str">
        <f t="shared" si="4"/>
        <v/>
      </c>
      <c r="S375" s="85" t="str">
        <f t="shared" si="2"/>
        <v/>
      </c>
      <c r="T375" s="76"/>
      <c r="U375" s="76"/>
      <c r="V375" s="76"/>
      <c r="W375" s="76"/>
      <c r="X375" s="75"/>
      <c r="Y375" s="68"/>
      <c r="Z375" s="68"/>
      <c r="AA375" s="76"/>
      <c r="AB375" s="76"/>
      <c r="AC375" s="69" t="str">
        <f t="shared" si="5"/>
        <v/>
      </c>
      <c r="AD375" s="69" t="str">
        <f t="shared" si="6"/>
        <v/>
      </c>
      <c r="AE375" s="70" t="str">
        <f t="shared" si="7"/>
        <v/>
      </c>
      <c r="AF375" s="71" t="str">
        <f t="shared" si="8"/>
        <v/>
      </c>
      <c r="AG375" s="69" t="str">
        <f t="shared" si="9"/>
        <v/>
      </c>
      <c r="AH375" s="69" t="str">
        <f t="shared" si="10"/>
        <v/>
      </c>
      <c r="AI375" s="69" t="str">
        <f t="shared" si="3"/>
        <v/>
      </c>
    </row>
    <row r="376">
      <c r="A376" s="56" t="str">
        <f t="shared" si="1"/>
        <v/>
      </c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80"/>
      <c r="P376" s="72"/>
      <c r="Q376" s="80"/>
      <c r="R376" s="63" t="str">
        <f t="shared" si="4"/>
        <v/>
      </c>
      <c r="S376" s="85" t="str">
        <f t="shared" si="2"/>
        <v/>
      </c>
      <c r="T376" s="76"/>
      <c r="U376" s="76"/>
      <c r="V376" s="76"/>
      <c r="W376" s="76"/>
      <c r="X376" s="75"/>
      <c r="Y376" s="68"/>
      <c r="Z376" s="68"/>
      <c r="AA376" s="76"/>
      <c r="AB376" s="76"/>
      <c r="AC376" s="69" t="str">
        <f t="shared" si="5"/>
        <v/>
      </c>
      <c r="AD376" s="69" t="str">
        <f t="shared" si="6"/>
        <v/>
      </c>
      <c r="AE376" s="70" t="str">
        <f t="shared" si="7"/>
        <v/>
      </c>
      <c r="AF376" s="71" t="str">
        <f t="shared" si="8"/>
        <v/>
      </c>
      <c r="AG376" s="69" t="str">
        <f t="shared" si="9"/>
        <v/>
      </c>
      <c r="AH376" s="69" t="str">
        <f t="shared" si="10"/>
        <v/>
      </c>
      <c r="AI376" s="69" t="str">
        <f t="shared" si="3"/>
        <v/>
      </c>
    </row>
    <row r="377">
      <c r="A377" s="56" t="str">
        <f t="shared" si="1"/>
        <v/>
      </c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80"/>
      <c r="P377" s="72"/>
      <c r="Q377" s="80"/>
      <c r="R377" s="63" t="str">
        <f t="shared" si="4"/>
        <v/>
      </c>
      <c r="S377" s="85" t="str">
        <f t="shared" si="2"/>
        <v/>
      </c>
      <c r="T377" s="76"/>
      <c r="U377" s="76"/>
      <c r="V377" s="76"/>
      <c r="W377" s="76"/>
      <c r="X377" s="75"/>
      <c r="Y377" s="68"/>
      <c r="Z377" s="68"/>
      <c r="AA377" s="76"/>
      <c r="AB377" s="76"/>
      <c r="AC377" s="69" t="str">
        <f t="shared" si="5"/>
        <v/>
      </c>
      <c r="AD377" s="69" t="str">
        <f t="shared" si="6"/>
        <v/>
      </c>
      <c r="AE377" s="70" t="str">
        <f t="shared" si="7"/>
        <v/>
      </c>
      <c r="AF377" s="71" t="str">
        <f t="shared" si="8"/>
        <v/>
      </c>
      <c r="AG377" s="69" t="str">
        <f t="shared" si="9"/>
        <v/>
      </c>
      <c r="AH377" s="69" t="str">
        <f t="shared" si="10"/>
        <v/>
      </c>
      <c r="AI377" s="69" t="str">
        <f t="shared" si="3"/>
        <v/>
      </c>
    </row>
    <row r="378">
      <c r="A378" s="56" t="str">
        <f t="shared" si="1"/>
        <v/>
      </c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80"/>
      <c r="P378" s="72"/>
      <c r="Q378" s="80"/>
      <c r="R378" s="63" t="str">
        <f t="shared" si="4"/>
        <v/>
      </c>
      <c r="S378" s="85" t="str">
        <f t="shared" si="2"/>
        <v/>
      </c>
      <c r="T378" s="76"/>
      <c r="U378" s="76"/>
      <c r="V378" s="76"/>
      <c r="W378" s="76"/>
      <c r="X378" s="75"/>
      <c r="Y378" s="68"/>
      <c r="Z378" s="68"/>
      <c r="AA378" s="76"/>
      <c r="AB378" s="76"/>
      <c r="AC378" s="69" t="str">
        <f t="shared" si="5"/>
        <v/>
      </c>
      <c r="AD378" s="69" t="str">
        <f t="shared" si="6"/>
        <v/>
      </c>
      <c r="AE378" s="70" t="str">
        <f t="shared" si="7"/>
        <v/>
      </c>
      <c r="AF378" s="71" t="str">
        <f t="shared" si="8"/>
        <v/>
      </c>
      <c r="AG378" s="69" t="str">
        <f t="shared" si="9"/>
        <v/>
      </c>
      <c r="AH378" s="69" t="str">
        <f t="shared" si="10"/>
        <v/>
      </c>
      <c r="AI378" s="69" t="str">
        <f t="shared" si="3"/>
        <v/>
      </c>
    </row>
    <row r="379">
      <c r="A379" s="56" t="str">
        <f t="shared" si="1"/>
        <v/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80"/>
      <c r="P379" s="72"/>
      <c r="Q379" s="80"/>
      <c r="R379" s="63" t="str">
        <f t="shared" si="4"/>
        <v/>
      </c>
      <c r="S379" s="85" t="str">
        <f t="shared" si="2"/>
        <v/>
      </c>
      <c r="T379" s="76"/>
      <c r="U379" s="76"/>
      <c r="V379" s="76"/>
      <c r="W379" s="76"/>
      <c r="X379" s="75"/>
      <c r="Y379" s="68"/>
      <c r="Z379" s="68"/>
      <c r="AA379" s="76"/>
      <c r="AB379" s="76"/>
      <c r="AC379" s="69" t="str">
        <f t="shared" si="5"/>
        <v/>
      </c>
      <c r="AD379" s="69" t="str">
        <f t="shared" si="6"/>
        <v/>
      </c>
      <c r="AE379" s="70" t="str">
        <f t="shared" si="7"/>
        <v/>
      </c>
      <c r="AF379" s="71" t="str">
        <f t="shared" si="8"/>
        <v/>
      </c>
      <c r="AG379" s="69" t="str">
        <f t="shared" si="9"/>
        <v/>
      </c>
      <c r="AH379" s="69" t="str">
        <f t="shared" si="10"/>
        <v/>
      </c>
      <c r="AI379" s="69" t="str">
        <f t="shared" si="3"/>
        <v/>
      </c>
    </row>
    <row r="380">
      <c r="A380" s="56" t="str">
        <f t="shared" si="1"/>
        <v/>
      </c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80"/>
      <c r="P380" s="72"/>
      <c r="Q380" s="80"/>
      <c r="R380" s="63" t="str">
        <f t="shared" si="4"/>
        <v/>
      </c>
      <c r="S380" s="85" t="str">
        <f t="shared" si="2"/>
        <v/>
      </c>
      <c r="T380" s="76"/>
      <c r="U380" s="76"/>
      <c r="V380" s="76"/>
      <c r="W380" s="76"/>
      <c r="X380" s="75"/>
      <c r="Y380" s="68"/>
      <c r="Z380" s="68"/>
      <c r="AA380" s="76"/>
      <c r="AB380" s="76"/>
      <c r="AC380" s="69" t="str">
        <f t="shared" si="5"/>
        <v/>
      </c>
      <c r="AD380" s="69" t="str">
        <f t="shared" si="6"/>
        <v/>
      </c>
      <c r="AE380" s="70" t="str">
        <f t="shared" si="7"/>
        <v/>
      </c>
      <c r="AF380" s="71" t="str">
        <f t="shared" si="8"/>
        <v/>
      </c>
      <c r="AG380" s="69" t="str">
        <f t="shared" si="9"/>
        <v/>
      </c>
      <c r="AH380" s="69" t="str">
        <f t="shared" si="10"/>
        <v/>
      </c>
      <c r="AI380" s="69" t="str">
        <f t="shared" si="3"/>
        <v/>
      </c>
    </row>
    <row r="381">
      <c r="A381" s="56" t="str">
        <f t="shared" si="1"/>
        <v/>
      </c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80"/>
      <c r="P381" s="72"/>
      <c r="Q381" s="80"/>
      <c r="R381" s="63" t="str">
        <f t="shared" si="4"/>
        <v/>
      </c>
      <c r="S381" s="85" t="str">
        <f t="shared" si="2"/>
        <v/>
      </c>
      <c r="T381" s="76"/>
      <c r="U381" s="76"/>
      <c r="V381" s="76"/>
      <c r="W381" s="76"/>
      <c r="X381" s="75"/>
      <c r="Y381" s="68"/>
      <c r="Z381" s="68"/>
      <c r="AA381" s="76"/>
      <c r="AB381" s="76"/>
      <c r="AC381" s="69" t="str">
        <f t="shared" si="5"/>
        <v/>
      </c>
      <c r="AD381" s="69" t="str">
        <f t="shared" si="6"/>
        <v/>
      </c>
      <c r="AE381" s="70" t="str">
        <f t="shared" si="7"/>
        <v/>
      </c>
      <c r="AF381" s="71" t="str">
        <f t="shared" si="8"/>
        <v/>
      </c>
      <c r="AG381" s="69" t="str">
        <f t="shared" si="9"/>
        <v/>
      </c>
      <c r="AH381" s="69" t="str">
        <f t="shared" si="10"/>
        <v/>
      </c>
      <c r="AI381" s="69" t="str">
        <f t="shared" si="3"/>
        <v/>
      </c>
    </row>
    <row r="382">
      <c r="A382" s="56" t="str">
        <f t="shared" si="1"/>
        <v/>
      </c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80"/>
      <c r="P382" s="72"/>
      <c r="Q382" s="80"/>
      <c r="R382" s="63" t="str">
        <f t="shared" si="4"/>
        <v/>
      </c>
      <c r="S382" s="85" t="str">
        <f t="shared" si="2"/>
        <v/>
      </c>
      <c r="T382" s="76"/>
      <c r="U382" s="76"/>
      <c r="V382" s="76"/>
      <c r="W382" s="76"/>
      <c r="X382" s="75"/>
      <c r="Y382" s="68"/>
      <c r="Z382" s="68"/>
      <c r="AA382" s="76"/>
      <c r="AB382" s="76"/>
      <c r="AC382" s="69" t="str">
        <f t="shared" si="5"/>
        <v/>
      </c>
      <c r="AD382" s="69" t="str">
        <f t="shared" si="6"/>
        <v/>
      </c>
      <c r="AE382" s="70" t="str">
        <f t="shared" si="7"/>
        <v/>
      </c>
      <c r="AF382" s="71" t="str">
        <f t="shared" si="8"/>
        <v/>
      </c>
      <c r="AG382" s="69" t="str">
        <f t="shared" si="9"/>
        <v/>
      </c>
      <c r="AH382" s="69" t="str">
        <f t="shared" si="10"/>
        <v/>
      </c>
      <c r="AI382" s="69" t="str">
        <f t="shared" si="3"/>
        <v/>
      </c>
    </row>
    <row r="383">
      <c r="A383" s="56" t="str">
        <f t="shared" si="1"/>
        <v/>
      </c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80"/>
      <c r="P383" s="72"/>
      <c r="Q383" s="80"/>
      <c r="R383" s="63" t="str">
        <f t="shared" si="4"/>
        <v/>
      </c>
      <c r="S383" s="85" t="str">
        <f t="shared" si="2"/>
        <v/>
      </c>
      <c r="T383" s="76"/>
      <c r="U383" s="76"/>
      <c r="V383" s="76"/>
      <c r="W383" s="76"/>
      <c r="X383" s="75"/>
      <c r="Y383" s="68"/>
      <c r="Z383" s="68"/>
      <c r="AA383" s="76"/>
      <c r="AB383" s="76"/>
      <c r="AC383" s="69" t="str">
        <f t="shared" si="5"/>
        <v/>
      </c>
      <c r="AD383" s="69" t="str">
        <f t="shared" si="6"/>
        <v/>
      </c>
      <c r="AE383" s="70" t="str">
        <f t="shared" si="7"/>
        <v/>
      </c>
      <c r="AF383" s="71" t="str">
        <f t="shared" si="8"/>
        <v/>
      </c>
      <c r="AG383" s="69" t="str">
        <f t="shared" si="9"/>
        <v/>
      </c>
      <c r="AH383" s="69" t="str">
        <f t="shared" si="10"/>
        <v/>
      </c>
      <c r="AI383" s="69" t="str">
        <f t="shared" si="3"/>
        <v/>
      </c>
    </row>
    <row r="384">
      <c r="A384" s="56" t="str">
        <f t="shared" si="1"/>
        <v/>
      </c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80"/>
      <c r="P384" s="72"/>
      <c r="Q384" s="80"/>
      <c r="R384" s="63" t="str">
        <f t="shared" si="4"/>
        <v/>
      </c>
      <c r="S384" s="85" t="str">
        <f t="shared" si="2"/>
        <v/>
      </c>
      <c r="T384" s="76"/>
      <c r="U384" s="76"/>
      <c r="V384" s="76"/>
      <c r="W384" s="76"/>
      <c r="X384" s="75"/>
      <c r="Y384" s="68"/>
      <c r="Z384" s="68"/>
      <c r="AA384" s="76"/>
      <c r="AB384" s="76"/>
      <c r="AC384" s="69" t="str">
        <f t="shared" si="5"/>
        <v/>
      </c>
      <c r="AD384" s="69" t="str">
        <f t="shared" si="6"/>
        <v/>
      </c>
      <c r="AE384" s="70" t="str">
        <f t="shared" si="7"/>
        <v/>
      </c>
      <c r="AF384" s="71" t="str">
        <f t="shared" si="8"/>
        <v/>
      </c>
      <c r="AG384" s="69" t="str">
        <f t="shared" si="9"/>
        <v/>
      </c>
      <c r="AH384" s="69" t="str">
        <f t="shared" si="10"/>
        <v/>
      </c>
      <c r="AI384" s="69" t="str">
        <f t="shared" si="3"/>
        <v/>
      </c>
    </row>
    <row r="385">
      <c r="A385" s="56" t="str">
        <f t="shared" si="1"/>
        <v/>
      </c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80"/>
      <c r="P385" s="72"/>
      <c r="Q385" s="80"/>
      <c r="R385" s="63" t="str">
        <f t="shared" si="4"/>
        <v/>
      </c>
      <c r="S385" s="85" t="str">
        <f t="shared" si="2"/>
        <v/>
      </c>
      <c r="T385" s="76"/>
      <c r="U385" s="76"/>
      <c r="V385" s="76"/>
      <c r="W385" s="76"/>
      <c r="X385" s="75"/>
      <c r="Y385" s="68"/>
      <c r="Z385" s="68"/>
      <c r="AA385" s="76"/>
      <c r="AB385" s="76"/>
      <c r="AC385" s="69" t="str">
        <f t="shared" si="5"/>
        <v/>
      </c>
      <c r="AD385" s="69" t="str">
        <f t="shared" si="6"/>
        <v/>
      </c>
      <c r="AE385" s="70" t="str">
        <f t="shared" si="7"/>
        <v/>
      </c>
      <c r="AF385" s="71" t="str">
        <f t="shared" si="8"/>
        <v/>
      </c>
      <c r="AG385" s="69" t="str">
        <f t="shared" si="9"/>
        <v/>
      </c>
      <c r="AH385" s="69" t="str">
        <f t="shared" si="10"/>
        <v/>
      </c>
      <c r="AI385" s="69" t="str">
        <f t="shared" si="3"/>
        <v/>
      </c>
    </row>
    <row r="386">
      <c r="A386" s="56" t="str">
        <f t="shared" si="1"/>
        <v/>
      </c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80"/>
      <c r="P386" s="72"/>
      <c r="Q386" s="80"/>
      <c r="R386" s="63" t="str">
        <f t="shared" si="4"/>
        <v/>
      </c>
      <c r="S386" s="85" t="str">
        <f t="shared" si="2"/>
        <v/>
      </c>
      <c r="T386" s="76"/>
      <c r="U386" s="76"/>
      <c r="V386" s="76"/>
      <c r="W386" s="76"/>
      <c r="X386" s="75"/>
      <c r="Y386" s="68"/>
      <c r="Z386" s="68"/>
      <c r="AA386" s="76"/>
      <c r="AB386" s="76"/>
      <c r="AC386" s="69" t="str">
        <f t="shared" si="5"/>
        <v/>
      </c>
      <c r="AD386" s="69" t="str">
        <f t="shared" si="6"/>
        <v/>
      </c>
      <c r="AE386" s="70" t="str">
        <f t="shared" si="7"/>
        <v/>
      </c>
      <c r="AF386" s="71" t="str">
        <f t="shared" si="8"/>
        <v/>
      </c>
      <c r="AG386" s="69" t="str">
        <f t="shared" si="9"/>
        <v/>
      </c>
      <c r="AH386" s="69" t="str">
        <f t="shared" si="10"/>
        <v/>
      </c>
      <c r="AI386" s="69" t="str">
        <f t="shared" si="3"/>
        <v/>
      </c>
    </row>
    <row r="387">
      <c r="A387" s="56" t="str">
        <f t="shared" si="1"/>
        <v/>
      </c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80"/>
      <c r="P387" s="72"/>
      <c r="Q387" s="80"/>
      <c r="R387" s="63" t="str">
        <f t="shared" si="4"/>
        <v/>
      </c>
      <c r="S387" s="85" t="str">
        <f t="shared" si="2"/>
        <v/>
      </c>
      <c r="T387" s="76"/>
      <c r="U387" s="76"/>
      <c r="V387" s="76"/>
      <c r="W387" s="76"/>
      <c r="X387" s="75"/>
      <c r="Y387" s="68"/>
      <c r="Z387" s="68"/>
      <c r="AA387" s="76"/>
      <c r="AB387" s="76"/>
      <c r="AC387" s="69" t="str">
        <f t="shared" si="5"/>
        <v/>
      </c>
      <c r="AD387" s="69" t="str">
        <f t="shared" si="6"/>
        <v/>
      </c>
      <c r="AE387" s="70" t="str">
        <f t="shared" si="7"/>
        <v/>
      </c>
      <c r="AF387" s="71" t="str">
        <f t="shared" si="8"/>
        <v/>
      </c>
      <c r="AG387" s="69" t="str">
        <f t="shared" si="9"/>
        <v/>
      </c>
      <c r="AH387" s="69" t="str">
        <f t="shared" si="10"/>
        <v/>
      </c>
      <c r="AI387" s="69" t="str">
        <f t="shared" si="3"/>
        <v/>
      </c>
    </row>
    <row r="388">
      <c r="A388" s="56" t="str">
        <f t="shared" si="1"/>
        <v/>
      </c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80"/>
      <c r="P388" s="72"/>
      <c r="Q388" s="80"/>
      <c r="R388" s="63" t="str">
        <f t="shared" si="4"/>
        <v/>
      </c>
      <c r="S388" s="85" t="str">
        <f t="shared" si="2"/>
        <v/>
      </c>
      <c r="T388" s="76"/>
      <c r="U388" s="76"/>
      <c r="V388" s="76"/>
      <c r="W388" s="76"/>
      <c r="X388" s="75"/>
      <c r="Y388" s="68"/>
      <c r="Z388" s="68"/>
      <c r="AA388" s="76"/>
      <c r="AB388" s="76"/>
      <c r="AC388" s="69" t="str">
        <f t="shared" si="5"/>
        <v/>
      </c>
      <c r="AD388" s="69" t="str">
        <f t="shared" si="6"/>
        <v/>
      </c>
      <c r="AE388" s="70" t="str">
        <f t="shared" si="7"/>
        <v/>
      </c>
      <c r="AF388" s="71" t="str">
        <f t="shared" si="8"/>
        <v/>
      </c>
      <c r="AG388" s="69" t="str">
        <f t="shared" si="9"/>
        <v/>
      </c>
      <c r="AH388" s="69" t="str">
        <f t="shared" si="10"/>
        <v/>
      </c>
      <c r="AI388" s="69" t="str">
        <f t="shared" si="3"/>
        <v/>
      </c>
    </row>
    <row r="389">
      <c r="A389" s="56" t="str">
        <f t="shared" si="1"/>
        <v/>
      </c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80"/>
      <c r="P389" s="72"/>
      <c r="Q389" s="80"/>
      <c r="R389" s="63" t="str">
        <f t="shared" si="4"/>
        <v/>
      </c>
      <c r="S389" s="85" t="str">
        <f t="shared" si="2"/>
        <v/>
      </c>
      <c r="T389" s="76"/>
      <c r="U389" s="76"/>
      <c r="V389" s="76"/>
      <c r="W389" s="76"/>
      <c r="X389" s="75"/>
      <c r="Y389" s="68"/>
      <c r="Z389" s="68"/>
      <c r="AA389" s="76"/>
      <c r="AB389" s="76"/>
      <c r="AC389" s="69" t="str">
        <f t="shared" si="5"/>
        <v/>
      </c>
      <c r="AD389" s="69" t="str">
        <f t="shared" si="6"/>
        <v/>
      </c>
      <c r="AE389" s="70" t="str">
        <f t="shared" si="7"/>
        <v/>
      </c>
      <c r="AF389" s="71" t="str">
        <f t="shared" si="8"/>
        <v/>
      </c>
      <c r="AG389" s="69" t="str">
        <f t="shared" si="9"/>
        <v/>
      </c>
      <c r="AH389" s="69" t="str">
        <f t="shared" si="10"/>
        <v/>
      </c>
      <c r="AI389" s="69" t="str">
        <f t="shared" si="3"/>
        <v/>
      </c>
    </row>
    <row r="390">
      <c r="A390" s="56" t="str">
        <f t="shared" si="1"/>
        <v/>
      </c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80"/>
      <c r="P390" s="72"/>
      <c r="Q390" s="80"/>
      <c r="R390" s="63" t="str">
        <f t="shared" si="4"/>
        <v/>
      </c>
      <c r="S390" s="85" t="str">
        <f t="shared" si="2"/>
        <v/>
      </c>
      <c r="T390" s="76"/>
      <c r="U390" s="76"/>
      <c r="V390" s="76"/>
      <c r="W390" s="76"/>
      <c r="X390" s="75"/>
      <c r="Y390" s="68"/>
      <c r="Z390" s="68"/>
      <c r="AA390" s="76"/>
      <c r="AB390" s="76"/>
      <c r="AC390" s="69" t="str">
        <f t="shared" si="5"/>
        <v/>
      </c>
      <c r="AD390" s="69" t="str">
        <f t="shared" si="6"/>
        <v/>
      </c>
      <c r="AE390" s="70" t="str">
        <f t="shared" si="7"/>
        <v/>
      </c>
      <c r="AF390" s="71" t="str">
        <f t="shared" si="8"/>
        <v/>
      </c>
      <c r="AG390" s="69" t="str">
        <f t="shared" si="9"/>
        <v/>
      </c>
      <c r="AH390" s="69" t="str">
        <f t="shared" si="10"/>
        <v/>
      </c>
      <c r="AI390" s="69" t="str">
        <f t="shared" si="3"/>
        <v/>
      </c>
    </row>
    <row r="391">
      <c r="A391" s="56" t="str">
        <f t="shared" si="1"/>
        <v/>
      </c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80"/>
      <c r="P391" s="72"/>
      <c r="Q391" s="80"/>
      <c r="R391" s="63" t="str">
        <f t="shared" si="4"/>
        <v/>
      </c>
      <c r="S391" s="85" t="str">
        <f t="shared" si="2"/>
        <v/>
      </c>
      <c r="T391" s="76"/>
      <c r="U391" s="76"/>
      <c r="V391" s="76"/>
      <c r="W391" s="76"/>
      <c r="X391" s="75"/>
      <c r="Y391" s="68"/>
      <c r="Z391" s="68"/>
      <c r="AA391" s="76"/>
      <c r="AB391" s="76"/>
      <c r="AC391" s="69" t="str">
        <f t="shared" si="5"/>
        <v/>
      </c>
      <c r="AD391" s="69" t="str">
        <f t="shared" si="6"/>
        <v/>
      </c>
      <c r="AE391" s="70" t="str">
        <f t="shared" si="7"/>
        <v/>
      </c>
      <c r="AF391" s="71" t="str">
        <f t="shared" si="8"/>
        <v/>
      </c>
      <c r="AG391" s="69" t="str">
        <f t="shared" si="9"/>
        <v/>
      </c>
      <c r="AH391" s="69" t="str">
        <f t="shared" si="10"/>
        <v/>
      </c>
      <c r="AI391" s="69" t="str">
        <f t="shared" si="3"/>
        <v/>
      </c>
    </row>
    <row r="392">
      <c r="A392" s="56" t="str">
        <f t="shared" si="1"/>
        <v/>
      </c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80"/>
      <c r="P392" s="72"/>
      <c r="Q392" s="80"/>
      <c r="R392" s="63" t="str">
        <f t="shared" si="4"/>
        <v/>
      </c>
      <c r="S392" s="85" t="str">
        <f t="shared" si="2"/>
        <v/>
      </c>
      <c r="T392" s="76"/>
      <c r="U392" s="76"/>
      <c r="V392" s="76"/>
      <c r="W392" s="76"/>
      <c r="X392" s="75"/>
      <c r="Y392" s="68"/>
      <c r="Z392" s="68"/>
      <c r="AA392" s="76"/>
      <c r="AB392" s="76"/>
      <c r="AC392" s="69" t="str">
        <f t="shared" si="5"/>
        <v/>
      </c>
      <c r="AD392" s="69" t="str">
        <f t="shared" si="6"/>
        <v/>
      </c>
      <c r="AE392" s="70" t="str">
        <f t="shared" si="7"/>
        <v/>
      </c>
      <c r="AF392" s="71" t="str">
        <f t="shared" si="8"/>
        <v/>
      </c>
      <c r="AG392" s="69" t="str">
        <f t="shared" si="9"/>
        <v/>
      </c>
      <c r="AH392" s="69" t="str">
        <f t="shared" si="10"/>
        <v/>
      </c>
      <c r="AI392" s="69" t="str">
        <f t="shared" si="3"/>
        <v/>
      </c>
    </row>
    <row r="393">
      <c r="A393" s="56" t="str">
        <f t="shared" si="1"/>
        <v/>
      </c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80"/>
      <c r="P393" s="72"/>
      <c r="Q393" s="80"/>
      <c r="R393" s="63" t="str">
        <f t="shared" si="4"/>
        <v/>
      </c>
      <c r="S393" s="85" t="str">
        <f t="shared" si="2"/>
        <v/>
      </c>
      <c r="T393" s="76"/>
      <c r="U393" s="76"/>
      <c r="V393" s="76"/>
      <c r="W393" s="76"/>
      <c r="X393" s="75"/>
      <c r="Y393" s="68"/>
      <c r="Z393" s="68"/>
      <c r="AA393" s="76"/>
      <c r="AB393" s="76"/>
      <c r="AC393" s="69" t="str">
        <f t="shared" si="5"/>
        <v/>
      </c>
      <c r="AD393" s="69" t="str">
        <f t="shared" si="6"/>
        <v/>
      </c>
      <c r="AE393" s="70" t="str">
        <f t="shared" si="7"/>
        <v/>
      </c>
      <c r="AF393" s="71" t="str">
        <f t="shared" si="8"/>
        <v/>
      </c>
      <c r="AG393" s="69" t="str">
        <f t="shared" si="9"/>
        <v/>
      </c>
      <c r="AH393" s="69" t="str">
        <f t="shared" si="10"/>
        <v/>
      </c>
      <c r="AI393" s="69" t="str">
        <f t="shared" si="3"/>
        <v/>
      </c>
    </row>
    <row r="394">
      <c r="A394" s="56" t="str">
        <f t="shared" si="1"/>
        <v/>
      </c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80"/>
      <c r="P394" s="72"/>
      <c r="Q394" s="80"/>
      <c r="R394" s="63" t="str">
        <f t="shared" si="4"/>
        <v/>
      </c>
      <c r="S394" s="85" t="str">
        <f t="shared" si="2"/>
        <v/>
      </c>
      <c r="T394" s="76"/>
      <c r="U394" s="76"/>
      <c r="V394" s="76"/>
      <c r="W394" s="76"/>
      <c r="X394" s="75"/>
      <c r="Y394" s="68"/>
      <c r="Z394" s="68"/>
      <c r="AA394" s="76"/>
      <c r="AB394" s="76"/>
      <c r="AC394" s="69" t="str">
        <f t="shared" si="5"/>
        <v/>
      </c>
      <c r="AD394" s="69" t="str">
        <f t="shared" si="6"/>
        <v/>
      </c>
      <c r="AE394" s="70" t="str">
        <f t="shared" si="7"/>
        <v/>
      </c>
      <c r="AF394" s="71" t="str">
        <f t="shared" si="8"/>
        <v/>
      </c>
      <c r="AG394" s="69" t="str">
        <f t="shared" si="9"/>
        <v/>
      </c>
      <c r="AH394" s="69" t="str">
        <f t="shared" si="10"/>
        <v/>
      </c>
      <c r="AI394" s="69" t="str">
        <f t="shared" si="3"/>
        <v/>
      </c>
    </row>
    <row r="395">
      <c r="A395" s="56" t="str">
        <f t="shared" si="1"/>
        <v/>
      </c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80"/>
      <c r="P395" s="72"/>
      <c r="Q395" s="80"/>
      <c r="R395" s="63" t="str">
        <f t="shared" si="4"/>
        <v/>
      </c>
      <c r="S395" s="85" t="str">
        <f t="shared" si="2"/>
        <v/>
      </c>
      <c r="T395" s="76"/>
      <c r="U395" s="76"/>
      <c r="V395" s="76"/>
      <c r="W395" s="76"/>
      <c r="X395" s="75"/>
      <c r="Y395" s="68"/>
      <c r="Z395" s="68"/>
      <c r="AA395" s="76"/>
      <c r="AB395" s="76"/>
      <c r="AC395" s="69" t="str">
        <f t="shared" si="5"/>
        <v/>
      </c>
      <c r="AD395" s="69" t="str">
        <f t="shared" si="6"/>
        <v/>
      </c>
      <c r="AE395" s="70" t="str">
        <f t="shared" si="7"/>
        <v/>
      </c>
      <c r="AF395" s="71" t="str">
        <f t="shared" si="8"/>
        <v/>
      </c>
      <c r="AG395" s="69" t="str">
        <f t="shared" si="9"/>
        <v/>
      </c>
      <c r="AH395" s="69" t="str">
        <f t="shared" si="10"/>
        <v/>
      </c>
      <c r="AI395" s="69" t="str">
        <f t="shared" si="3"/>
        <v/>
      </c>
    </row>
    <row r="396">
      <c r="A396" s="56" t="str">
        <f t="shared" si="1"/>
        <v/>
      </c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80"/>
      <c r="P396" s="72"/>
      <c r="Q396" s="80"/>
      <c r="R396" s="63" t="str">
        <f t="shared" si="4"/>
        <v/>
      </c>
      <c r="S396" s="85" t="str">
        <f t="shared" si="2"/>
        <v/>
      </c>
      <c r="T396" s="76"/>
      <c r="U396" s="76"/>
      <c r="V396" s="76"/>
      <c r="W396" s="76"/>
      <c r="X396" s="75"/>
      <c r="Y396" s="68"/>
      <c r="Z396" s="68"/>
      <c r="AA396" s="76"/>
      <c r="AB396" s="76"/>
      <c r="AC396" s="69" t="str">
        <f t="shared" si="5"/>
        <v/>
      </c>
      <c r="AD396" s="69" t="str">
        <f t="shared" si="6"/>
        <v/>
      </c>
      <c r="AE396" s="70" t="str">
        <f t="shared" si="7"/>
        <v/>
      </c>
      <c r="AF396" s="71" t="str">
        <f t="shared" si="8"/>
        <v/>
      </c>
      <c r="AG396" s="69" t="str">
        <f t="shared" si="9"/>
        <v/>
      </c>
      <c r="AH396" s="69" t="str">
        <f t="shared" si="10"/>
        <v/>
      </c>
      <c r="AI396" s="69" t="str">
        <f t="shared" si="3"/>
        <v/>
      </c>
    </row>
    <row r="397">
      <c r="A397" s="56" t="str">
        <f t="shared" si="1"/>
        <v/>
      </c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80"/>
      <c r="P397" s="72"/>
      <c r="Q397" s="80"/>
      <c r="R397" s="63" t="str">
        <f t="shared" si="4"/>
        <v/>
      </c>
      <c r="S397" s="85" t="str">
        <f t="shared" si="2"/>
        <v/>
      </c>
      <c r="T397" s="76"/>
      <c r="U397" s="76"/>
      <c r="V397" s="76"/>
      <c r="W397" s="76"/>
      <c r="X397" s="75"/>
      <c r="Y397" s="68"/>
      <c r="Z397" s="68"/>
      <c r="AA397" s="76"/>
      <c r="AB397" s="76"/>
      <c r="AC397" s="69" t="str">
        <f t="shared" si="5"/>
        <v/>
      </c>
      <c r="AD397" s="69" t="str">
        <f t="shared" si="6"/>
        <v/>
      </c>
      <c r="AE397" s="70" t="str">
        <f t="shared" si="7"/>
        <v/>
      </c>
      <c r="AF397" s="71" t="str">
        <f t="shared" si="8"/>
        <v/>
      </c>
      <c r="AG397" s="69" t="str">
        <f t="shared" si="9"/>
        <v/>
      </c>
      <c r="AH397" s="69" t="str">
        <f t="shared" si="10"/>
        <v/>
      </c>
      <c r="AI397" s="69" t="str">
        <f t="shared" si="3"/>
        <v/>
      </c>
    </row>
    <row r="398">
      <c r="A398" s="56" t="str">
        <f t="shared" si="1"/>
        <v/>
      </c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80"/>
      <c r="P398" s="72"/>
      <c r="Q398" s="80"/>
      <c r="R398" s="63" t="str">
        <f t="shared" si="4"/>
        <v/>
      </c>
      <c r="S398" s="85" t="str">
        <f t="shared" si="2"/>
        <v/>
      </c>
      <c r="T398" s="76"/>
      <c r="U398" s="76"/>
      <c r="V398" s="76"/>
      <c r="W398" s="76"/>
      <c r="X398" s="75"/>
      <c r="Y398" s="68"/>
      <c r="Z398" s="68"/>
      <c r="AA398" s="76"/>
      <c r="AB398" s="76"/>
      <c r="AC398" s="69" t="str">
        <f t="shared" si="5"/>
        <v/>
      </c>
      <c r="AD398" s="69" t="str">
        <f t="shared" si="6"/>
        <v/>
      </c>
      <c r="AE398" s="70" t="str">
        <f t="shared" si="7"/>
        <v/>
      </c>
      <c r="AF398" s="71" t="str">
        <f t="shared" si="8"/>
        <v/>
      </c>
      <c r="AG398" s="69" t="str">
        <f t="shared" si="9"/>
        <v/>
      </c>
      <c r="AH398" s="69" t="str">
        <f t="shared" si="10"/>
        <v/>
      </c>
      <c r="AI398" s="69" t="str">
        <f t="shared" si="3"/>
        <v/>
      </c>
    </row>
    <row r="399">
      <c r="A399" s="56" t="str">
        <f t="shared" si="1"/>
        <v/>
      </c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80"/>
      <c r="P399" s="72"/>
      <c r="Q399" s="80"/>
      <c r="R399" s="63" t="str">
        <f t="shared" si="4"/>
        <v/>
      </c>
      <c r="S399" s="85" t="str">
        <f t="shared" si="2"/>
        <v/>
      </c>
      <c r="T399" s="76"/>
      <c r="U399" s="76"/>
      <c r="V399" s="76"/>
      <c r="W399" s="76"/>
      <c r="X399" s="75"/>
      <c r="Y399" s="68"/>
      <c r="Z399" s="68"/>
      <c r="AA399" s="76"/>
      <c r="AB399" s="76"/>
      <c r="AC399" s="69" t="str">
        <f t="shared" si="5"/>
        <v/>
      </c>
      <c r="AD399" s="69" t="str">
        <f t="shared" si="6"/>
        <v/>
      </c>
      <c r="AE399" s="70" t="str">
        <f t="shared" si="7"/>
        <v/>
      </c>
      <c r="AF399" s="71" t="str">
        <f t="shared" si="8"/>
        <v/>
      </c>
      <c r="AG399" s="69" t="str">
        <f t="shared" si="9"/>
        <v/>
      </c>
      <c r="AH399" s="69" t="str">
        <f t="shared" si="10"/>
        <v/>
      </c>
      <c r="AI399" s="69" t="str">
        <f t="shared" si="3"/>
        <v/>
      </c>
    </row>
    <row r="400">
      <c r="A400" s="56" t="str">
        <f t="shared" si="1"/>
        <v/>
      </c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80"/>
      <c r="P400" s="72"/>
      <c r="Q400" s="80"/>
      <c r="R400" s="63" t="str">
        <f t="shared" si="4"/>
        <v/>
      </c>
      <c r="S400" s="85" t="str">
        <f t="shared" si="2"/>
        <v/>
      </c>
      <c r="T400" s="76"/>
      <c r="U400" s="76"/>
      <c r="V400" s="76"/>
      <c r="W400" s="76"/>
      <c r="X400" s="75"/>
      <c r="Y400" s="68"/>
      <c r="Z400" s="68"/>
      <c r="AA400" s="76"/>
      <c r="AB400" s="76"/>
      <c r="AC400" s="69" t="str">
        <f t="shared" si="5"/>
        <v/>
      </c>
      <c r="AD400" s="69" t="str">
        <f t="shared" si="6"/>
        <v/>
      </c>
      <c r="AE400" s="70" t="str">
        <f t="shared" si="7"/>
        <v/>
      </c>
      <c r="AF400" s="71" t="str">
        <f t="shared" si="8"/>
        <v/>
      </c>
      <c r="AG400" s="69" t="str">
        <f t="shared" si="9"/>
        <v/>
      </c>
      <c r="AH400" s="69" t="str">
        <f t="shared" si="10"/>
        <v/>
      </c>
      <c r="AI400" s="69" t="str">
        <f t="shared" si="3"/>
        <v/>
      </c>
    </row>
    <row r="401">
      <c r="A401" s="56" t="str">
        <f t="shared" si="1"/>
        <v/>
      </c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80"/>
      <c r="P401" s="72"/>
      <c r="Q401" s="80"/>
      <c r="R401" s="63" t="str">
        <f t="shared" si="4"/>
        <v/>
      </c>
      <c r="S401" s="85" t="str">
        <f t="shared" si="2"/>
        <v/>
      </c>
      <c r="T401" s="76"/>
      <c r="U401" s="76"/>
      <c r="V401" s="76"/>
      <c r="W401" s="76"/>
      <c r="X401" s="75"/>
      <c r="Y401" s="68"/>
      <c r="Z401" s="68"/>
      <c r="AA401" s="76"/>
      <c r="AB401" s="76"/>
      <c r="AC401" s="69" t="str">
        <f t="shared" si="5"/>
        <v/>
      </c>
      <c r="AD401" s="69" t="str">
        <f t="shared" si="6"/>
        <v/>
      </c>
      <c r="AE401" s="70" t="str">
        <f t="shared" si="7"/>
        <v/>
      </c>
      <c r="AF401" s="71" t="str">
        <f t="shared" si="8"/>
        <v/>
      </c>
      <c r="AG401" s="69" t="str">
        <f t="shared" si="9"/>
        <v/>
      </c>
      <c r="AH401" s="69" t="str">
        <f t="shared" si="10"/>
        <v/>
      </c>
      <c r="AI401" s="69" t="str">
        <f t="shared" si="3"/>
        <v/>
      </c>
    </row>
    <row r="402">
      <c r="A402" s="56" t="str">
        <f t="shared" si="1"/>
        <v/>
      </c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80"/>
      <c r="P402" s="72"/>
      <c r="Q402" s="80"/>
      <c r="R402" s="63" t="str">
        <f t="shared" si="4"/>
        <v/>
      </c>
      <c r="S402" s="85" t="str">
        <f t="shared" si="2"/>
        <v/>
      </c>
      <c r="T402" s="76"/>
      <c r="U402" s="76"/>
      <c r="V402" s="76"/>
      <c r="W402" s="76"/>
      <c r="X402" s="75"/>
      <c r="Y402" s="68"/>
      <c r="Z402" s="68"/>
      <c r="AA402" s="76"/>
      <c r="AB402" s="76"/>
      <c r="AC402" s="69" t="str">
        <f t="shared" si="5"/>
        <v/>
      </c>
      <c r="AD402" s="69" t="str">
        <f t="shared" si="6"/>
        <v/>
      </c>
      <c r="AE402" s="70" t="str">
        <f t="shared" si="7"/>
        <v/>
      </c>
      <c r="AF402" s="71" t="str">
        <f t="shared" si="8"/>
        <v/>
      </c>
      <c r="AG402" s="69" t="str">
        <f t="shared" si="9"/>
        <v/>
      </c>
      <c r="AH402" s="69" t="str">
        <f t="shared" si="10"/>
        <v/>
      </c>
      <c r="AI402" s="69" t="str">
        <f t="shared" si="3"/>
        <v/>
      </c>
    </row>
    <row r="403">
      <c r="A403" s="56" t="str">
        <f t="shared" si="1"/>
        <v/>
      </c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80"/>
      <c r="P403" s="72"/>
      <c r="Q403" s="80"/>
      <c r="R403" s="63" t="str">
        <f t="shared" si="4"/>
        <v/>
      </c>
      <c r="S403" s="85" t="str">
        <f t="shared" si="2"/>
        <v/>
      </c>
      <c r="T403" s="76"/>
      <c r="U403" s="76"/>
      <c r="V403" s="76"/>
      <c r="W403" s="76"/>
      <c r="X403" s="75"/>
      <c r="Y403" s="68"/>
      <c r="Z403" s="68"/>
      <c r="AA403" s="76"/>
      <c r="AB403" s="76"/>
      <c r="AC403" s="69" t="str">
        <f t="shared" si="5"/>
        <v/>
      </c>
      <c r="AD403" s="69" t="str">
        <f t="shared" si="6"/>
        <v/>
      </c>
      <c r="AE403" s="70" t="str">
        <f t="shared" si="7"/>
        <v/>
      </c>
      <c r="AF403" s="71" t="str">
        <f t="shared" si="8"/>
        <v/>
      </c>
      <c r="AG403" s="69" t="str">
        <f t="shared" si="9"/>
        <v/>
      </c>
      <c r="AH403" s="69" t="str">
        <f t="shared" si="10"/>
        <v/>
      </c>
      <c r="AI403" s="69" t="str">
        <f t="shared" si="3"/>
        <v/>
      </c>
    </row>
    <row r="404">
      <c r="A404" s="56" t="str">
        <f t="shared" si="1"/>
        <v/>
      </c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80"/>
      <c r="P404" s="72"/>
      <c r="Q404" s="80"/>
      <c r="R404" s="63" t="str">
        <f t="shared" si="4"/>
        <v/>
      </c>
      <c r="S404" s="85" t="str">
        <f t="shared" si="2"/>
        <v/>
      </c>
      <c r="T404" s="76"/>
      <c r="U404" s="76"/>
      <c r="V404" s="76"/>
      <c r="W404" s="76"/>
      <c r="X404" s="75"/>
      <c r="Y404" s="68"/>
      <c r="Z404" s="68"/>
      <c r="AA404" s="76"/>
      <c r="AB404" s="76"/>
      <c r="AC404" s="69" t="str">
        <f t="shared" si="5"/>
        <v/>
      </c>
      <c r="AD404" s="69" t="str">
        <f t="shared" si="6"/>
        <v/>
      </c>
      <c r="AE404" s="70" t="str">
        <f t="shared" si="7"/>
        <v/>
      </c>
      <c r="AF404" s="71" t="str">
        <f t="shared" si="8"/>
        <v/>
      </c>
      <c r="AG404" s="69" t="str">
        <f t="shared" si="9"/>
        <v/>
      </c>
      <c r="AH404" s="69" t="str">
        <f t="shared" si="10"/>
        <v/>
      </c>
      <c r="AI404" s="69" t="str">
        <f t="shared" si="3"/>
        <v/>
      </c>
    </row>
    <row r="405">
      <c r="A405" s="56" t="str">
        <f t="shared" si="1"/>
        <v/>
      </c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80"/>
      <c r="P405" s="72"/>
      <c r="Q405" s="80"/>
      <c r="R405" s="63" t="str">
        <f t="shared" si="4"/>
        <v/>
      </c>
      <c r="S405" s="85" t="str">
        <f t="shared" si="2"/>
        <v/>
      </c>
      <c r="T405" s="76"/>
      <c r="U405" s="76"/>
      <c r="V405" s="76"/>
      <c r="W405" s="76"/>
      <c r="X405" s="75"/>
      <c r="Y405" s="68"/>
      <c r="Z405" s="68"/>
      <c r="AA405" s="76"/>
      <c r="AB405" s="76"/>
      <c r="AC405" s="69" t="str">
        <f t="shared" si="5"/>
        <v/>
      </c>
      <c r="AD405" s="69" t="str">
        <f t="shared" si="6"/>
        <v/>
      </c>
      <c r="AE405" s="70" t="str">
        <f t="shared" si="7"/>
        <v/>
      </c>
      <c r="AF405" s="71" t="str">
        <f t="shared" si="8"/>
        <v/>
      </c>
      <c r="AG405" s="69" t="str">
        <f t="shared" si="9"/>
        <v/>
      </c>
      <c r="AH405" s="69" t="str">
        <f t="shared" si="10"/>
        <v/>
      </c>
      <c r="AI405" s="69" t="str">
        <f t="shared" si="3"/>
        <v/>
      </c>
    </row>
    <row r="406">
      <c r="A406" s="56" t="str">
        <f t="shared" si="1"/>
        <v/>
      </c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80"/>
      <c r="P406" s="72"/>
      <c r="Q406" s="80"/>
      <c r="R406" s="63" t="str">
        <f t="shared" si="4"/>
        <v/>
      </c>
      <c r="S406" s="85" t="str">
        <f t="shared" si="2"/>
        <v/>
      </c>
      <c r="T406" s="76"/>
      <c r="U406" s="76"/>
      <c r="V406" s="76"/>
      <c r="W406" s="76"/>
      <c r="X406" s="75"/>
      <c r="Y406" s="68"/>
      <c r="Z406" s="68"/>
      <c r="AA406" s="76"/>
      <c r="AB406" s="76"/>
      <c r="AC406" s="69" t="str">
        <f t="shared" si="5"/>
        <v/>
      </c>
      <c r="AD406" s="69" t="str">
        <f t="shared" si="6"/>
        <v/>
      </c>
      <c r="AE406" s="70" t="str">
        <f t="shared" si="7"/>
        <v/>
      </c>
      <c r="AF406" s="71" t="str">
        <f t="shared" si="8"/>
        <v/>
      </c>
      <c r="AG406" s="69" t="str">
        <f t="shared" si="9"/>
        <v/>
      </c>
      <c r="AH406" s="69" t="str">
        <f t="shared" si="10"/>
        <v/>
      </c>
      <c r="AI406" s="69" t="str">
        <f t="shared" si="3"/>
        <v/>
      </c>
    </row>
    <row r="407">
      <c r="A407" s="56" t="str">
        <f t="shared" si="1"/>
        <v/>
      </c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80"/>
      <c r="P407" s="72"/>
      <c r="Q407" s="80"/>
      <c r="R407" s="63" t="str">
        <f t="shared" si="4"/>
        <v/>
      </c>
      <c r="S407" s="85" t="str">
        <f t="shared" si="2"/>
        <v/>
      </c>
      <c r="T407" s="76"/>
      <c r="U407" s="76"/>
      <c r="V407" s="76"/>
      <c r="W407" s="76"/>
      <c r="X407" s="75"/>
      <c r="Y407" s="68"/>
      <c r="Z407" s="68"/>
      <c r="AA407" s="76"/>
      <c r="AB407" s="76"/>
      <c r="AC407" s="69" t="str">
        <f t="shared" si="5"/>
        <v/>
      </c>
      <c r="AD407" s="69" t="str">
        <f t="shared" si="6"/>
        <v/>
      </c>
      <c r="AE407" s="70" t="str">
        <f t="shared" si="7"/>
        <v/>
      </c>
      <c r="AF407" s="71" t="str">
        <f t="shared" si="8"/>
        <v/>
      </c>
      <c r="AG407" s="69" t="str">
        <f t="shared" si="9"/>
        <v/>
      </c>
      <c r="AH407" s="69" t="str">
        <f t="shared" si="10"/>
        <v/>
      </c>
      <c r="AI407" s="69" t="str">
        <f t="shared" si="3"/>
        <v/>
      </c>
    </row>
    <row r="408">
      <c r="A408" s="56" t="str">
        <f t="shared" si="1"/>
        <v/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80"/>
      <c r="P408" s="72"/>
      <c r="Q408" s="80"/>
      <c r="R408" s="63" t="str">
        <f t="shared" si="4"/>
        <v/>
      </c>
      <c r="S408" s="85" t="str">
        <f t="shared" si="2"/>
        <v/>
      </c>
      <c r="T408" s="76"/>
      <c r="U408" s="76"/>
      <c r="V408" s="76"/>
      <c r="W408" s="76"/>
      <c r="X408" s="75"/>
      <c r="Y408" s="68"/>
      <c r="Z408" s="68"/>
      <c r="AA408" s="76"/>
      <c r="AB408" s="76"/>
      <c r="AC408" s="69" t="str">
        <f t="shared" si="5"/>
        <v/>
      </c>
      <c r="AD408" s="69" t="str">
        <f t="shared" si="6"/>
        <v/>
      </c>
      <c r="AE408" s="70" t="str">
        <f t="shared" si="7"/>
        <v/>
      </c>
      <c r="AF408" s="71" t="str">
        <f t="shared" si="8"/>
        <v/>
      </c>
      <c r="AG408" s="69" t="str">
        <f t="shared" si="9"/>
        <v/>
      </c>
      <c r="AH408" s="69" t="str">
        <f t="shared" si="10"/>
        <v/>
      </c>
      <c r="AI408" s="69" t="str">
        <f t="shared" si="3"/>
        <v/>
      </c>
    </row>
    <row r="409">
      <c r="A409" s="56" t="str">
        <f t="shared" si="1"/>
        <v/>
      </c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80"/>
      <c r="P409" s="72"/>
      <c r="Q409" s="80"/>
      <c r="R409" s="63" t="str">
        <f t="shared" si="4"/>
        <v/>
      </c>
      <c r="S409" s="85" t="str">
        <f t="shared" si="2"/>
        <v/>
      </c>
      <c r="T409" s="76"/>
      <c r="U409" s="76"/>
      <c r="V409" s="76"/>
      <c r="W409" s="76"/>
      <c r="X409" s="75"/>
      <c r="Y409" s="68"/>
      <c r="Z409" s="68"/>
      <c r="AA409" s="76"/>
      <c r="AB409" s="76"/>
      <c r="AC409" s="69" t="str">
        <f t="shared" si="5"/>
        <v/>
      </c>
      <c r="AD409" s="69" t="str">
        <f t="shared" si="6"/>
        <v/>
      </c>
      <c r="AE409" s="70" t="str">
        <f t="shared" si="7"/>
        <v/>
      </c>
      <c r="AF409" s="71" t="str">
        <f t="shared" si="8"/>
        <v/>
      </c>
      <c r="AG409" s="69" t="str">
        <f t="shared" si="9"/>
        <v/>
      </c>
      <c r="AH409" s="69" t="str">
        <f t="shared" si="10"/>
        <v/>
      </c>
      <c r="AI409" s="69" t="str">
        <f t="shared" si="3"/>
        <v/>
      </c>
    </row>
    <row r="410">
      <c r="A410" s="56" t="str">
        <f t="shared" si="1"/>
        <v/>
      </c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80"/>
      <c r="P410" s="72"/>
      <c r="Q410" s="80"/>
      <c r="R410" s="63" t="str">
        <f t="shared" si="4"/>
        <v/>
      </c>
      <c r="S410" s="85" t="str">
        <f t="shared" si="2"/>
        <v/>
      </c>
      <c r="T410" s="76"/>
      <c r="U410" s="76"/>
      <c r="V410" s="76"/>
      <c r="W410" s="76"/>
      <c r="X410" s="75"/>
      <c r="Y410" s="68"/>
      <c r="Z410" s="68"/>
      <c r="AA410" s="76"/>
      <c r="AB410" s="76"/>
      <c r="AC410" s="69" t="str">
        <f t="shared" si="5"/>
        <v/>
      </c>
      <c r="AD410" s="69" t="str">
        <f t="shared" si="6"/>
        <v/>
      </c>
      <c r="AE410" s="70" t="str">
        <f t="shared" si="7"/>
        <v/>
      </c>
      <c r="AF410" s="71" t="str">
        <f t="shared" si="8"/>
        <v/>
      </c>
      <c r="AG410" s="69" t="str">
        <f t="shared" si="9"/>
        <v/>
      </c>
      <c r="AH410" s="69" t="str">
        <f t="shared" si="10"/>
        <v/>
      </c>
      <c r="AI410" s="69" t="str">
        <f t="shared" si="3"/>
        <v/>
      </c>
    </row>
    <row r="411">
      <c r="A411" s="56" t="str">
        <f t="shared" si="1"/>
        <v/>
      </c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80"/>
      <c r="P411" s="72"/>
      <c r="Q411" s="80"/>
      <c r="R411" s="63" t="str">
        <f t="shared" si="4"/>
        <v/>
      </c>
      <c r="S411" s="85" t="str">
        <f t="shared" si="2"/>
        <v/>
      </c>
      <c r="T411" s="76"/>
      <c r="U411" s="76"/>
      <c r="V411" s="76"/>
      <c r="W411" s="76"/>
      <c r="X411" s="75"/>
      <c r="Y411" s="68"/>
      <c r="Z411" s="68"/>
      <c r="AA411" s="76"/>
      <c r="AB411" s="76"/>
      <c r="AC411" s="69" t="str">
        <f t="shared" si="5"/>
        <v/>
      </c>
      <c r="AD411" s="69" t="str">
        <f t="shared" si="6"/>
        <v/>
      </c>
      <c r="AE411" s="70" t="str">
        <f t="shared" si="7"/>
        <v/>
      </c>
      <c r="AF411" s="71" t="str">
        <f t="shared" si="8"/>
        <v/>
      </c>
      <c r="AG411" s="69" t="str">
        <f t="shared" si="9"/>
        <v/>
      </c>
      <c r="AH411" s="69" t="str">
        <f t="shared" si="10"/>
        <v/>
      </c>
      <c r="AI411" s="69" t="str">
        <f t="shared" si="3"/>
        <v/>
      </c>
    </row>
    <row r="412">
      <c r="A412" s="56" t="str">
        <f t="shared" si="1"/>
        <v/>
      </c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80"/>
      <c r="P412" s="72"/>
      <c r="Q412" s="80"/>
      <c r="R412" s="63" t="str">
        <f t="shared" si="4"/>
        <v/>
      </c>
      <c r="S412" s="85" t="str">
        <f t="shared" si="2"/>
        <v/>
      </c>
      <c r="T412" s="76"/>
      <c r="U412" s="76"/>
      <c r="V412" s="76"/>
      <c r="W412" s="76"/>
      <c r="X412" s="75"/>
      <c r="Y412" s="68"/>
      <c r="Z412" s="68"/>
      <c r="AA412" s="76"/>
      <c r="AB412" s="76"/>
      <c r="AC412" s="69" t="str">
        <f t="shared" si="5"/>
        <v/>
      </c>
      <c r="AD412" s="69" t="str">
        <f t="shared" si="6"/>
        <v/>
      </c>
      <c r="AE412" s="70" t="str">
        <f t="shared" si="7"/>
        <v/>
      </c>
      <c r="AF412" s="71" t="str">
        <f t="shared" si="8"/>
        <v/>
      </c>
      <c r="AG412" s="69" t="str">
        <f t="shared" si="9"/>
        <v/>
      </c>
      <c r="AH412" s="69" t="str">
        <f t="shared" si="10"/>
        <v/>
      </c>
      <c r="AI412" s="69" t="str">
        <f t="shared" si="3"/>
        <v/>
      </c>
    </row>
    <row r="413">
      <c r="A413" s="56" t="str">
        <f t="shared" si="1"/>
        <v/>
      </c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80"/>
      <c r="P413" s="72"/>
      <c r="Q413" s="80"/>
      <c r="R413" s="63" t="str">
        <f t="shared" si="4"/>
        <v/>
      </c>
      <c r="S413" s="85" t="str">
        <f t="shared" si="2"/>
        <v/>
      </c>
      <c r="T413" s="76"/>
      <c r="U413" s="76"/>
      <c r="V413" s="76"/>
      <c r="W413" s="76"/>
      <c r="X413" s="75"/>
      <c r="Y413" s="68"/>
      <c r="Z413" s="68"/>
      <c r="AA413" s="76"/>
      <c r="AB413" s="76"/>
      <c r="AC413" s="69" t="str">
        <f t="shared" si="5"/>
        <v/>
      </c>
      <c r="AD413" s="69" t="str">
        <f t="shared" si="6"/>
        <v/>
      </c>
      <c r="AE413" s="70" t="str">
        <f t="shared" si="7"/>
        <v/>
      </c>
      <c r="AF413" s="71" t="str">
        <f t="shared" si="8"/>
        <v/>
      </c>
      <c r="AG413" s="69" t="str">
        <f t="shared" si="9"/>
        <v/>
      </c>
      <c r="AH413" s="69" t="str">
        <f t="shared" si="10"/>
        <v/>
      </c>
      <c r="AI413" s="69" t="str">
        <f t="shared" si="3"/>
        <v/>
      </c>
    </row>
    <row r="414">
      <c r="A414" s="56" t="str">
        <f t="shared" si="1"/>
        <v/>
      </c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80"/>
      <c r="P414" s="72"/>
      <c r="Q414" s="80"/>
      <c r="R414" s="63" t="str">
        <f t="shared" si="4"/>
        <v/>
      </c>
      <c r="S414" s="85" t="str">
        <f t="shared" si="2"/>
        <v/>
      </c>
      <c r="T414" s="76"/>
      <c r="U414" s="76"/>
      <c r="V414" s="76"/>
      <c r="W414" s="76"/>
      <c r="X414" s="75"/>
      <c r="Y414" s="68"/>
      <c r="Z414" s="68"/>
      <c r="AA414" s="76"/>
      <c r="AB414" s="76"/>
      <c r="AC414" s="69" t="str">
        <f t="shared" si="5"/>
        <v/>
      </c>
      <c r="AD414" s="69" t="str">
        <f t="shared" si="6"/>
        <v/>
      </c>
      <c r="AE414" s="70" t="str">
        <f t="shared" si="7"/>
        <v/>
      </c>
      <c r="AF414" s="71" t="str">
        <f t="shared" si="8"/>
        <v/>
      </c>
      <c r="AG414" s="69" t="str">
        <f t="shared" si="9"/>
        <v/>
      </c>
      <c r="AH414" s="69" t="str">
        <f t="shared" si="10"/>
        <v/>
      </c>
      <c r="AI414" s="69" t="str">
        <f t="shared" si="3"/>
        <v/>
      </c>
    </row>
    <row r="415">
      <c r="A415" s="56" t="str">
        <f t="shared" si="1"/>
        <v/>
      </c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80"/>
      <c r="P415" s="72"/>
      <c r="Q415" s="80"/>
      <c r="R415" s="63" t="str">
        <f t="shared" si="4"/>
        <v/>
      </c>
      <c r="S415" s="85" t="str">
        <f t="shared" si="2"/>
        <v/>
      </c>
      <c r="T415" s="76"/>
      <c r="U415" s="76"/>
      <c r="V415" s="76"/>
      <c r="W415" s="76"/>
      <c r="X415" s="75"/>
      <c r="Y415" s="68"/>
      <c r="Z415" s="68"/>
      <c r="AA415" s="76"/>
      <c r="AB415" s="76"/>
      <c r="AC415" s="69" t="str">
        <f t="shared" si="5"/>
        <v/>
      </c>
      <c r="AD415" s="69" t="str">
        <f t="shared" si="6"/>
        <v/>
      </c>
      <c r="AE415" s="70" t="str">
        <f t="shared" si="7"/>
        <v/>
      </c>
      <c r="AF415" s="71" t="str">
        <f t="shared" si="8"/>
        <v/>
      </c>
      <c r="AG415" s="69" t="str">
        <f t="shared" si="9"/>
        <v/>
      </c>
      <c r="AH415" s="69" t="str">
        <f t="shared" si="10"/>
        <v/>
      </c>
      <c r="AI415" s="69" t="str">
        <f t="shared" si="3"/>
        <v/>
      </c>
    </row>
    <row r="416">
      <c r="A416" s="56" t="str">
        <f t="shared" si="1"/>
        <v/>
      </c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80"/>
      <c r="P416" s="72"/>
      <c r="Q416" s="80"/>
      <c r="R416" s="63" t="str">
        <f t="shared" si="4"/>
        <v/>
      </c>
      <c r="S416" s="85" t="str">
        <f t="shared" si="2"/>
        <v/>
      </c>
      <c r="T416" s="76"/>
      <c r="U416" s="76"/>
      <c r="V416" s="76"/>
      <c r="W416" s="76"/>
      <c r="X416" s="75"/>
      <c r="Y416" s="68"/>
      <c r="Z416" s="68"/>
      <c r="AA416" s="76"/>
      <c r="AB416" s="76"/>
      <c r="AC416" s="69" t="str">
        <f t="shared" si="5"/>
        <v/>
      </c>
      <c r="AD416" s="69" t="str">
        <f t="shared" si="6"/>
        <v/>
      </c>
      <c r="AE416" s="70" t="str">
        <f t="shared" si="7"/>
        <v/>
      </c>
      <c r="AF416" s="71" t="str">
        <f t="shared" si="8"/>
        <v/>
      </c>
      <c r="AG416" s="69" t="str">
        <f t="shared" si="9"/>
        <v/>
      </c>
      <c r="AH416" s="69" t="str">
        <f t="shared" si="10"/>
        <v/>
      </c>
      <c r="AI416" s="69" t="str">
        <f t="shared" si="3"/>
        <v/>
      </c>
    </row>
    <row r="417">
      <c r="A417" s="56" t="str">
        <f t="shared" si="1"/>
        <v/>
      </c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80"/>
      <c r="P417" s="72"/>
      <c r="Q417" s="80"/>
      <c r="R417" s="63" t="str">
        <f t="shared" si="4"/>
        <v/>
      </c>
      <c r="S417" s="85" t="str">
        <f t="shared" si="2"/>
        <v/>
      </c>
      <c r="T417" s="76"/>
      <c r="U417" s="76"/>
      <c r="V417" s="76"/>
      <c r="W417" s="76"/>
      <c r="X417" s="75"/>
      <c r="Y417" s="68"/>
      <c r="Z417" s="68"/>
      <c r="AA417" s="76"/>
      <c r="AB417" s="76"/>
      <c r="AC417" s="69" t="str">
        <f t="shared" si="5"/>
        <v/>
      </c>
      <c r="AD417" s="69" t="str">
        <f t="shared" si="6"/>
        <v/>
      </c>
      <c r="AE417" s="70" t="str">
        <f t="shared" si="7"/>
        <v/>
      </c>
      <c r="AF417" s="71" t="str">
        <f t="shared" si="8"/>
        <v/>
      </c>
      <c r="AG417" s="69" t="str">
        <f t="shared" si="9"/>
        <v/>
      </c>
      <c r="AH417" s="69" t="str">
        <f t="shared" si="10"/>
        <v/>
      </c>
      <c r="AI417" s="69" t="str">
        <f t="shared" si="3"/>
        <v/>
      </c>
    </row>
    <row r="418">
      <c r="A418" s="56" t="str">
        <f t="shared" si="1"/>
        <v/>
      </c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80"/>
      <c r="P418" s="72"/>
      <c r="Q418" s="80"/>
      <c r="R418" s="63" t="str">
        <f t="shared" si="4"/>
        <v/>
      </c>
      <c r="S418" s="85" t="str">
        <f t="shared" si="2"/>
        <v/>
      </c>
      <c r="T418" s="76"/>
      <c r="U418" s="76"/>
      <c r="V418" s="76"/>
      <c r="W418" s="76"/>
      <c r="X418" s="75"/>
      <c r="Y418" s="68"/>
      <c r="Z418" s="68"/>
      <c r="AA418" s="76"/>
      <c r="AB418" s="76"/>
      <c r="AC418" s="69" t="str">
        <f t="shared" si="5"/>
        <v/>
      </c>
      <c r="AD418" s="69" t="str">
        <f t="shared" si="6"/>
        <v/>
      </c>
      <c r="AE418" s="70" t="str">
        <f t="shared" si="7"/>
        <v/>
      </c>
      <c r="AF418" s="71" t="str">
        <f t="shared" si="8"/>
        <v/>
      </c>
      <c r="AG418" s="69" t="str">
        <f t="shared" si="9"/>
        <v/>
      </c>
      <c r="AH418" s="69" t="str">
        <f t="shared" si="10"/>
        <v/>
      </c>
      <c r="AI418" s="69" t="str">
        <f t="shared" si="3"/>
        <v/>
      </c>
    </row>
    <row r="419">
      <c r="A419" s="56" t="str">
        <f t="shared" si="1"/>
        <v/>
      </c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80"/>
      <c r="P419" s="72"/>
      <c r="Q419" s="80"/>
      <c r="R419" s="63" t="str">
        <f t="shared" si="4"/>
        <v/>
      </c>
      <c r="S419" s="85" t="str">
        <f t="shared" si="2"/>
        <v/>
      </c>
      <c r="T419" s="76"/>
      <c r="U419" s="76"/>
      <c r="V419" s="76"/>
      <c r="W419" s="76"/>
      <c r="X419" s="75"/>
      <c r="Y419" s="68"/>
      <c r="Z419" s="68"/>
      <c r="AA419" s="76"/>
      <c r="AB419" s="76"/>
      <c r="AC419" s="69" t="str">
        <f t="shared" si="5"/>
        <v/>
      </c>
      <c r="AD419" s="69" t="str">
        <f t="shared" si="6"/>
        <v/>
      </c>
      <c r="AE419" s="70" t="str">
        <f t="shared" si="7"/>
        <v/>
      </c>
      <c r="AF419" s="71" t="str">
        <f t="shared" si="8"/>
        <v/>
      </c>
      <c r="AG419" s="69" t="str">
        <f t="shared" si="9"/>
        <v/>
      </c>
      <c r="AH419" s="69" t="str">
        <f t="shared" si="10"/>
        <v/>
      </c>
      <c r="AI419" s="69" t="str">
        <f t="shared" si="3"/>
        <v/>
      </c>
    </row>
    <row r="420">
      <c r="A420" s="56" t="str">
        <f t="shared" si="1"/>
        <v/>
      </c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80"/>
      <c r="P420" s="72"/>
      <c r="Q420" s="80"/>
      <c r="R420" s="63" t="str">
        <f t="shared" si="4"/>
        <v/>
      </c>
      <c r="S420" s="85" t="str">
        <f t="shared" si="2"/>
        <v/>
      </c>
      <c r="T420" s="76"/>
      <c r="U420" s="76"/>
      <c r="V420" s="76"/>
      <c r="W420" s="76"/>
      <c r="X420" s="75"/>
      <c r="Y420" s="68"/>
      <c r="Z420" s="68"/>
      <c r="AA420" s="76"/>
      <c r="AB420" s="76"/>
      <c r="AC420" s="69" t="str">
        <f t="shared" si="5"/>
        <v/>
      </c>
      <c r="AD420" s="69" t="str">
        <f t="shared" si="6"/>
        <v/>
      </c>
      <c r="AE420" s="70" t="str">
        <f t="shared" si="7"/>
        <v/>
      </c>
      <c r="AF420" s="71" t="str">
        <f t="shared" si="8"/>
        <v/>
      </c>
      <c r="AG420" s="69" t="str">
        <f t="shared" si="9"/>
        <v/>
      </c>
      <c r="AH420" s="69" t="str">
        <f t="shared" si="10"/>
        <v/>
      </c>
      <c r="AI420" s="69" t="str">
        <f t="shared" si="3"/>
        <v/>
      </c>
    </row>
    <row r="421">
      <c r="A421" s="56" t="str">
        <f t="shared" si="1"/>
        <v/>
      </c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80"/>
      <c r="P421" s="72"/>
      <c r="Q421" s="80"/>
      <c r="R421" s="63" t="str">
        <f t="shared" si="4"/>
        <v/>
      </c>
      <c r="S421" s="85" t="str">
        <f t="shared" si="2"/>
        <v/>
      </c>
      <c r="T421" s="76"/>
      <c r="U421" s="76"/>
      <c r="V421" s="76"/>
      <c r="W421" s="76"/>
      <c r="X421" s="75"/>
      <c r="Y421" s="68"/>
      <c r="Z421" s="68"/>
      <c r="AA421" s="76"/>
      <c r="AB421" s="76"/>
      <c r="AC421" s="69" t="str">
        <f t="shared" si="5"/>
        <v/>
      </c>
      <c r="AD421" s="69" t="str">
        <f t="shared" si="6"/>
        <v/>
      </c>
      <c r="AE421" s="70" t="str">
        <f t="shared" si="7"/>
        <v/>
      </c>
      <c r="AF421" s="71" t="str">
        <f t="shared" si="8"/>
        <v/>
      </c>
      <c r="AG421" s="69" t="str">
        <f t="shared" si="9"/>
        <v/>
      </c>
      <c r="AH421" s="69" t="str">
        <f t="shared" si="10"/>
        <v/>
      </c>
      <c r="AI421" s="69" t="str">
        <f t="shared" si="3"/>
        <v/>
      </c>
    </row>
    <row r="422">
      <c r="A422" s="56" t="str">
        <f t="shared" si="1"/>
        <v/>
      </c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80"/>
      <c r="P422" s="72"/>
      <c r="Q422" s="80"/>
      <c r="R422" s="63" t="str">
        <f t="shared" si="4"/>
        <v/>
      </c>
      <c r="S422" s="85" t="str">
        <f t="shared" si="2"/>
        <v/>
      </c>
      <c r="T422" s="76"/>
      <c r="U422" s="76"/>
      <c r="V422" s="76"/>
      <c r="W422" s="76"/>
      <c r="X422" s="75"/>
      <c r="Y422" s="68"/>
      <c r="Z422" s="68"/>
      <c r="AA422" s="76"/>
      <c r="AB422" s="76"/>
      <c r="AC422" s="69" t="str">
        <f t="shared" si="5"/>
        <v/>
      </c>
      <c r="AD422" s="69" t="str">
        <f t="shared" si="6"/>
        <v/>
      </c>
      <c r="AE422" s="70" t="str">
        <f t="shared" si="7"/>
        <v/>
      </c>
      <c r="AF422" s="71" t="str">
        <f t="shared" si="8"/>
        <v/>
      </c>
      <c r="AG422" s="69" t="str">
        <f t="shared" si="9"/>
        <v/>
      </c>
      <c r="AH422" s="69" t="str">
        <f t="shared" si="10"/>
        <v/>
      </c>
      <c r="AI422" s="69" t="str">
        <f t="shared" si="3"/>
        <v/>
      </c>
    </row>
    <row r="423">
      <c r="A423" s="56" t="str">
        <f t="shared" si="1"/>
        <v/>
      </c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80"/>
      <c r="P423" s="72"/>
      <c r="Q423" s="80"/>
      <c r="R423" s="63" t="str">
        <f t="shared" si="4"/>
        <v/>
      </c>
      <c r="S423" s="85" t="str">
        <f t="shared" si="2"/>
        <v/>
      </c>
      <c r="T423" s="76"/>
      <c r="U423" s="76"/>
      <c r="V423" s="76"/>
      <c r="W423" s="76"/>
      <c r="X423" s="75"/>
      <c r="Y423" s="68"/>
      <c r="Z423" s="68"/>
      <c r="AA423" s="76"/>
      <c r="AB423" s="76"/>
      <c r="AC423" s="69" t="str">
        <f t="shared" si="5"/>
        <v/>
      </c>
      <c r="AD423" s="69" t="str">
        <f t="shared" si="6"/>
        <v/>
      </c>
      <c r="AE423" s="70" t="str">
        <f t="shared" si="7"/>
        <v/>
      </c>
      <c r="AF423" s="71" t="str">
        <f t="shared" si="8"/>
        <v/>
      </c>
      <c r="AG423" s="69" t="str">
        <f t="shared" si="9"/>
        <v/>
      </c>
      <c r="AH423" s="69" t="str">
        <f t="shared" si="10"/>
        <v/>
      </c>
      <c r="AI423" s="69" t="str">
        <f t="shared" si="3"/>
        <v/>
      </c>
    </row>
    <row r="424">
      <c r="A424" s="56" t="str">
        <f t="shared" si="1"/>
        <v/>
      </c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80"/>
      <c r="P424" s="72"/>
      <c r="Q424" s="80"/>
      <c r="R424" s="63" t="str">
        <f t="shared" si="4"/>
        <v/>
      </c>
      <c r="S424" s="85" t="str">
        <f t="shared" si="2"/>
        <v/>
      </c>
      <c r="T424" s="76"/>
      <c r="U424" s="76"/>
      <c r="V424" s="76"/>
      <c r="W424" s="76"/>
      <c r="X424" s="75"/>
      <c r="Y424" s="68"/>
      <c r="Z424" s="68"/>
      <c r="AA424" s="76"/>
      <c r="AB424" s="76"/>
      <c r="AC424" s="69" t="str">
        <f t="shared" si="5"/>
        <v/>
      </c>
      <c r="AD424" s="69" t="str">
        <f t="shared" si="6"/>
        <v/>
      </c>
      <c r="AE424" s="70" t="str">
        <f t="shared" si="7"/>
        <v/>
      </c>
      <c r="AF424" s="71" t="str">
        <f t="shared" si="8"/>
        <v/>
      </c>
      <c r="AG424" s="69" t="str">
        <f t="shared" si="9"/>
        <v/>
      </c>
      <c r="AH424" s="69" t="str">
        <f t="shared" si="10"/>
        <v/>
      </c>
      <c r="AI424" s="69" t="str">
        <f t="shared" si="3"/>
        <v/>
      </c>
    </row>
    <row r="425">
      <c r="A425" s="56" t="str">
        <f t="shared" si="1"/>
        <v/>
      </c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80"/>
      <c r="P425" s="72"/>
      <c r="Q425" s="80"/>
      <c r="R425" s="63" t="str">
        <f t="shared" si="4"/>
        <v/>
      </c>
      <c r="S425" s="85" t="str">
        <f t="shared" si="2"/>
        <v/>
      </c>
      <c r="T425" s="76"/>
      <c r="U425" s="76"/>
      <c r="V425" s="76"/>
      <c r="W425" s="76"/>
      <c r="X425" s="75"/>
      <c r="Y425" s="68"/>
      <c r="Z425" s="68"/>
      <c r="AA425" s="76"/>
      <c r="AB425" s="76"/>
      <c r="AC425" s="69" t="str">
        <f t="shared" si="5"/>
        <v/>
      </c>
      <c r="AD425" s="69" t="str">
        <f t="shared" si="6"/>
        <v/>
      </c>
      <c r="AE425" s="70" t="str">
        <f t="shared" si="7"/>
        <v/>
      </c>
      <c r="AF425" s="71" t="str">
        <f t="shared" si="8"/>
        <v/>
      </c>
      <c r="AG425" s="69" t="str">
        <f t="shared" si="9"/>
        <v/>
      </c>
      <c r="AH425" s="69" t="str">
        <f t="shared" si="10"/>
        <v/>
      </c>
      <c r="AI425" s="69" t="str">
        <f t="shared" si="3"/>
        <v/>
      </c>
    </row>
    <row r="426">
      <c r="A426" s="56" t="str">
        <f t="shared" si="1"/>
        <v/>
      </c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80"/>
      <c r="P426" s="72"/>
      <c r="Q426" s="80"/>
      <c r="R426" s="63" t="str">
        <f t="shared" si="4"/>
        <v/>
      </c>
      <c r="S426" s="85" t="str">
        <f t="shared" si="2"/>
        <v/>
      </c>
      <c r="T426" s="76"/>
      <c r="U426" s="76"/>
      <c r="V426" s="76"/>
      <c r="W426" s="76"/>
      <c r="X426" s="75"/>
      <c r="Y426" s="68"/>
      <c r="Z426" s="68"/>
      <c r="AA426" s="76"/>
      <c r="AB426" s="76"/>
      <c r="AC426" s="69" t="str">
        <f t="shared" si="5"/>
        <v/>
      </c>
      <c r="AD426" s="69" t="str">
        <f t="shared" si="6"/>
        <v/>
      </c>
      <c r="AE426" s="70" t="str">
        <f t="shared" si="7"/>
        <v/>
      </c>
      <c r="AF426" s="71" t="str">
        <f t="shared" si="8"/>
        <v/>
      </c>
      <c r="AG426" s="69" t="str">
        <f t="shared" si="9"/>
        <v/>
      </c>
      <c r="AH426" s="69" t="str">
        <f t="shared" si="10"/>
        <v/>
      </c>
      <c r="AI426" s="69" t="str">
        <f t="shared" si="3"/>
        <v/>
      </c>
    </row>
    <row r="427">
      <c r="A427" s="56" t="str">
        <f t="shared" si="1"/>
        <v/>
      </c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80"/>
      <c r="P427" s="72"/>
      <c r="Q427" s="80"/>
      <c r="R427" s="63" t="str">
        <f t="shared" si="4"/>
        <v/>
      </c>
      <c r="S427" s="85" t="str">
        <f t="shared" si="2"/>
        <v/>
      </c>
      <c r="T427" s="76"/>
      <c r="U427" s="76"/>
      <c r="V427" s="76"/>
      <c r="W427" s="76"/>
      <c r="X427" s="75"/>
      <c r="Y427" s="68"/>
      <c r="Z427" s="68"/>
      <c r="AA427" s="76"/>
      <c r="AB427" s="76"/>
      <c r="AC427" s="69" t="str">
        <f t="shared" si="5"/>
        <v/>
      </c>
      <c r="AD427" s="69" t="str">
        <f t="shared" si="6"/>
        <v/>
      </c>
      <c r="AE427" s="70" t="str">
        <f t="shared" si="7"/>
        <v/>
      </c>
      <c r="AF427" s="71" t="str">
        <f t="shared" si="8"/>
        <v/>
      </c>
      <c r="AG427" s="69" t="str">
        <f t="shared" si="9"/>
        <v/>
      </c>
      <c r="AH427" s="69" t="str">
        <f t="shared" si="10"/>
        <v/>
      </c>
      <c r="AI427" s="69" t="str">
        <f t="shared" si="3"/>
        <v/>
      </c>
    </row>
    <row r="428">
      <c r="A428" s="56" t="str">
        <f t="shared" si="1"/>
        <v/>
      </c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80"/>
      <c r="P428" s="72"/>
      <c r="Q428" s="80"/>
      <c r="R428" s="63" t="str">
        <f t="shared" si="4"/>
        <v/>
      </c>
      <c r="S428" s="85" t="str">
        <f t="shared" si="2"/>
        <v/>
      </c>
      <c r="T428" s="76"/>
      <c r="U428" s="76"/>
      <c r="V428" s="76"/>
      <c r="W428" s="76"/>
      <c r="X428" s="75"/>
      <c r="Y428" s="68"/>
      <c r="Z428" s="68"/>
      <c r="AA428" s="76"/>
      <c r="AB428" s="76"/>
      <c r="AC428" s="69" t="str">
        <f t="shared" si="5"/>
        <v/>
      </c>
      <c r="AD428" s="69" t="str">
        <f t="shared" si="6"/>
        <v/>
      </c>
      <c r="AE428" s="70" t="str">
        <f t="shared" si="7"/>
        <v/>
      </c>
      <c r="AF428" s="71" t="str">
        <f t="shared" si="8"/>
        <v/>
      </c>
      <c r="AG428" s="69" t="str">
        <f t="shared" si="9"/>
        <v/>
      </c>
      <c r="AH428" s="69" t="str">
        <f t="shared" si="10"/>
        <v/>
      </c>
      <c r="AI428" s="69" t="str">
        <f t="shared" si="3"/>
        <v/>
      </c>
    </row>
    <row r="429">
      <c r="A429" s="56" t="str">
        <f t="shared" si="1"/>
        <v/>
      </c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80"/>
      <c r="P429" s="72"/>
      <c r="Q429" s="80"/>
      <c r="R429" s="63" t="str">
        <f t="shared" si="4"/>
        <v/>
      </c>
      <c r="S429" s="85" t="str">
        <f t="shared" si="2"/>
        <v/>
      </c>
      <c r="T429" s="76"/>
      <c r="U429" s="76"/>
      <c r="V429" s="76"/>
      <c r="W429" s="76"/>
      <c r="X429" s="75"/>
      <c r="Y429" s="68"/>
      <c r="Z429" s="68"/>
      <c r="AA429" s="76"/>
      <c r="AB429" s="76"/>
      <c r="AC429" s="69" t="str">
        <f t="shared" si="5"/>
        <v/>
      </c>
      <c r="AD429" s="69" t="str">
        <f t="shared" si="6"/>
        <v/>
      </c>
      <c r="AE429" s="70" t="str">
        <f t="shared" si="7"/>
        <v/>
      </c>
      <c r="AF429" s="71" t="str">
        <f t="shared" si="8"/>
        <v/>
      </c>
      <c r="AG429" s="69" t="str">
        <f t="shared" si="9"/>
        <v/>
      </c>
      <c r="AH429" s="69" t="str">
        <f t="shared" si="10"/>
        <v/>
      </c>
      <c r="AI429" s="69" t="str">
        <f t="shared" si="3"/>
        <v/>
      </c>
    </row>
    <row r="430">
      <c r="A430" s="56" t="str">
        <f t="shared" si="1"/>
        <v/>
      </c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80"/>
      <c r="P430" s="72"/>
      <c r="Q430" s="80"/>
      <c r="R430" s="63" t="str">
        <f t="shared" si="4"/>
        <v/>
      </c>
      <c r="S430" s="85" t="str">
        <f t="shared" si="2"/>
        <v/>
      </c>
      <c r="T430" s="76"/>
      <c r="U430" s="76"/>
      <c r="V430" s="76"/>
      <c r="W430" s="76"/>
      <c r="X430" s="75"/>
      <c r="Y430" s="68"/>
      <c r="Z430" s="68"/>
      <c r="AA430" s="76"/>
      <c r="AB430" s="76"/>
      <c r="AC430" s="69" t="str">
        <f t="shared" si="5"/>
        <v/>
      </c>
      <c r="AD430" s="69" t="str">
        <f t="shared" si="6"/>
        <v/>
      </c>
      <c r="AE430" s="70" t="str">
        <f t="shared" si="7"/>
        <v/>
      </c>
      <c r="AF430" s="71" t="str">
        <f t="shared" si="8"/>
        <v/>
      </c>
      <c r="AG430" s="69" t="str">
        <f t="shared" si="9"/>
        <v/>
      </c>
      <c r="AH430" s="69" t="str">
        <f t="shared" si="10"/>
        <v/>
      </c>
      <c r="AI430" s="69" t="str">
        <f t="shared" si="3"/>
        <v/>
      </c>
    </row>
    <row r="431">
      <c r="A431" s="56" t="str">
        <f t="shared" si="1"/>
        <v/>
      </c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80"/>
      <c r="P431" s="72"/>
      <c r="Q431" s="80"/>
      <c r="R431" s="63" t="str">
        <f t="shared" si="4"/>
        <v/>
      </c>
      <c r="S431" s="85" t="str">
        <f t="shared" si="2"/>
        <v/>
      </c>
      <c r="T431" s="76"/>
      <c r="U431" s="76"/>
      <c r="V431" s="76"/>
      <c r="W431" s="76"/>
      <c r="X431" s="75"/>
      <c r="Y431" s="68"/>
      <c r="Z431" s="68"/>
      <c r="AA431" s="76"/>
      <c r="AB431" s="76"/>
      <c r="AC431" s="69" t="str">
        <f t="shared" si="5"/>
        <v/>
      </c>
      <c r="AD431" s="69" t="str">
        <f t="shared" si="6"/>
        <v/>
      </c>
      <c r="AE431" s="70" t="str">
        <f t="shared" si="7"/>
        <v/>
      </c>
      <c r="AF431" s="71" t="str">
        <f t="shared" si="8"/>
        <v/>
      </c>
      <c r="AG431" s="69" t="str">
        <f t="shared" si="9"/>
        <v/>
      </c>
      <c r="AH431" s="69" t="str">
        <f t="shared" si="10"/>
        <v/>
      </c>
      <c r="AI431" s="69" t="str">
        <f t="shared" si="3"/>
        <v/>
      </c>
    </row>
    <row r="432">
      <c r="A432" s="56" t="str">
        <f t="shared" si="1"/>
        <v/>
      </c>
      <c r="B432" s="57"/>
      <c r="C432" s="57"/>
      <c r="D432" s="57"/>
      <c r="E432" s="57"/>
      <c r="F432" s="57"/>
      <c r="G432" s="72"/>
      <c r="H432" s="57"/>
      <c r="I432" s="57"/>
      <c r="J432" s="57"/>
      <c r="K432" s="72"/>
      <c r="L432" s="72"/>
      <c r="M432" s="72"/>
      <c r="N432" s="72"/>
      <c r="O432" s="80"/>
      <c r="P432" s="57"/>
      <c r="Q432" s="57"/>
      <c r="R432" s="63" t="str">
        <f t="shared" si="4"/>
        <v/>
      </c>
      <c r="S432" s="85" t="str">
        <f t="shared" si="2"/>
        <v/>
      </c>
      <c r="T432" s="76"/>
      <c r="U432" s="76"/>
      <c r="V432" s="76"/>
      <c r="W432" s="76"/>
      <c r="X432" s="75"/>
      <c r="Y432" s="68"/>
      <c r="Z432" s="68"/>
      <c r="AA432" s="76"/>
      <c r="AB432" s="76"/>
      <c r="AC432" s="69" t="str">
        <f t="shared" si="5"/>
        <v/>
      </c>
      <c r="AD432" s="69" t="str">
        <f t="shared" si="6"/>
        <v/>
      </c>
      <c r="AE432" s="70" t="str">
        <f t="shared" si="7"/>
        <v/>
      </c>
      <c r="AF432" s="71" t="str">
        <f t="shared" si="8"/>
        <v/>
      </c>
      <c r="AG432" s="69" t="str">
        <f t="shared" si="9"/>
        <v/>
      </c>
      <c r="AH432" s="69" t="str">
        <f t="shared" si="10"/>
        <v/>
      </c>
      <c r="AI432" s="69" t="str">
        <f t="shared" si="3"/>
        <v/>
      </c>
    </row>
    <row r="433">
      <c r="A433" s="56" t="str">
        <f t="shared" si="1"/>
        <v/>
      </c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80"/>
      <c r="P433" s="72"/>
      <c r="Q433" s="80"/>
      <c r="R433" s="63" t="str">
        <f t="shared" si="4"/>
        <v/>
      </c>
      <c r="S433" s="85" t="str">
        <f t="shared" si="2"/>
        <v/>
      </c>
      <c r="T433" s="76"/>
      <c r="U433" s="76"/>
      <c r="V433" s="76"/>
      <c r="W433" s="76"/>
      <c r="X433" s="75"/>
      <c r="Y433" s="68"/>
      <c r="Z433" s="68"/>
      <c r="AA433" s="76"/>
      <c r="AB433" s="76"/>
      <c r="AC433" s="69" t="str">
        <f t="shared" si="5"/>
        <v/>
      </c>
      <c r="AD433" s="69" t="str">
        <f t="shared" si="6"/>
        <v/>
      </c>
      <c r="AE433" s="70" t="str">
        <f t="shared" si="7"/>
        <v/>
      </c>
      <c r="AF433" s="71" t="str">
        <f t="shared" si="8"/>
        <v/>
      </c>
      <c r="AG433" s="69" t="str">
        <f t="shared" si="9"/>
        <v/>
      </c>
      <c r="AH433" s="69" t="str">
        <f t="shared" si="10"/>
        <v/>
      </c>
      <c r="AI433" s="69" t="str">
        <f t="shared" si="3"/>
        <v/>
      </c>
    </row>
    <row r="434">
      <c r="A434" s="56" t="str">
        <f t="shared" si="1"/>
        <v/>
      </c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80"/>
      <c r="P434" s="72"/>
      <c r="Q434" s="80"/>
      <c r="R434" s="63" t="str">
        <f t="shared" si="4"/>
        <v/>
      </c>
      <c r="S434" s="85" t="str">
        <f t="shared" si="2"/>
        <v/>
      </c>
      <c r="T434" s="76"/>
      <c r="U434" s="76"/>
      <c r="V434" s="76"/>
      <c r="W434" s="76"/>
      <c r="X434" s="75"/>
      <c r="Y434" s="68"/>
      <c r="Z434" s="68"/>
      <c r="AA434" s="76"/>
      <c r="AB434" s="76"/>
      <c r="AC434" s="69" t="str">
        <f t="shared" si="5"/>
        <v/>
      </c>
      <c r="AD434" s="69" t="str">
        <f t="shared" si="6"/>
        <v/>
      </c>
      <c r="AE434" s="70" t="str">
        <f t="shared" si="7"/>
        <v/>
      </c>
      <c r="AF434" s="71" t="str">
        <f t="shared" si="8"/>
        <v/>
      </c>
      <c r="AG434" s="69" t="str">
        <f t="shared" si="9"/>
        <v/>
      </c>
      <c r="AH434" s="69" t="str">
        <f t="shared" si="10"/>
        <v/>
      </c>
      <c r="AI434" s="69" t="str">
        <f t="shared" si="3"/>
        <v/>
      </c>
    </row>
    <row r="435">
      <c r="A435" s="56" t="str">
        <f t="shared" si="1"/>
        <v/>
      </c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80"/>
      <c r="P435" s="72"/>
      <c r="Q435" s="80"/>
      <c r="R435" s="63" t="str">
        <f t="shared" si="4"/>
        <v/>
      </c>
      <c r="S435" s="85" t="str">
        <f t="shared" si="2"/>
        <v/>
      </c>
      <c r="T435" s="76"/>
      <c r="U435" s="76"/>
      <c r="V435" s="76"/>
      <c r="W435" s="76"/>
      <c r="X435" s="75"/>
      <c r="Y435" s="68"/>
      <c r="Z435" s="68"/>
      <c r="AA435" s="76"/>
      <c r="AB435" s="76"/>
      <c r="AC435" s="69" t="str">
        <f t="shared" si="5"/>
        <v/>
      </c>
      <c r="AD435" s="69" t="str">
        <f t="shared" si="6"/>
        <v/>
      </c>
      <c r="AE435" s="70" t="str">
        <f t="shared" si="7"/>
        <v/>
      </c>
      <c r="AF435" s="71" t="str">
        <f t="shared" si="8"/>
        <v/>
      </c>
      <c r="AG435" s="69" t="str">
        <f t="shared" si="9"/>
        <v/>
      </c>
      <c r="AH435" s="69" t="str">
        <f t="shared" si="10"/>
        <v/>
      </c>
      <c r="AI435" s="69" t="str">
        <f t="shared" si="3"/>
        <v/>
      </c>
    </row>
    <row r="436">
      <c r="A436" s="56" t="str">
        <f t="shared" si="1"/>
        <v/>
      </c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80"/>
      <c r="P436" s="72"/>
      <c r="Q436" s="80"/>
      <c r="R436" s="63" t="str">
        <f t="shared" si="4"/>
        <v/>
      </c>
      <c r="S436" s="85" t="str">
        <f t="shared" si="2"/>
        <v/>
      </c>
      <c r="T436" s="76"/>
      <c r="U436" s="76"/>
      <c r="V436" s="76"/>
      <c r="W436" s="76"/>
      <c r="X436" s="75"/>
      <c r="Y436" s="68"/>
      <c r="Z436" s="68"/>
      <c r="AA436" s="76"/>
      <c r="AB436" s="76"/>
      <c r="AC436" s="69" t="str">
        <f t="shared" si="5"/>
        <v/>
      </c>
      <c r="AD436" s="69" t="str">
        <f t="shared" si="6"/>
        <v/>
      </c>
      <c r="AE436" s="70" t="str">
        <f t="shared" si="7"/>
        <v/>
      </c>
      <c r="AF436" s="71" t="str">
        <f t="shared" si="8"/>
        <v/>
      </c>
      <c r="AG436" s="69" t="str">
        <f t="shared" si="9"/>
        <v/>
      </c>
      <c r="AH436" s="69" t="str">
        <f t="shared" si="10"/>
        <v/>
      </c>
      <c r="AI436" s="69" t="str">
        <f t="shared" si="3"/>
        <v/>
      </c>
    </row>
    <row r="437">
      <c r="A437" s="56" t="str">
        <f t="shared" si="1"/>
        <v/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80"/>
      <c r="P437" s="72"/>
      <c r="Q437" s="80"/>
      <c r="R437" s="63" t="str">
        <f t="shared" si="4"/>
        <v/>
      </c>
      <c r="S437" s="85" t="str">
        <f t="shared" si="2"/>
        <v/>
      </c>
      <c r="T437" s="76"/>
      <c r="U437" s="76"/>
      <c r="V437" s="76"/>
      <c r="W437" s="76"/>
      <c r="X437" s="75"/>
      <c r="Y437" s="68"/>
      <c r="Z437" s="68"/>
      <c r="AA437" s="76"/>
      <c r="AB437" s="76"/>
      <c r="AC437" s="69" t="str">
        <f t="shared" si="5"/>
        <v/>
      </c>
      <c r="AD437" s="69" t="str">
        <f t="shared" si="6"/>
        <v/>
      </c>
      <c r="AE437" s="70" t="str">
        <f t="shared" si="7"/>
        <v/>
      </c>
      <c r="AF437" s="71" t="str">
        <f t="shared" si="8"/>
        <v/>
      </c>
      <c r="AG437" s="69" t="str">
        <f t="shared" si="9"/>
        <v/>
      </c>
      <c r="AH437" s="69" t="str">
        <f t="shared" si="10"/>
        <v/>
      </c>
      <c r="AI437" s="69" t="str">
        <f t="shared" si="3"/>
        <v/>
      </c>
    </row>
    <row r="438">
      <c r="A438" s="56" t="str">
        <f t="shared" si="1"/>
        <v/>
      </c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80"/>
      <c r="P438" s="72"/>
      <c r="Q438" s="80"/>
      <c r="R438" s="63" t="str">
        <f t="shared" si="4"/>
        <v/>
      </c>
      <c r="S438" s="85" t="str">
        <f t="shared" si="2"/>
        <v/>
      </c>
      <c r="T438" s="76"/>
      <c r="U438" s="76"/>
      <c r="V438" s="76"/>
      <c r="W438" s="76"/>
      <c r="X438" s="75"/>
      <c r="Y438" s="68"/>
      <c r="Z438" s="68"/>
      <c r="AA438" s="76"/>
      <c r="AB438" s="76"/>
      <c r="AC438" s="69" t="str">
        <f t="shared" si="5"/>
        <v/>
      </c>
      <c r="AD438" s="69" t="str">
        <f t="shared" si="6"/>
        <v/>
      </c>
      <c r="AE438" s="70" t="str">
        <f t="shared" si="7"/>
        <v/>
      </c>
      <c r="AF438" s="71" t="str">
        <f t="shared" si="8"/>
        <v/>
      </c>
      <c r="AG438" s="69" t="str">
        <f t="shared" si="9"/>
        <v/>
      </c>
      <c r="AH438" s="69" t="str">
        <f t="shared" si="10"/>
        <v/>
      </c>
      <c r="AI438" s="69" t="str">
        <f t="shared" si="3"/>
        <v/>
      </c>
    </row>
    <row r="439">
      <c r="A439" s="56" t="str">
        <f t="shared" si="1"/>
        <v/>
      </c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80"/>
      <c r="P439" s="72"/>
      <c r="Q439" s="80"/>
      <c r="R439" s="63" t="str">
        <f t="shared" si="4"/>
        <v/>
      </c>
      <c r="S439" s="85" t="str">
        <f t="shared" si="2"/>
        <v/>
      </c>
      <c r="T439" s="76"/>
      <c r="U439" s="76"/>
      <c r="V439" s="76"/>
      <c r="W439" s="76"/>
      <c r="X439" s="75"/>
      <c r="Y439" s="68"/>
      <c r="Z439" s="68"/>
      <c r="AA439" s="76"/>
      <c r="AB439" s="76"/>
      <c r="AC439" s="69" t="str">
        <f t="shared" si="5"/>
        <v/>
      </c>
      <c r="AD439" s="69" t="str">
        <f t="shared" si="6"/>
        <v/>
      </c>
      <c r="AE439" s="70" t="str">
        <f t="shared" si="7"/>
        <v/>
      </c>
      <c r="AF439" s="71" t="str">
        <f t="shared" si="8"/>
        <v/>
      </c>
      <c r="AG439" s="69" t="str">
        <f t="shared" si="9"/>
        <v/>
      </c>
      <c r="AH439" s="69" t="str">
        <f t="shared" si="10"/>
        <v/>
      </c>
      <c r="AI439" s="69" t="str">
        <f t="shared" si="3"/>
        <v/>
      </c>
    </row>
    <row r="440">
      <c r="A440" s="56" t="str">
        <f t="shared" si="1"/>
        <v/>
      </c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80"/>
      <c r="P440" s="72"/>
      <c r="Q440" s="80"/>
      <c r="R440" s="63" t="str">
        <f t="shared" si="4"/>
        <v/>
      </c>
      <c r="S440" s="85" t="str">
        <f t="shared" si="2"/>
        <v/>
      </c>
      <c r="T440" s="76"/>
      <c r="U440" s="76"/>
      <c r="V440" s="76"/>
      <c r="W440" s="76"/>
      <c r="X440" s="75"/>
      <c r="Y440" s="68"/>
      <c r="Z440" s="68"/>
      <c r="AA440" s="76"/>
      <c r="AB440" s="76"/>
      <c r="AC440" s="69" t="str">
        <f t="shared" si="5"/>
        <v/>
      </c>
      <c r="AD440" s="69" t="str">
        <f t="shared" si="6"/>
        <v/>
      </c>
      <c r="AE440" s="70" t="str">
        <f t="shared" si="7"/>
        <v/>
      </c>
      <c r="AF440" s="71" t="str">
        <f t="shared" si="8"/>
        <v/>
      </c>
      <c r="AG440" s="69" t="str">
        <f t="shared" si="9"/>
        <v/>
      </c>
      <c r="AH440" s="69" t="str">
        <f t="shared" si="10"/>
        <v/>
      </c>
      <c r="AI440" s="69" t="str">
        <f t="shared" si="3"/>
        <v/>
      </c>
    </row>
    <row r="441">
      <c r="A441" s="56" t="str">
        <f t="shared" si="1"/>
        <v/>
      </c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80"/>
      <c r="P441" s="72"/>
      <c r="Q441" s="80"/>
      <c r="R441" s="63" t="str">
        <f t="shared" si="4"/>
        <v/>
      </c>
      <c r="S441" s="85" t="str">
        <f t="shared" si="2"/>
        <v/>
      </c>
      <c r="T441" s="76"/>
      <c r="U441" s="76"/>
      <c r="V441" s="76"/>
      <c r="W441" s="76"/>
      <c r="X441" s="75"/>
      <c r="Y441" s="68"/>
      <c r="Z441" s="68"/>
      <c r="AA441" s="76"/>
      <c r="AB441" s="76"/>
      <c r="AC441" s="69" t="str">
        <f t="shared" si="5"/>
        <v/>
      </c>
      <c r="AD441" s="69" t="str">
        <f t="shared" si="6"/>
        <v/>
      </c>
      <c r="AE441" s="70" t="str">
        <f t="shared" si="7"/>
        <v/>
      </c>
      <c r="AF441" s="71" t="str">
        <f t="shared" si="8"/>
        <v/>
      </c>
      <c r="AG441" s="69" t="str">
        <f t="shared" si="9"/>
        <v/>
      </c>
      <c r="AH441" s="69" t="str">
        <f t="shared" si="10"/>
        <v/>
      </c>
      <c r="AI441" s="69" t="str">
        <f t="shared" si="3"/>
        <v/>
      </c>
    </row>
    <row r="442">
      <c r="A442" s="56" t="str">
        <f t="shared" si="1"/>
        <v/>
      </c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80"/>
      <c r="P442" s="72"/>
      <c r="Q442" s="80"/>
      <c r="R442" s="63" t="str">
        <f t="shared" si="4"/>
        <v/>
      </c>
      <c r="S442" s="85" t="str">
        <f t="shared" si="2"/>
        <v/>
      </c>
      <c r="T442" s="76"/>
      <c r="U442" s="76"/>
      <c r="V442" s="76"/>
      <c r="W442" s="76"/>
      <c r="X442" s="75"/>
      <c r="Y442" s="68"/>
      <c r="Z442" s="68"/>
      <c r="AA442" s="76"/>
      <c r="AB442" s="76"/>
      <c r="AC442" s="69" t="str">
        <f t="shared" si="5"/>
        <v/>
      </c>
      <c r="AD442" s="69" t="str">
        <f t="shared" si="6"/>
        <v/>
      </c>
      <c r="AE442" s="70" t="str">
        <f t="shared" si="7"/>
        <v/>
      </c>
      <c r="AF442" s="71" t="str">
        <f t="shared" si="8"/>
        <v/>
      </c>
      <c r="AG442" s="69" t="str">
        <f t="shared" si="9"/>
        <v/>
      </c>
      <c r="AH442" s="69" t="str">
        <f t="shared" si="10"/>
        <v/>
      </c>
      <c r="AI442" s="69" t="str">
        <f t="shared" si="3"/>
        <v/>
      </c>
    </row>
    <row r="443">
      <c r="A443" s="56" t="str">
        <f t="shared" si="1"/>
        <v/>
      </c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80"/>
      <c r="P443" s="72"/>
      <c r="Q443" s="80"/>
      <c r="R443" s="63" t="str">
        <f t="shared" si="4"/>
        <v/>
      </c>
      <c r="S443" s="85" t="str">
        <f t="shared" si="2"/>
        <v/>
      </c>
      <c r="T443" s="76"/>
      <c r="U443" s="76"/>
      <c r="V443" s="76"/>
      <c r="W443" s="76"/>
      <c r="X443" s="75"/>
      <c r="Y443" s="68"/>
      <c r="Z443" s="68"/>
      <c r="AA443" s="76"/>
      <c r="AB443" s="76"/>
      <c r="AC443" s="69" t="str">
        <f t="shared" si="5"/>
        <v/>
      </c>
      <c r="AD443" s="69" t="str">
        <f t="shared" si="6"/>
        <v/>
      </c>
      <c r="AE443" s="70" t="str">
        <f t="shared" si="7"/>
        <v/>
      </c>
      <c r="AF443" s="71" t="str">
        <f t="shared" si="8"/>
        <v/>
      </c>
      <c r="AG443" s="69" t="str">
        <f t="shared" si="9"/>
        <v/>
      </c>
      <c r="AH443" s="69" t="str">
        <f t="shared" si="10"/>
        <v/>
      </c>
      <c r="AI443" s="69" t="str">
        <f t="shared" si="3"/>
        <v/>
      </c>
    </row>
    <row r="444">
      <c r="A444" s="56" t="str">
        <f t="shared" si="1"/>
        <v/>
      </c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80"/>
      <c r="P444" s="72"/>
      <c r="Q444" s="80"/>
      <c r="R444" s="63" t="str">
        <f t="shared" si="4"/>
        <v/>
      </c>
      <c r="S444" s="85" t="str">
        <f t="shared" si="2"/>
        <v/>
      </c>
      <c r="T444" s="76"/>
      <c r="U444" s="76"/>
      <c r="V444" s="76"/>
      <c r="W444" s="76"/>
      <c r="X444" s="75"/>
      <c r="Y444" s="68"/>
      <c r="Z444" s="68"/>
      <c r="AA444" s="76"/>
      <c r="AB444" s="76"/>
      <c r="AC444" s="69" t="str">
        <f t="shared" si="5"/>
        <v/>
      </c>
      <c r="AD444" s="69" t="str">
        <f t="shared" si="6"/>
        <v/>
      </c>
      <c r="AE444" s="70" t="str">
        <f t="shared" si="7"/>
        <v/>
      </c>
      <c r="AF444" s="71" t="str">
        <f t="shared" si="8"/>
        <v/>
      </c>
      <c r="AG444" s="69" t="str">
        <f t="shared" si="9"/>
        <v/>
      </c>
      <c r="AH444" s="69" t="str">
        <f t="shared" si="10"/>
        <v/>
      </c>
      <c r="AI444" s="69" t="str">
        <f t="shared" si="3"/>
        <v/>
      </c>
    </row>
    <row r="445">
      <c r="A445" s="56" t="str">
        <f t="shared" si="1"/>
        <v/>
      </c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80"/>
      <c r="P445" s="72"/>
      <c r="Q445" s="80"/>
      <c r="R445" s="63" t="str">
        <f t="shared" si="4"/>
        <v/>
      </c>
      <c r="S445" s="85" t="str">
        <f t="shared" si="2"/>
        <v/>
      </c>
      <c r="T445" s="76"/>
      <c r="U445" s="76"/>
      <c r="V445" s="76"/>
      <c r="W445" s="76"/>
      <c r="X445" s="75"/>
      <c r="Y445" s="68"/>
      <c r="Z445" s="68"/>
      <c r="AA445" s="76"/>
      <c r="AB445" s="76"/>
      <c r="AC445" s="69" t="str">
        <f t="shared" si="5"/>
        <v/>
      </c>
      <c r="AD445" s="69" t="str">
        <f t="shared" si="6"/>
        <v/>
      </c>
      <c r="AE445" s="70" t="str">
        <f t="shared" si="7"/>
        <v/>
      </c>
      <c r="AF445" s="71" t="str">
        <f t="shared" si="8"/>
        <v/>
      </c>
      <c r="AG445" s="69" t="str">
        <f t="shared" si="9"/>
        <v/>
      </c>
      <c r="AH445" s="69" t="str">
        <f t="shared" si="10"/>
        <v/>
      </c>
      <c r="AI445" s="69" t="str">
        <f t="shared" si="3"/>
        <v/>
      </c>
    </row>
    <row r="446">
      <c r="A446" s="56" t="str">
        <f t="shared" si="1"/>
        <v/>
      </c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80"/>
      <c r="P446" s="72"/>
      <c r="Q446" s="80"/>
      <c r="R446" s="63" t="str">
        <f t="shared" si="4"/>
        <v/>
      </c>
      <c r="S446" s="85" t="str">
        <f t="shared" si="2"/>
        <v/>
      </c>
      <c r="T446" s="76"/>
      <c r="U446" s="76"/>
      <c r="V446" s="76"/>
      <c r="W446" s="76"/>
      <c r="X446" s="75"/>
      <c r="Y446" s="68"/>
      <c r="Z446" s="68"/>
      <c r="AA446" s="76"/>
      <c r="AB446" s="76"/>
      <c r="AC446" s="69" t="str">
        <f t="shared" si="5"/>
        <v/>
      </c>
      <c r="AD446" s="69" t="str">
        <f t="shared" si="6"/>
        <v/>
      </c>
      <c r="AE446" s="70" t="str">
        <f t="shared" si="7"/>
        <v/>
      </c>
      <c r="AF446" s="71" t="str">
        <f t="shared" si="8"/>
        <v/>
      </c>
      <c r="AG446" s="69" t="str">
        <f t="shared" si="9"/>
        <v/>
      </c>
      <c r="AH446" s="69" t="str">
        <f t="shared" si="10"/>
        <v/>
      </c>
      <c r="AI446" s="69" t="str">
        <f t="shared" si="3"/>
        <v/>
      </c>
    </row>
    <row r="447">
      <c r="A447" s="56" t="str">
        <f t="shared" si="1"/>
        <v/>
      </c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80"/>
      <c r="P447" s="72"/>
      <c r="Q447" s="80"/>
      <c r="R447" s="63" t="str">
        <f t="shared" si="4"/>
        <v/>
      </c>
      <c r="S447" s="85" t="str">
        <f t="shared" si="2"/>
        <v/>
      </c>
      <c r="T447" s="76"/>
      <c r="U447" s="76"/>
      <c r="V447" s="76"/>
      <c r="W447" s="76"/>
      <c r="X447" s="75"/>
      <c r="Y447" s="68"/>
      <c r="Z447" s="68"/>
      <c r="AA447" s="76"/>
      <c r="AB447" s="76"/>
      <c r="AC447" s="69" t="str">
        <f t="shared" si="5"/>
        <v/>
      </c>
      <c r="AD447" s="69" t="str">
        <f t="shared" si="6"/>
        <v/>
      </c>
      <c r="AE447" s="70" t="str">
        <f t="shared" si="7"/>
        <v/>
      </c>
      <c r="AF447" s="71" t="str">
        <f t="shared" si="8"/>
        <v/>
      </c>
      <c r="AG447" s="69" t="str">
        <f t="shared" si="9"/>
        <v/>
      </c>
      <c r="AH447" s="69" t="str">
        <f t="shared" si="10"/>
        <v/>
      </c>
      <c r="AI447" s="69" t="str">
        <f t="shared" si="3"/>
        <v/>
      </c>
    </row>
    <row r="448">
      <c r="A448" s="56" t="str">
        <f t="shared" si="1"/>
        <v/>
      </c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80"/>
      <c r="P448" s="72"/>
      <c r="Q448" s="80"/>
      <c r="R448" s="63" t="str">
        <f t="shared" si="4"/>
        <v/>
      </c>
      <c r="S448" s="85" t="str">
        <f t="shared" si="2"/>
        <v/>
      </c>
      <c r="T448" s="76"/>
      <c r="U448" s="76"/>
      <c r="V448" s="76"/>
      <c r="W448" s="76"/>
      <c r="X448" s="75"/>
      <c r="Y448" s="68"/>
      <c r="Z448" s="68"/>
      <c r="AA448" s="76"/>
      <c r="AB448" s="76"/>
      <c r="AC448" s="69" t="str">
        <f t="shared" si="5"/>
        <v/>
      </c>
      <c r="AD448" s="69" t="str">
        <f t="shared" si="6"/>
        <v/>
      </c>
      <c r="AE448" s="70" t="str">
        <f t="shared" si="7"/>
        <v/>
      </c>
      <c r="AF448" s="71" t="str">
        <f t="shared" si="8"/>
        <v/>
      </c>
      <c r="AG448" s="69" t="str">
        <f t="shared" si="9"/>
        <v/>
      </c>
      <c r="AH448" s="69" t="str">
        <f t="shared" si="10"/>
        <v/>
      </c>
      <c r="AI448" s="69" t="str">
        <f t="shared" si="3"/>
        <v/>
      </c>
    </row>
    <row r="449">
      <c r="A449" s="56" t="str">
        <f t="shared" si="1"/>
        <v/>
      </c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80"/>
      <c r="P449" s="72"/>
      <c r="Q449" s="80"/>
      <c r="R449" s="63" t="str">
        <f t="shared" si="4"/>
        <v/>
      </c>
      <c r="S449" s="85" t="str">
        <f t="shared" si="2"/>
        <v/>
      </c>
      <c r="T449" s="76"/>
      <c r="U449" s="76"/>
      <c r="V449" s="76"/>
      <c r="W449" s="76"/>
      <c r="X449" s="75"/>
      <c r="Y449" s="68"/>
      <c r="Z449" s="68"/>
      <c r="AA449" s="76"/>
      <c r="AB449" s="76"/>
      <c r="AC449" s="69" t="str">
        <f t="shared" si="5"/>
        <v/>
      </c>
      <c r="AD449" s="69" t="str">
        <f t="shared" si="6"/>
        <v/>
      </c>
      <c r="AE449" s="70" t="str">
        <f t="shared" si="7"/>
        <v/>
      </c>
      <c r="AF449" s="71" t="str">
        <f t="shared" si="8"/>
        <v/>
      </c>
      <c r="AG449" s="69" t="str">
        <f t="shared" si="9"/>
        <v/>
      </c>
      <c r="AH449" s="69" t="str">
        <f t="shared" si="10"/>
        <v/>
      </c>
      <c r="AI449" s="69" t="str">
        <f t="shared" si="3"/>
        <v/>
      </c>
    </row>
    <row r="450">
      <c r="A450" s="56" t="str">
        <f t="shared" si="1"/>
        <v/>
      </c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80"/>
      <c r="P450" s="72"/>
      <c r="Q450" s="80"/>
      <c r="R450" s="63" t="str">
        <f t="shared" si="4"/>
        <v/>
      </c>
      <c r="S450" s="85" t="str">
        <f t="shared" si="2"/>
        <v/>
      </c>
      <c r="T450" s="76"/>
      <c r="U450" s="76"/>
      <c r="V450" s="76"/>
      <c r="W450" s="76"/>
      <c r="X450" s="75"/>
      <c r="Y450" s="68"/>
      <c r="Z450" s="68"/>
      <c r="AA450" s="76"/>
      <c r="AB450" s="76"/>
      <c r="AC450" s="69" t="str">
        <f t="shared" si="5"/>
        <v/>
      </c>
      <c r="AD450" s="69" t="str">
        <f t="shared" si="6"/>
        <v/>
      </c>
      <c r="AE450" s="70" t="str">
        <f t="shared" si="7"/>
        <v/>
      </c>
      <c r="AF450" s="71" t="str">
        <f t="shared" si="8"/>
        <v/>
      </c>
      <c r="AG450" s="69" t="str">
        <f t="shared" si="9"/>
        <v/>
      </c>
      <c r="AH450" s="69" t="str">
        <f t="shared" si="10"/>
        <v/>
      </c>
      <c r="AI450" s="69" t="str">
        <f t="shared" si="3"/>
        <v/>
      </c>
    </row>
    <row r="451">
      <c r="A451" s="56" t="str">
        <f t="shared" si="1"/>
        <v/>
      </c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80"/>
      <c r="P451" s="72"/>
      <c r="Q451" s="80"/>
      <c r="R451" s="63" t="str">
        <f t="shared" si="4"/>
        <v/>
      </c>
      <c r="S451" s="85" t="str">
        <f t="shared" si="2"/>
        <v/>
      </c>
      <c r="T451" s="76"/>
      <c r="U451" s="76"/>
      <c r="V451" s="76"/>
      <c r="W451" s="76"/>
      <c r="X451" s="75"/>
      <c r="Y451" s="68"/>
      <c r="Z451" s="68"/>
      <c r="AA451" s="76"/>
      <c r="AB451" s="76"/>
      <c r="AC451" s="69" t="str">
        <f t="shared" si="5"/>
        <v/>
      </c>
      <c r="AD451" s="69" t="str">
        <f t="shared" si="6"/>
        <v/>
      </c>
      <c r="AE451" s="70" t="str">
        <f t="shared" si="7"/>
        <v/>
      </c>
      <c r="AF451" s="71" t="str">
        <f t="shared" si="8"/>
        <v/>
      </c>
      <c r="AG451" s="69" t="str">
        <f t="shared" si="9"/>
        <v/>
      </c>
      <c r="AH451" s="69" t="str">
        <f t="shared" si="10"/>
        <v/>
      </c>
      <c r="AI451" s="69" t="str">
        <f t="shared" si="3"/>
        <v/>
      </c>
    </row>
    <row r="452">
      <c r="A452" s="56" t="str">
        <f t="shared" si="1"/>
        <v/>
      </c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80"/>
      <c r="P452" s="72"/>
      <c r="Q452" s="80"/>
      <c r="R452" s="63" t="str">
        <f t="shared" si="4"/>
        <v/>
      </c>
      <c r="S452" s="85" t="str">
        <f t="shared" si="2"/>
        <v/>
      </c>
      <c r="T452" s="76"/>
      <c r="U452" s="76"/>
      <c r="V452" s="76"/>
      <c r="W452" s="76"/>
      <c r="X452" s="75"/>
      <c r="Y452" s="68"/>
      <c r="Z452" s="68"/>
      <c r="AA452" s="76"/>
      <c r="AB452" s="76"/>
      <c r="AC452" s="69" t="str">
        <f t="shared" si="5"/>
        <v/>
      </c>
      <c r="AD452" s="69" t="str">
        <f t="shared" si="6"/>
        <v/>
      </c>
      <c r="AE452" s="70" t="str">
        <f t="shared" si="7"/>
        <v/>
      </c>
      <c r="AF452" s="71" t="str">
        <f t="shared" si="8"/>
        <v/>
      </c>
      <c r="AG452" s="69" t="str">
        <f t="shared" si="9"/>
        <v/>
      </c>
      <c r="AH452" s="69" t="str">
        <f t="shared" si="10"/>
        <v/>
      </c>
      <c r="AI452" s="69" t="str">
        <f t="shared" si="3"/>
        <v/>
      </c>
    </row>
    <row r="453">
      <c r="A453" s="56" t="str">
        <f t="shared" si="1"/>
        <v/>
      </c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80"/>
      <c r="P453" s="72"/>
      <c r="Q453" s="80"/>
      <c r="R453" s="63" t="str">
        <f t="shared" si="4"/>
        <v/>
      </c>
      <c r="S453" s="85" t="str">
        <f t="shared" si="2"/>
        <v/>
      </c>
      <c r="T453" s="76"/>
      <c r="U453" s="76"/>
      <c r="V453" s="76"/>
      <c r="W453" s="76"/>
      <c r="X453" s="75"/>
      <c r="Y453" s="68"/>
      <c r="Z453" s="68"/>
      <c r="AA453" s="76"/>
      <c r="AB453" s="76"/>
      <c r="AC453" s="69" t="str">
        <f t="shared" si="5"/>
        <v/>
      </c>
      <c r="AD453" s="69" t="str">
        <f t="shared" si="6"/>
        <v/>
      </c>
      <c r="AE453" s="70" t="str">
        <f t="shared" si="7"/>
        <v/>
      </c>
      <c r="AF453" s="71" t="str">
        <f t="shared" si="8"/>
        <v/>
      </c>
      <c r="AG453" s="69" t="str">
        <f t="shared" si="9"/>
        <v/>
      </c>
      <c r="AH453" s="69" t="str">
        <f t="shared" si="10"/>
        <v/>
      </c>
      <c r="AI453" s="69" t="str">
        <f t="shared" si="3"/>
        <v/>
      </c>
    </row>
    <row r="454">
      <c r="A454" s="56" t="str">
        <f t="shared" si="1"/>
        <v/>
      </c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80"/>
      <c r="P454" s="72"/>
      <c r="Q454" s="80"/>
      <c r="R454" s="63" t="str">
        <f t="shared" si="4"/>
        <v/>
      </c>
      <c r="S454" s="85" t="str">
        <f t="shared" si="2"/>
        <v/>
      </c>
      <c r="T454" s="76"/>
      <c r="U454" s="76"/>
      <c r="V454" s="76"/>
      <c r="W454" s="76"/>
      <c r="X454" s="75"/>
      <c r="Y454" s="68"/>
      <c r="Z454" s="68"/>
      <c r="AA454" s="76"/>
      <c r="AB454" s="76"/>
      <c r="AC454" s="69" t="str">
        <f t="shared" si="5"/>
        <v/>
      </c>
      <c r="AD454" s="69" t="str">
        <f t="shared" si="6"/>
        <v/>
      </c>
      <c r="AE454" s="70" t="str">
        <f t="shared" si="7"/>
        <v/>
      </c>
      <c r="AF454" s="71" t="str">
        <f t="shared" si="8"/>
        <v/>
      </c>
      <c r="AG454" s="69" t="str">
        <f t="shared" si="9"/>
        <v/>
      </c>
      <c r="AH454" s="69" t="str">
        <f t="shared" si="10"/>
        <v/>
      </c>
      <c r="AI454" s="69" t="str">
        <f t="shared" si="3"/>
        <v/>
      </c>
    </row>
    <row r="455">
      <c r="A455" s="56" t="str">
        <f t="shared" si="1"/>
        <v/>
      </c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80"/>
      <c r="P455" s="72"/>
      <c r="Q455" s="80"/>
      <c r="R455" s="63" t="str">
        <f t="shared" si="4"/>
        <v/>
      </c>
      <c r="S455" s="85" t="str">
        <f t="shared" si="2"/>
        <v/>
      </c>
      <c r="T455" s="76"/>
      <c r="U455" s="76"/>
      <c r="V455" s="76"/>
      <c r="W455" s="76"/>
      <c r="X455" s="75"/>
      <c r="Y455" s="68"/>
      <c r="Z455" s="68"/>
      <c r="AA455" s="76"/>
      <c r="AB455" s="76"/>
      <c r="AC455" s="69" t="str">
        <f t="shared" si="5"/>
        <v/>
      </c>
      <c r="AD455" s="69" t="str">
        <f t="shared" si="6"/>
        <v/>
      </c>
      <c r="AE455" s="70" t="str">
        <f t="shared" si="7"/>
        <v/>
      </c>
      <c r="AF455" s="71" t="str">
        <f t="shared" si="8"/>
        <v/>
      </c>
      <c r="AG455" s="69" t="str">
        <f t="shared" si="9"/>
        <v/>
      </c>
      <c r="AH455" s="69" t="str">
        <f t="shared" si="10"/>
        <v/>
      </c>
      <c r="AI455" s="69" t="str">
        <f t="shared" si="3"/>
        <v/>
      </c>
    </row>
    <row r="456">
      <c r="A456" s="56" t="str">
        <f t="shared" si="1"/>
        <v/>
      </c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80"/>
      <c r="P456" s="72"/>
      <c r="Q456" s="80"/>
      <c r="R456" s="63" t="str">
        <f t="shared" si="4"/>
        <v/>
      </c>
      <c r="S456" s="85" t="str">
        <f t="shared" si="2"/>
        <v/>
      </c>
      <c r="T456" s="76"/>
      <c r="U456" s="76"/>
      <c r="V456" s="76"/>
      <c r="W456" s="76"/>
      <c r="X456" s="75"/>
      <c r="Y456" s="68"/>
      <c r="Z456" s="68"/>
      <c r="AA456" s="76"/>
      <c r="AB456" s="76"/>
      <c r="AC456" s="69" t="str">
        <f t="shared" si="5"/>
        <v/>
      </c>
      <c r="AD456" s="69" t="str">
        <f t="shared" si="6"/>
        <v/>
      </c>
      <c r="AE456" s="70" t="str">
        <f t="shared" si="7"/>
        <v/>
      </c>
      <c r="AF456" s="71" t="str">
        <f t="shared" si="8"/>
        <v/>
      </c>
      <c r="AG456" s="69" t="str">
        <f t="shared" si="9"/>
        <v/>
      </c>
      <c r="AH456" s="69" t="str">
        <f t="shared" si="10"/>
        <v/>
      </c>
      <c r="AI456" s="69" t="str">
        <f t="shared" si="3"/>
        <v/>
      </c>
    </row>
    <row r="457">
      <c r="A457" s="56" t="str">
        <f t="shared" si="1"/>
        <v/>
      </c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80"/>
      <c r="P457" s="72"/>
      <c r="Q457" s="80"/>
      <c r="R457" s="63" t="str">
        <f t="shared" si="4"/>
        <v/>
      </c>
      <c r="S457" s="85" t="str">
        <f t="shared" si="2"/>
        <v/>
      </c>
      <c r="T457" s="76"/>
      <c r="U457" s="76"/>
      <c r="V457" s="76"/>
      <c r="W457" s="76"/>
      <c r="X457" s="75"/>
      <c r="Y457" s="68"/>
      <c r="Z457" s="68"/>
      <c r="AA457" s="76"/>
      <c r="AB457" s="76"/>
      <c r="AC457" s="69" t="str">
        <f t="shared" si="5"/>
        <v/>
      </c>
      <c r="AD457" s="69" t="str">
        <f t="shared" si="6"/>
        <v/>
      </c>
      <c r="AE457" s="70" t="str">
        <f t="shared" si="7"/>
        <v/>
      </c>
      <c r="AF457" s="71" t="str">
        <f t="shared" si="8"/>
        <v/>
      </c>
      <c r="AG457" s="69" t="str">
        <f t="shared" si="9"/>
        <v/>
      </c>
      <c r="AH457" s="69" t="str">
        <f t="shared" si="10"/>
        <v/>
      </c>
      <c r="AI457" s="69" t="str">
        <f t="shared" si="3"/>
        <v/>
      </c>
    </row>
    <row r="458">
      <c r="A458" s="56" t="str">
        <f t="shared" si="1"/>
        <v/>
      </c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80"/>
      <c r="P458" s="72"/>
      <c r="Q458" s="80"/>
      <c r="R458" s="63" t="str">
        <f t="shared" si="4"/>
        <v/>
      </c>
      <c r="S458" s="85" t="str">
        <f t="shared" si="2"/>
        <v/>
      </c>
      <c r="T458" s="76"/>
      <c r="U458" s="76"/>
      <c r="V458" s="76"/>
      <c r="W458" s="76"/>
      <c r="X458" s="75"/>
      <c r="Y458" s="68"/>
      <c r="Z458" s="68"/>
      <c r="AA458" s="76"/>
      <c r="AB458" s="76"/>
      <c r="AC458" s="69" t="str">
        <f t="shared" si="5"/>
        <v/>
      </c>
      <c r="AD458" s="69" t="str">
        <f t="shared" si="6"/>
        <v/>
      </c>
      <c r="AE458" s="70" t="str">
        <f t="shared" si="7"/>
        <v/>
      </c>
      <c r="AF458" s="71" t="str">
        <f t="shared" si="8"/>
        <v/>
      </c>
      <c r="AG458" s="69" t="str">
        <f t="shared" si="9"/>
        <v/>
      </c>
      <c r="AH458" s="69" t="str">
        <f t="shared" si="10"/>
        <v/>
      </c>
      <c r="AI458" s="69" t="str">
        <f t="shared" si="3"/>
        <v/>
      </c>
    </row>
    <row r="459">
      <c r="A459" s="56" t="str">
        <f t="shared" si="1"/>
        <v/>
      </c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80"/>
      <c r="P459" s="72"/>
      <c r="Q459" s="80"/>
      <c r="R459" s="63" t="str">
        <f t="shared" si="4"/>
        <v/>
      </c>
      <c r="S459" s="85" t="str">
        <f t="shared" si="2"/>
        <v/>
      </c>
      <c r="T459" s="76"/>
      <c r="U459" s="76"/>
      <c r="V459" s="76"/>
      <c r="W459" s="76"/>
      <c r="X459" s="75"/>
      <c r="Y459" s="68"/>
      <c r="Z459" s="68"/>
      <c r="AA459" s="76"/>
      <c r="AB459" s="76"/>
      <c r="AC459" s="69" t="str">
        <f t="shared" si="5"/>
        <v/>
      </c>
      <c r="AD459" s="69" t="str">
        <f t="shared" si="6"/>
        <v/>
      </c>
      <c r="AE459" s="70" t="str">
        <f t="shared" si="7"/>
        <v/>
      </c>
      <c r="AF459" s="71" t="str">
        <f t="shared" si="8"/>
        <v/>
      </c>
      <c r="AG459" s="69" t="str">
        <f t="shared" si="9"/>
        <v/>
      </c>
      <c r="AH459" s="69" t="str">
        <f t="shared" si="10"/>
        <v/>
      </c>
      <c r="AI459" s="69" t="str">
        <f t="shared" si="3"/>
        <v/>
      </c>
    </row>
    <row r="460">
      <c r="A460" s="56" t="str">
        <f t="shared" si="1"/>
        <v/>
      </c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80"/>
      <c r="P460" s="72"/>
      <c r="Q460" s="80"/>
      <c r="R460" s="63" t="str">
        <f t="shared" si="4"/>
        <v/>
      </c>
      <c r="S460" s="85" t="str">
        <f t="shared" si="2"/>
        <v/>
      </c>
      <c r="T460" s="76"/>
      <c r="U460" s="76"/>
      <c r="V460" s="76"/>
      <c r="W460" s="76"/>
      <c r="X460" s="75"/>
      <c r="Y460" s="68"/>
      <c r="Z460" s="68"/>
      <c r="AA460" s="76"/>
      <c r="AB460" s="76"/>
      <c r="AC460" s="69" t="str">
        <f t="shared" si="5"/>
        <v/>
      </c>
      <c r="AD460" s="69" t="str">
        <f t="shared" si="6"/>
        <v/>
      </c>
      <c r="AE460" s="70" t="str">
        <f t="shared" si="7"/>
        <v/>
      </c>
      <c r="AF460" s="71" t="str">
        <f t="shared" si="8"/>
        <v/>
      </c>
      <c r="AG460" s="69" t="str">
        <f t="shared" si="9"/>
        <v/>
      </c>
      <c r="AH460" s="69" t="str">
        <f t="shared" si="10"/>
        <v/>
      </c>
      <c r="AI460" s="69" t="str">
        <f t="shared" si="3"/>
        <v/>
      </c>
    </row>
    <row r="461">
      <c r="A461" s="56" t="str">
        <f t="shared" si="1"/>
        <v/>
      </c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80"/>
      <c r="P461" s="72"/>
      <c r="Q461" s="80"/>
      <c r="R461" s="63" t="str">
        <f t="shared" si="4"/>
        <v/>
      </c>
      <c r="S461" s="85" t="str">
        <f t="shared" si="2"/>
        <v/>
      </c>
      <c r="T461" s="76"/>
      <c r="U461" s="76"/>
      <c r="V461" s="76"/>
      <c r="W461" s="76"/>
      <c r="X461" s="75"/>
      <c r="Y461" s="68"/>
      <c r="Z461" s="68"/>
      <c r="AA461" s="76"/>
      <c r="AB461" s="76"/>
      <c r="AC461" s="69" t="str">
        <f t="shared" si="5"/>
        <v/>
      </c>
      <c r="AD461" s="69" t="str">
        <f t="shared" si="6"/>
        <v/>
      </c>
      <c r="AE461" s="70" t="str">
        <f t="shared" si="7"/>
        <v/>
      </c>
      <c r="AF461" s="71" t="str">
        <f t="shared" si="8"/>
        <v/>
      </c>
      <c r="AG461" s="69" t="str">
        <f t="shared" si="9"/>
        <v/>
      </c>
      <c r="AH461" s="69" t="str">
        <f t="shared" si="10"/>
        <v/>
      </c>
      <c r="AI461" s="69" t="str">
        <f t="shared" si="3"/>
        <v/>
      </c>
    </row>
    <row r="462">
      <c r="A462" s="56" t="str">
        <f t="shared" si="1"/>
        <v/>
      </c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80"/>
      <c r="P462" s="72"/>
      <c r="Q462" s="80"/>
      <c r="R462" s="63" t="str">
        <f t="shared" si="4"/>
        <v/>
      </c>
      <c r="S462" s="85" t="str">
        <f t="shared" si="2"/>
        <v/>
      </c>
      <c r="T462" s="76"/>
      <c r="U462" s="76"/>
      <c r="V462" s="76"/>
      <c r="W462" s="76"/>
      <c r="X462" s="75"/>
      <c r="Y462" s="68"/>
      <c r="Z462" s="68"/>
      <c r="AA462" s="76"/>
      <c r="AB462" s="76"/>
      <c r="AC462" s="69" t="str">
        <f t="shared" si="5"/>
        <v/>
      </c>
      <c r="AD462" s="69" t="str">
        <f t="shared" si="6"/>
        <v/>
      </c>
      <c r="AE462" s="70" t="str">
        <f t="shared" si="7"/>
        <v/>
      </c>
      <c r="AF462" s="71" t="str">
        <f t="shared" si="8"/>
        <v/>
      </c>
      <c r="AG462" s="69" t="str">
        <f t="shared" si="9"/>
        <v/>
      </c>
      <c r="AH462" s="69" t="str">
        <f t="shared" si="10"/>
        <v/>
      </c>
      <c r="AI462" s="69" t="str">
        <f t="shared" si="3"/>
        <v/>
      </c>
    </row>
    <row r="463">
      <c r="A463" s="56" t="str">
        <f t="shared" si="1"/>
        <v/>
      </c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80"/>
      <c r="P463" s="72"/>
      <c r="Q463" s="80"/>
      <c r="R463" s="63" t="str">
        <f t="shared" si="4"/>
        <v/>
      </c>
      <c r="S463" s="85" t="str">
        <f t="shared" si="2"/>
        <v/>
      </c>
      <c r="T463" s="76"/>
      <c r="U463" s="76"/>
      <c r="V463" s="76"/>
      <c r="W463" s="76"/>
      <c r="X463" s="75"/>
      <c r="Y463" s="68"/>
      <c r="Z463" s="68"/>
      <c r="AA463" s="76"/>
      <c r="AB463" s="76"/>
      <c r="AC463" s="69" t="str">
        <f t="shared" si="5"/>
        <v/>
      </c>
      <c r="AD463" s="69" t="str">
        <f t="shared" si="6"/>
        <v/>
      </c>
      <c r="AE463" s="70" t="str">
        <f t="shared" si="7"/>
        <v/>
      </c>
      <c r="AF463" s="71" t="str">
        <f t="shared" si="8"/>
        <v/>
      </c>
      <c r="AG463" s="69" t="str">
        <f t="shared" si="9"/>
        <v/>
      </c>
      <c r="AH463" s="69" t="str">
        <f t="shared" si="10"/>
        <v/>
      </c>
      <c r="AI463" s="69" t="str">
        <f t="shared" si="3"/>
        <v/>
      </c>
    </row>
    <row r="464">
      <c r="A464" s="56" t="str">
        <f t="shared" si="1"/>
        <v/>
      </c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80"/>
      <c r="P464" s="72"/>
      <c r="Q464" s="80"/>
      <c r="R464" s="63" t="str">
        <f t="shared" si="4"/>
        <v/>
      </c>
      <c r="S464" s="85" t="str">
        <f t="shared" si="2"/>
        <v/>
      </c>
      <c r="T464" s="76"/>
      <c r="U464" s="76"/>
      <c r="V464" s="76"/>
      <c r="W464" s="76"/>
      <c r="X464" s="75"/>
      <c r="Y464" s="68"/>
      <c r="Z464" s="68"/>
      <c r="AA464" s="76"/>
      <c r="AB464" s="76"/>
      <c r="AC464" s="69" t="str">
        <f t="shared" si="5"/>
        <v/>
      </c>
      <c r="AD464" s="69" t="str">
        <f t="shared" si="6"/>
        <v/>
      </c>
      <c r="AE464" s="70" t="str">
        <f t="shared" si="7"/>
        <v/>
      </c>
      <c r="AF464" s="71" t="str">
        <f t="shared" si="8"/>
        <v/>
      </c>
      <c r="AG464" s="69" t="str">
        <f t="shared" si="9"/>
        <v/>
      </c>
      <c r="AH464" s="69" t="str">
        <f t="shared" si="10"/>
        <v/>
      </c>
      <c r="AI464" s="69" t="str">
        <f t="shared" si="3"/>
        <v/>
      </c>
    </row>
    <row r="465">
      <c r="A465" s="56" t="str">
        <f t="shared" si="1"/>
        <v/>
      </c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80"/>
      <c r="P465" s="72"/>
      <c r="Q465" s="80"/>
      <c r="R465" s="63" t="str">
        <f t="shared" si="4"/>
        <v/>
      </c>
      <c r="S465" s="85" t="str">
        <f t="shared" si="2"/>
        <v/>
      </c>
      <c r="T465" s="76"/>
      <c r="U465" s="76"/>
      <c r="V465" s="76"/>
      <c r="W465" s="76"/>
      <c r="X465" s="75"/>
      <c r="Y465" s="68"/>
      <c r="Z465" s="68"/>
      <c r="AA465" s="76"/>
      <c r="AB465" s="76"/>
      <c r="AC465" s="69" t="str">
        <f t="shared" si="5"/>
        <v/>
      </c>
      <c r="AD465" s="69" t="str">
        <f t="shared" si="6"/>
        <v/>
      </c>
      <c r="AE465" s="70" t="str">
        <f t="shared" si="7"/>
        <v/>
      </c>
      <c r="AF465" s="71" t="str">
        <f t="shared" si="8"/>
        <v/>
      </c>
      <c r="AG465" s="69" t="str">
        <f t="shared" si="9"/>
        <v/>
      </c>
      <c r="AH465" s="69" t="str">
        <f t="shared" si="10"/>
        <v/>
      </c>
      <c r="AI465" s="69" t="str">
        <f t="shared" si="3"/>
        <v/>
      </c>
    </row>
    <row r="466">
      <c r="A466" s="56" t="str">
        <f t="shared" si="1"/>
        <v/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80"/>
      <c r="P466" s="72"/>
      <c r="Q466" s="80"/>
      <c r="R466" s="63" t="str">
        <f t="shared" si="4"/>
        <v/>
      </c>
      <c r="S466" s="85" t="str">
        <f t="shared" si="2"/>
        <v/>
      </c>
      <c r="T466" s="76"/>
      <c r="U466" s="76"/>
      <c r="V466" s="76"/>
      <c r="W466" s="76"/>
      <c r="X466" s="75"/>
      <c r="Y466" s="68"/>
      <c r="Z466" s="68"/>
      <c r="AA466" s="76"/>
      <c r="AB466" s="76"/>
      <c r="AC466" s="69" t="str">
        <f t="shared" si="5"/>
        <v/>
      </c>
      <c r="AD466" s="69" t="str">
        <f t="shared" si="6"/>
        <v/>
      </c>
      <c r="AE466" s="70" t="str">
        <f t="shared" si="7"/>
        <v/>
      </c>
      <c r="AF466" s="71" t="str">
        <f t="shared" si="8"/>
        <v/>
      </c>
      <c r="AG466" s="69" t="str">
        <f t="shared" si="9"/>
        <v/>
      </c>
      <c r="AH466" s="69" t="str">
        <f t="shared" si="10"/>
        <v/>
      </c>
      <c r="AI466" s="69" t="str">
        <f t="shared" si="3"/>
        <v/>
      </c>
    </row>
    <row r="467">
      <c r="A467" s="56" t="str">
        <f t="shared" si="1"/>
        <v/>
      </c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80"/>
      <c r="P467" s="72"/>
      <c r="Q467" s="80"/>
      <c r="R467" s="63" t="str">
        <f t="shared" si="4"/>
        <v/>
      </c>
      <c r="S467" s="85" t="str">
        <f t="shared" si="2"/>
        <v/>
      </c>
      <c r="T467" s="76"/>
      <c r="U467" s="76"/>
      <c r="V467" s="76"/>
      <c r="W467" s="76"/>
      <c r="X467" s="75"/>
      <c r="Y467" s="68"/>
      <c r="Z467" s="68"/>
      <c r="AA467" s="76"/>
      <c r="AB467" s="76"/>
      <c r="AC467" s="69" t="str">
        <f t="shared" si="5"/>
        <v/>
      </c>
      <c r="AD467" s="69" t="str">
        <f t="shared" si="6"/>
        <v/>
      </c>
      <c r="AE467" s="70" t="str">
        <f t="shared" si="7"/>
        <v/>
      </c>
      <c r="AF467" s="71" t="str">
        <f t="shared" si="8"/>
        <v/>
      </c>
      <c r="AG467" s="69" t="str">
        <f t="shared" si="9"/>
        <v/>
      </c>
      <c r="AH467" s="69" t="str">
        <f t="shared" si="10"/>
        <v/>
      </c>
      <c r="AI467" s="69" t="str">
        <f t="shared" si="3"/>
        <v/>
      </c>
    </row>
    <row r="468">
      <c r="A468" s="56" t="str">
        <f t="shared" si="1"/>
        <v/>
      </c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80"/>
      <c r="P468" s="72"/>
      <c r="Q468" s="80"/>
      <c r="R468" s="63" t="str">
        <f t="shared" si="4"/>
        <v/>
      </c>
      <c r="S468" s="85" t="str">
        <f t="shared" si="2"/>
        <v/>
      </c>
      <c r="T468" s="76"/>
      <c r="U468" s="76"/>
      <c r="V468" s="76"/>
      <c r="W468" s="76"/>
      <c r="X468" s="75"/>
      <c r="Y468" s="68"/>
      <c r="Z468" s="68"/>
      <c r="AA468" s="76"/>
      <c r="AB468" s="76"/>
      <c r="AC468" s="69" t="str">
        <f t="shared" si="5"/>
        <v/>
      </c>
      <c r="AD468" s="69" t="str">
        <f t="shared" si="6"/>
        <v/>
      </c>
      <c r="AE468" s="70" t="str">
        <f t="shared" si="7"/>
        <v/>
      </c>
      <c r="AF468" s="71" t="str">
        <f t="shared" si="8"/>
        <v/>
      </c>
      <c r="AG468" s="69" t="str">
        <f t="shared" si="9"/>
        <v/>
      </c>
      <c r="AH468" s="69" t="str">
        <f t="shared" si="10"/>
        <v/>
      </c>
      <c r="AI468" s="69" t="str">
        <f t="shared" si="3"/>
        <v/>
      </c>
    </row>
    <row r="469">
      <c r="A469" s="56" t="str">
        <f t="shared" si="1"/>
        <v/>
      </c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80"/>
      <c r="P469" s="72"/>
      <c r="Q469" s="80"/>
      <c r="R469" s="63" t="str">
        <f t="shared" si="4"/>
        <v/>
      </c>
      <c r="S469" s="85" t="str">
        <f t="shared" si="2"/>
        <v/>
      </c>
      <c r="T469" s="76"/>
      <c r="U469" s="76"/>
      <c r="V469" s="76"/>
      <c r="W469" s="76"/>
      <c r="X469" s="75"/>
      <c r="Y469" s="68"/>
      <c r="Z469" s="68"/>
      <c r="AA469" s="76"/>
      <c r="AB469" s="76"/>
      <c r="AC469" s="69" t="str">
        <f t="shared" si="5"/>
        <v/>
      </c>
      <c r="AD469" s="69" t="str">
        <f t="shared" si="6"/>
        <v/>
      </c>
      <c r="AE469" s="70" t="str">
        <f t="shared" si="7"/>
        <v/>
      </c>
      <c r="AF469" s="71" t="str">
        <f t="shared" si="8"/>
        <v/>
      </c>
      <c r="AG469" s="69" t="str">
        <f t="shared" si="9"/>
        <v/>
      </c>
      <c r="AH469" s="69" t="str">
        <f t="shared" si="10"/>
        <v/>
      </c>
      <c r="AI469" s="69" t="str">
        <f t="shared" si="3"/>
        <v/>
      </c>
    </row>
    <row r="470">
      <c r="A470" s="56" t="str">
        <f t="shared" si="1"/>
        <v/>
      </c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80"/>
      <c r="P470" s="72"/>
      <c r="Q470" s="80"/>
      <c r="R470" s="63" t="str">
        <f t="shared" si="4"/>
        <v/>
      </c>
      <c r="S470" s="85" t="str">
        <f t="shared" si="2"/>
        <v/>
      </c>
      <c r="T470" s="76"/>
      <c r="U470" s="76"/>
      <c r="V470" s="76"/>
      <c r="W470" s="76"/>
      <c r="X470" s="75"/>
      <c r="Y470" s="68"/>
      <c r="Z470" s="68"/>
      <c r="AA470" s="76"/>
      <c r="AB470" s="76"/>
      <c r="AC470" s="69" t="str">
        <f t="shared" si="5"/>
        <v/>
      </c>
      <c r="AD470" s="69" t="str">
        <f t="shared" si="6"/>
        <v/>
      </c>
      <c r="AE470" s="70" t="str">
        <f t="shared" si="7"/>
        <v/>
      </c>
      <c r="AF470" s="71" t="str">
        <f t="shared" si="8"/>
        <v/>
      </c>
      <c r="AG470" s="69" t="str">
        <f t="shared" si="9"/>
        <v/>
      </c>
      <c r="AH470" s="69" t="str">
        <f t="shared" si="10"/>
        <v/>
      </c>
      <c r="AI470" s="69" t="str">
        <f t="shared" si="3"/>
        <v/>
      </c>
    </row>
    <row r="471">
      <c r="A471" s="56" t="str">
        <f t="shared" si="1"/>
        <v/>
      </c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80"/>
      <c r="P471" s="72"/>
      <c r="Q471" s="80"/>
      <c r="R471" s="63" t="str">
        <f t="shared" si="4"/>
        <v/>
      </c>
      <c r="S471" s="85" t="str">
        <f t="shared" si="2"/>
        <v/>
      </c>
      <c r="T471" s="76"/>
      <c r="U471" s="76"/>
      <c r="V471" s="76"/>
      <c r="W471" s="76"/>
      <c r="X471" s="75"/>
      <c r="Y471" s="68"/>
      <c r="Z471" s="68"/>
      <c r="AA471" s="76"/>
      <c r="AB471" s="76"/>
      <c r="AC471" s="69" t="str">
        <f t="shared" si="5"/>
        <v/>
      </c>
      <c r="AD471" s="69" t="str">
        <f t="shared" si="6"/>
        <v/>
      </c>
      <c r="AE471" s="70" t="str">
        <f t="shared" si="7"/>
        <v/>
      </c>
      <c r="AF471" s="71" t="str">
        <f t="shared" si="8"/>
        <v/>
      </c>
      <c r="AG471" s="69" t="str">
        <f t="shared" si="9"/>
        <v/>
      </c>
      <c r="AH471" s="69" t="str">
        <f t="shared" si="10"/>
        <v/>
      </c>
      <c r="AI471" s="69" t="str">
        <f t="shared" si="3"/>
        <v/>
      </c>
    </row>
    <row r="472">
      <c r="A472" s="56" t="str">
        <f t="shared" si="1"/>
        <v/>
      </c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80"/>
      <c r="P472" s="72"/>
      <c r="Q472" s="80"/>
      <c r="R472" s="63" t="str">
        <f t="shared" si="4"/>
        <v/>
      </c>
      <c r="S472" s="85" t="str">
        <f t="shared" si="2"/>
        <v/>
      </c>
      <c r="T472" s="76"/>
      <c r="U472" s="76"/>
      <c r="V472" s="76"/>
      <c r="W472" s="76"/>
      <c r="X472" s="75"/>
      <c r="Y472" s="68"/>
      <c r="Z472" s="68"/>
      <c r="AA472" s="76"/>
      <c r="AB472" s="76"/>
      <c r="AC472" s="69" t="str">
        <f t="shared" si="5"/>
        <v/>
      </c>
      <c r="AD472" s="69" t="str">
        <f t="shared" si="6"/>
        <v/>
      </c>
      <c r="AE472" s="70" t="str">
        <f t="shared" si="7"/>
        <v/>
      </c>
      <c r="AF472" s="71" t="str">
        <f t="shared" si="8"/>
        <v/>
      </c>
      <c r="AG472" s="69" t="str">
        <f t="shared" si="9"/>
        <v/>
      </c>
      <c r="AH472" s="69" t="str">
        <f t="shared" si="10"/>
        <v/>
      </c>
      <c r="AI472" s="69" t="str">
        <f t="shared" si="3"/>
        <v/>
      </c>
    </row>
    <row r="473">
      <c r="A473" s="56" t="str">
        <f t="shared" si="1"/>
        <v/>
      </c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80"/>
      <c r="P473" s="72"/>
      <c r="Q473" s="80"/>
      <c r="R473" s="63" t="str">
        <f t="shared" si="4"/>
        <v/>
      </c>
      <c r="S473" s="85" t="str">
        <f t="shared" si="2"/>
        <v/>
      </c>
      <c r="T473" s="76"/>
      <c r="U473" s="76"/>
      <c r="V473" s="76"/>
      <c r="W473" s="76"/>
      <c r="X473" s="75"/>
      <c r="Y473" s="68"/>
      <c r="Z473" s="68"/>
      <c r="AA473" s="76"/>
      <c r="AB473" s="76"/>
      <c r="AC473" s="69" t="str">
        <f t="shared" si="5"/>
        <v/>
      </c>
      <c r="AD473" s="69" t="str">
        <f t="shared" si="6"/>
        <v/>
      </c>
      <c r="AE473" s="70" t="str">
        <f t="shared" si="7"/>
        <v/>
      </c>
      <c r="AF473" s="71" t="str">
        <f t="shared" si="8"/>
        <v/>
      </c>
      <c r="AG473" s="69" t="str">
        <f t="shared" si="9"/>
        <v/>
      </c>
      <c r="AH473" s="69" t="str">
        <f t="shared" si="10"/>
        <v/>
      </c>
      <c r="AI473" s="69" t="str">
        <f t="shared" si="3"/>
        <v/>
      </c>
    </row>
    <row r="474">
      <c r="A474" s="56" t="str">
        <f t="shared" si="1"/>
        <v/>
      </c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80"/>
      <c r="P474" s="72"/>
      <c r="Q474" s="80"/>
      <c r="R474" s="63" t="str">
        <f t="shared" si="4"/>
        <v/>
      </c>
      <c r="S474" s="85" t="str">
        <f t="shared" si="2"/>
        <v/>
      </c>
      <c r="T474" s="76"/>
      <c r="U474" s="76"/>
      <c r="V474" s="76"/>
      <c r="W474" s="76"/>
      <c r="X474" s="75"/>
      <c r="Y474" s="68"/>
      <c r="Z474" s="68"/>
      <c r="AA474" s="76"/>
      <c r="AB474" s="76"/>
      <c r="AC474" s="69" t="str">
        <f t="shared" si="5"/>
        <v/>
      </c>
      <c r="AD474" s="69" t="str">
        <f t="shared" si="6"/>
        <v/>
      </c>
      <c r="AE474" s="70" t="str">
        <f t="shared" si="7"/>
        <v/>
      </c>
      <c r="AF474" s="71" t="str">
        <f t="shared" si="8"/>
        <v/>
      </c>
      <c r="AG474" s="69" t="str">
        <f t="shared" si="9"/>
        <v/>
      </c>
      <c r="AH474" s="69" t="str">
        <f t="shared" si="10"/>
        <v/>
      </c>
      <c r="AI474" s="69" t="str">
        <f t="shared" si="3"/>
        <v/>
      </c>
    </row>
    <row r="475">
      <c r="A475" s="56" t="str">
        <f t="shared" si="1"/>
        <v/>
      </c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80"/>
      <c r="P475" s="72"/>
      <c r="Q475" s="80"/>
      <c r="R475" s="63" t="str">
        <f t="shared" si="4"/>
        <v/>
      </c>
      <c r="S475" s="85" t="str">
        <f t="shared" si="2"/>
        <v/>
      </c>
      <c r="T475" s="76"/>
      <c r="U475" s="76"/>
      <c r="V475" s="76"/>
      <c r="W475" s="76"/>
      <c r="X475" s="75"/>
      <c r="Y475" s="68"/>
      <c r="Z475" s="68"/>
      <c r="AA475" s="76"/>
      <c r="AB475" s="76"/>
      <c r="AC475" s="69" t="str">
        <f t="shared" si="5"/>
        <v/>
      </c>
      <c r="AD475" s="69" t="str">
        <f t="shared" si="6"/>
        <v/>
      </c>
      <c r="AE475" s="70" t="str">
        <f t="shared" si="7"/>
        <v/>
      </c>
      <c r="AF475" s="71" t="str">
        <f t="shared" si="8"/>
        <v/>
      </c>
      <c r="AG475" s="69" t="str">
        <f t="shared" si="9"/>
        <v/>
      </c>
      <c r="AH475" s="69" t="str">
        <f t="shared" si="10"/>
        <v/>
      </c>
      <c r="AI475" s="69" t="str">
        <f t="shared" si="3"/>
        <v/>
      </c>
    </row>
    <row r="476">
      <c r="A476" s="56" t="str">
        <f t="shared" si="1"/>
        <v/>
      </c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80"/>
      <c r="P476" s="72"/>
      <c r="Q476" s="80"/>
      <c r="R476" s="63" t="str">
        <f t="shared" si="4"/>
        <v/>
      </c>
      <c r="S476" s="85" t="str">
        <f t="shared" si="2"/>
        <v/>
      </c>
      <c r="T476" s="76"/>
      <c r="U476" s="76"/>
      <c r="V476" s="76"/>
      <c r="W476" s="76"/>
      <c r="X476" s="75"/>
      <c r="Y476" s="68"/>
      <c r="Z476" s="68"/>
      <c r="AA476" s="76"/>
      <c r="AB476" s="76"/>
      <c r="AC476" s="69" t="str">
        <f t="shared" si="5"/>
        <v/>
      </c>
      <c r="AD476" s="69" t="str">
        <f t="shared" si="6"/>
        <v/>
      </c>
      <c r="AE476" s="70" t="str">
        <f t="shared" si="7"/>
        <v/>
      </c>
      <c r="AF476" s="71" t="str">
        <f t="shared" si="8"/>
        <v/>
      </c>
      <c r="AG476" s="69" t="str">
        <f t="shared" si="9"/>
        <v/>
      </c>
      <c r="AH476" s="69" t="str">
        <f t="shared" si="10"/>
        <v/>
      </c>
      <c r="AI476" s="69" t="str">
        <f t="shared" si="3"/>
        <v/>
      </c>
    </row>
    <row r="477">
      <c r="A477" s="56" t="str">
        <f t="shared" si="1"/>
        <v/>
      </c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80"/>
      <c r="P477" s="72"/>
      <c r="Q477" s="80"/>
      <c r="R477" s="63" t="str">
        <f t="shared" si="4"/>
        <v/>
      </c>
      <c r="S477" s="85" t="str">
        <f t="shared" si="2"/>
        <v/>
      </c>
      <c r="T477" s="76"/>
      <c r="U477" s="76"/>
      <c r="V477" s="76"/>
      <c r="W477" s="76"/>
      <c r="X477" s="75"/>
      <c r="Y477" s="68"/>
      <c r="Z477" s="68"/>
      <c r="AA477" s="76"/>
      <c r="AB477" s="76"/>
      <c r="AC477" s="69" t="str">
        <f t="shared" si="5"/>
        <v/>
      </c>
      <c r="AD477" s="69" t="str">
        <f t="shared" si="6"/>
        <v/>
      </c>
      <c r="AE477" s="70" t="str">
        <f t="shared" si="7"/>
        <v/>
      </c>
      <c r="AF477" s="71" t="str">
        <f t="shared" si="8"/>
        <v/>
      </c>
      <c r="AG477" s="69" t="str">
        <f t="shared" si="9"/>
        <v/>
      </c>
      <c r="AH477" s="69" t="str">
        <f t="shared" si="10"/>
        <v/>
      </c>
      <c r="AI477" s="69" t="str">
        <f t="shared" si="3"/>
        <v/>
      </c>
    </row>
    <row r="478">
      <c r="A478" s="56" t="str">
        <f t="shared" si="1"/>
        <v/>
      </c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80"/>
      <c r="P478" s="72"/>
      <c r="Q478" s="80"/>
      <c r="R478" s="63" t="str">
        <f t="shared" si="4"/>
        <v/>
      </c>
      <c r="S478" s="85" t="str">
        <f t="shared" si="2"/>
        <v/>
      </c>
      <c r="T478" s="76"/>
      <c r="U478" s="76"/>
      <c r="V478" s="76"/>
      <c r="W478" s="76"/>
      <c r="X478" s="75"/>
      <c r="Y478" s="68"/>
      <c r="Z478" s="68"/>
      <c r="AA478" s="76"/>
      <c r="AB478" s="76"/>
      <c r="AC478" s="69" t="str">
        <f t="shared" si="5"/>
        <v/>
      </c>
      <c r="AD478" s="69" t="str">
        <f t="shared" si="6"/>
        <v/>
      </c>
      <c r="AE478" s="70" t="str">
        <f t="shared" si="7"/>
        <v/>
      </c>
      <c r="AF478" s="71" t="str">
        <f t="shared" si="8"/>
        <v/>
      </c>
      <c r="AG478" s="69" t="str">
        <f t="shared" si="9"/>
        <v/>
      </c>
      <c r="AH478" s="69" t="str">
        <f t="shared" si="10"/>
        <v/>
      </c>
      <c r="AI478" s="69" t="str">
        <f t="shared" si="3"/>
        <v/>
      </c>
    </row>
    <row r="479">
      <c r="A479" s="56" t="str">
        <f t="shared" si="1"/>
        <v/>
      </c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80"/>
      <c r="P479" s="72"/>
      <c r="Q479" s="80"/>
      <c r="R479" s="63" t="str">
        <f t="shared" si="4"/>
        <v/>
      </c>
      <c r="S479" s="85" t="str">
        <f t="shared" si="2"/>
        <v/>
      </c>
      <c r="T479" s="76"/>
      <c r="U479" s="76"/>
      <c r="V479" s="76"/>
      <c r="W479" s="76"/>
      <c r="X479" s="75"/>
      <c r="Y479" s="68"/>
      <c r="Z479" s="68"/>
      <c r="AA479" s="76"/>
      <c r="AB479" s="76"/>
      <c r="AC479" s="69" t="str">
        <f t="shared" si="5"/>
        <v/>
      </c>
      <c r="AD479" s="69" t="str">
        <f t="shared" si="6"/>
        <v/>
      </c>
      <c r="AE479" s="70" t="str">
        <f t="shared" si="7"/>
        <v/>
      </c>
      <c r="AF479" s="71" t="str">
        <f t="shared" si="8"/>
        <v/>
      </c>
      <c r="AG479" s="69" t="str">
        <f t="shared" si="9"/>
        <v/>
      </c>
      <c r="AH479" s="69" t="str">
        <f t="shared" si="10"/>
        <v/>
      </c>
      <c r="AI479" s="69" t="str">
        <f t="shared" si="3"/>
        <v/>
      </c>
    </row>
    <row r="480">
      <c r="A480" s="56" t="str">
        <f t="shared" si="1"/>
        <v/>
      </c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80"/>
      <c r="P480" s="72"/>
      <c r="Q480" s="80"/>
      <c r="R480" s="63" t="str">
        <f t="shared" si="4"/>
        <v/>
      </c>
      <c r="S480" s="85" t="str">
        <f t="shared" si="2"/>
        <v/>
      </c>
      <c r="T480" s="76"/>
      <c r="U480" s="76"/>
      <c r="V480" s="76"/>
      <c r="W480" s="76"/>
      <c r="X480" s="75"/>
      <c r="Y480" s="68"/>
      <c r="Z480" s="68"/>
      <c r="AA480" s="76"/>
      <c r="AB480" s="76"/>
      <c r="AC480" s="69" t="str">
        <f t="shared" si="5"/>
        <v/>
      </c>
      <c r="AD480" s="69" t="str">
        <f t="shared" si="6"/>
        <v/>
      </c>
      <c r="AE480" s="70" t="str">
        <f t="shared" si="7"/>
        <v/>
      </c>
      <c r="AF480" s="71" t="str">
        <f t="shared" si="8"/>
        <v/>
      </c>
      <c r="AG480" s="69" t="str">
        <f t="shared" si="9"/>
        <v/>
      </c>
      <c r="AH480" s="69" t="str">
        <f t="shared" si="10"/>
        <v/>
      </c>
      <c r="AI480" s="69" t="str">
        <f t="shared" si="3"/>
        <v/>
      </c>
    </row>
    <row r="481">
      <c r="A481" s="56" t="str">
        <f t="shared" si="1"/>
        <v/>
      </c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80"/>
      <c r="P481" s="72"/>
      <c r="Q481" s="80"/>
      <c r="R481" s="63" t="str">
        <f t="shared" si="4"/>
        <v/>
      </c>
      <c r="S481" s="85" t="str">
        <f t="shared" si="2"/>
        <v/>
      </c>
      <c r="T481" s="76"/>
      <c r="U481" s="76"/>
      <c r="V481" s="76"/>
      <c r="W481" s="76"/>
      <c r="X481" s="75"/>
      <c r="Y481" s="68"/>
      <c r="Z481" s="68"/>
      <c r="AA481" s="76"/>
      <c r="AB481" s="76"/>
      <c r="AC481" s="69" t="str">
        <f t="shared" si="5"/>
        <v/>
      </c>
      <c r="AD481" s="69" t="str">
        <f t="shared" si="6"/>
        <v/>
      </c>
      <c r="AE481" s="70" t="str">
        <f t="shared" si="7"/>
        <v/>
      </c>
      <c r="AF481" s="71" t="str">
        <f t="shared" si="8"/>
        <v/>
      </c>
      <c r="AG481" s="69" t="str">
        <f t="shared" si="9"/>
        <v/>
      </c>
      <c r="AH481" s="69" t="str">
        <f t="shared" si="10"/>
        <v/>
      </c>
      <c r="AI481" s="69" t="str">
        <f t="shared" si="3"/>
        <v/>
      </c>
    </row>
    <row r="482">
      <c r="A482" s="56" t="str">
        <f t="shared" si="1"/>
        <v/>
      </c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80"/>
      <c r="P482" s="72"/>
      <c r="Q482" s="80"/>
      <c r="R482" s="63" t="str">
        <f t="shared" si="4"/>
        <v/>
      </c>
      <c r="S482" s="85" t="str">
        <f t="shared" si="2"/>
        <v/>
      </c>
      <c r="T482" s="76"/>
      <c r="U482" s="76"/>
      <c r="V482" s="76"/>
      <c r="W482" s="76"/>
      <c r="X482" s="75"/>
      <c r="Y482" s="68"/>
      <c r="Z482" s="68"/>
      <c r="AA482" s="76"/>
      <c r="AB482" s="76"/>
      <c r="AC482" s="69" t="str">
        <f t="shared" si="5"/>
        <v/>
      </c>
      <c r="AD482" s="69" t="str">
        <f t="shared" si="6"/>
        <v/>
      </c>
      <c r="AE482" s="70" t="str">
        <f t="shared" si="7"/>
        <v/>
      </c>
      <c r="AF482" s="71" t="str">
        <f t="shared" si="8"/>
        <v/>
      </c>
      <c r="AG482" s="69" t="str">
        <f t="shared" si="9"/>
        <v/>
      </c>
      <c r="AH482" s="69" t="str">
        <f t="shared" si="10"/>
        <v/>
      </c>
      <c r="AI482" s="69" t="str">
        <f t="shared" si="3"/>
        <v/>
      </c>
    </row>
    <row r="483">
      <c r="A483" s="56" t="str">
        <f t="shared" si="1"/>
        <v/>
      </c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80"/>
      <c r="P483" s="72"/>
      <c r="Q483" s="80"/>
      <c r="R483" s="63" t="str">
        <f t="shared" si="4"/>
        <v/>
      </c>
      <c r="S483" s="85" t="str">
        <f t="shared" si="2"/>
        <v/>
      </c>
      <c r="T483" s="76"/>
      <c r="U483" s="76"/>
      <c r="V483" s="76"/>
      <c r="W483" s="76"/>
      <c r="X483" s="75"/>
      <c r="Y483" s="68"/>
      <c r="Z483" s="68"/>
      <c r="AA483" s="76"/>
      <c r="AB483" s="76"/>
      <c r="AC483" s="69" t="str">
        <f t="shared" si="5"/>
        <v/>
      </c>
      <c r="AD483" s="69" t="str">
        <f t="shared" si="6"/>
        <v/>
      </c>
      <c r="AE483" s="70" t="str">
        <f t="shared" si="7"/>
        <v/>
      </c>
      <c r="AF483" s="71" t="str">
        <f t="shared" si="8"/>
        <v/>
      </c>
      <c r="AG483" s="69" t="str">
        <f t="shared" si="9"/>
        <v/>
      </c>
      <c r="AH483" s="69" t="str">
        <f t="shared" si="10"/>
        <v/>
      </c>
      <c r="AI483" s="69" t="str">
        <f t="shared" si="3"/>
        <v/>
      </c>
    </row>
    <row r="484">
      <c r="A484" s="56" t="str">
        <f t="shared" si="1"/>
        <v/>
      </c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80"/>
      <c r="P484" s="72"/>
      <c r="Q484" s="80"/>
      <c r="R484" s="63" t="str">
        <f t="shared" si="4"/>
        <v/>
      </c>
      <c r="S484" s="85" t="str">
        <f t="shared" si="2"/>
        <v/>
      </c>
      <c r="T484" s="76"/>
      <c r="U484" s="76"/>
      <c r="V484" s="76"/>
      <c r="W484" s="76"/>
      <c r="X484" s="75"/>
      <c r="Y484" s="68"/>
      <c r="Z484" s="68"/>
      <c r="AA484" s="76"/>
      <c r="AB484" s="76"/>
      <c r="AC484" s="69" t="str">
        <f t="shared" si="5"/>
        <v/>
      </c>
      <c r="AD484" s="69" t="str">
        <f t="shared" si="6"/>
        <v/>
      </c>
      <c r="AE484" s="70" t="str">
        <f t="shared" si="7"/>
        <v/>
      </c>
      <c r="AF484" s="71" t="str">
        <f t="shared" si="8"/>
        <v/>
      </c>
      <c r="AG484" s="69" t="str">
        <f t="shared" si="9"/>
        <v/>
      </c>
      <c r="AH484" s="69" t="str">
        <f t="shared" si="10"/>
        <v/>
      </c>
      <c r="AI484" s="69" t="str">
        <f t="shared" si="3"/>
        <v/>
      </c>
    </row>
    <row r="485">
      <c r="A485" s="56" t="str">
        <f t="shared" si="1"/>
        <v/>
      </c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80"/>
      <c r="P485" s="72"/>
      <c r="Q485" s="80"/>
      <c r="R485" s="63" t="str">
        <f t="shared" si="4"/>
        <v/>
      </c>
      <c r="S485" s="85" t="str">
        <f t="shared" si="2"/>
        <v/>
      </c>
      <c r="T485" s="76"/>
      <c r="U485" s="76"/>
      <c r="V485" s="76"/>
      <c r="W485" s="76"/>
      <c r="X485" s="75"/>
      <c r="Y485" s="68"/>
      <c r="Z485" s="68"/>
      <c r="AA485" s="76"/>
      <c r="AB485" s="76"/>
      <c r="AC485" s="69" t="str">
        <f t="shared" si="5"/>
        <v/>
      </c>
      <c r="AD485" s="69" t="str">
        <f t="shared" si="6"/>
        <v/>
      </c>
      <c r="AE485" s="70" t="str">
        <f t="shared" si="7"/>
        <v/>
      </c>
      <c r="AF485" s="71" t="str">
        <f t="shared" si="8"/>
        <v/>
      </c>
      <c r="AG485" s="69" t="str">
        <f t="shared" si="9"/>
        <v/>
      </c>
      <c r="AH485" s="69" t="str">
        <f t="shared" si="10"/>
        <v/>
      </c>
      <c r="AI485" s="69" t="str">
        <f t="shared" si="3"/>
        <v/>
      </c>
    </row>
    <row r="486">
      <c r="A486" s="56" t="str">
        <f t="shared" si="1"/>
        <v/>
      </c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80"/>
      <c r="P486" s="72"/>
      <c r="Q486" s="80"/>
      <c r="R486" s="63" t="str">
        <f t="shared" si="4"/>
        <v/>
      </c>
      <c r="S486" s="85" t="str">
        <f t="shared" si="2"/>
        <v/>
      </c>
      <c r="T486" s="76"/>
      <c r="U486" s="76"/>
      <c r="V486" s="76"/>
      <c r="W486" s="76"/>
      <c r="X486" s="75"/>
      <c r="Y486" s="68"/>
      <c r="Z486" s="68"/>
      <c r="AA486" s="76"/>
      <c r="AB486" s="76"/>
      <c r="AC486" s="69" t="str">
        <f t="shared" si="5"/>
        <v/>
      </c>
      <c r="AD486" s="69" t="str">
        <f t="shared" si="6"/>
        <v/>
      </c>
      <c r="AE486" s="70" t="str">
        <f t="shared" si="7"/>
        <v/>
      </c>
      <c r="AF486" s="71" t="str">
        <f t="shared" si="8"/>
        <v/>
      </c>
      <c r="AG486" s="69" t="str">
        <f t="shared" si="9"/>
        <v/>
      </c>
      <c r="AH486" s="69" t="str">
        <f t="shared" si="10"/>
        <v/>
      </c>
      <c r="AI486" s="69" t="str">
        <f t="shared" si="3"/>
        <v/>
      </c>
    </row>
    <row r="487">
      <c r="A487" s="56" t="str">
        <f t="shared" si="1"/>
        <v/>
      </c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80"/>
      <c r="P487" s="72"/>
      <c r="Q487" s="80"/>
      <c r="R487" s="63" t="str">
        <f t="shared" si="4"/>
        <v/>
      </c>
      <c r="S487" s="85" t="str">
        <f t="shared" si="2"/>
        <v/>
      </c>
      <c r="T487" s="76"/>
      <c r="U487" s="76"/>
      <c r="V487" s="76"/>
      <c r="W487" s="76"/>
      <c r="X487" s="75"/>
      <c r="Y487" s="68"/>
      <c r="Z487" s="68"/>
      <c r="AA487" s="76"/>
      <c r="AB487" s="76"/>
      <c r="AC487" s="69" t="str">
        <f t="shared" si="5"/>
        <v/>
      </c>
      <c r="AD487" s="69" t="str">
        <f t="shared" si="6"/>
        <v/>
      </c>
      <c r="AE487" s="70" t="str">
        <f t="shared" si="7"/>
        <v/>
      </c>
      <c r="AF487" s="71" t="str">
        <f t="shared" si="8"/>
        <v/>
      </c>
      <c r="AG487" s="69" t="str">
        <f t="shared" si="9"/>
        <v/>
      </c>
      <c r="AH487" s="69" t="str">
        <f t="shared" si="10"/>
        <v/>
      </c>
      <c r="AI487" s="69" t="str">
        <f t="shared" si="3"/>
        <v/>
      </c>
    </row>
    <row r="488">
      <c r="A488" s="56" t="str">
        <f t="shared" si="1"/>
        <v/>
      </c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80"/>
      <c r="P488" s="72"/>
      <c r="Q488" s="80"/>
      <c r="R488" s="63" t="str">
        <f t="shared" si="4"/>
        <v/>
      </c>
      <c r="S488" s="85" t="str">
        <f t="shared" si="2"/>
        <v/>
      </c>
      <c r="T488" s="76"/>
      <c r="U488" s="76"/>
      <c r="V488" s="76"/>
      <c r="W488" s="76"/>
      <c r="X488" s="75"/>
      <c r="Y488" s="68"/>
      <c r="Z488" s="68"/>
      <c r="AA488" s="76"/>
      <c r="AB488" s="76"/>
      <c r="AC488" s="69" t="str">
        <f t="shared" si="5"/>
        <v/>
      </c>
      <c r="AD488" s="69" t="str">
        <f t="shared" si="6"/>
        <v/>
      </c>
      <c r="AE488" s="70" t="str">
        <f t="shared" si="7"/>
        <v/>
      </c>
      <c r="AF488" s="71" t="str">
        <f t="shared" si="8"/>
        <v/>
      </c>
      <c r="AG488" s="69" t="str">
        <f t="shared" si="9"/>
        <v/>
      </c>
      <c r="AH488" s="69" t="str">
        <f t="shared" si="10"/>
        <v/>
      </c>
      <c r="AI488" s="69" t="str">
        <f t="shared" si="3"/>
        <v/>
      </c>
    </row>
    <row r="489">
      <c r="A489" s="56" t="str">
        <f t="shared" si="1"/>
        <v/>
      </c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80"/>
      <c r="P489" s="72"/>
      <c r="Q489" s="80"/>
      <c r="R489" s="63" t="str">
        <f t="shared" si="4"/>
        <v/>
      </c>
      <c r="S489" s="85" t="str">
        <f t="shared" si="2"/>
        <v/>
      </c>
      <c r="T489" s="76"/>
      <c r="U489" s="76"/>
      <c r="V489" s="76"/>
      <c r="W489" s="76"/>
      <c r="X489" s="75"/>
      <c r="Y489" s="68"/>
      <c r="Z489" s="68"/>
      <c r="AA489" s="76"/>
      <c r="AB489" s="76"/>
      <c r="AC489" s="69" t="str">
        <f t="shared" si="5"/>
        <v/>
      </c>
      <c r="AD489" s="69" t="str">
        <f t="shared" si="6"/>
        <v/>
      </c>
      <c r="AE489" s="70" t="str">
        <f t="shared" si="7"/>
        <v/>
      </c>
      <c r="AF489" s="71" t="str">
        <f t="shared" si="8"/>
        <v/>
      </c>
      <c r="AG489" s="69" t="str">
        <f t="shared" si="9"/>
        <v/>
      </c>
      <c r="AH489" s="69" t="str">
        <f t="shared" si="10"/>
        <v/>
      </c>
      <c r="AI489" s="69" t="str">
        <f t="shared" si="3"/>
        <v/>
      </c>
    </row>
    <row r="490">
      <c r="A490" s="56" t="str">
        <f t="shared" si="1"/>
        <v/>
      </c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80"/>
      <c r="P490" s="72"/>
      <c r="Q490" s="80"/>
      <c r="R490" s="63" t="str">
        <f t="shared" si="4"/>
        <v/>
      </c>
      <c r="S490" s="85" t="str">
        <f t="shared" si="2"/>
        <v/>
      </c>
      <c r="T490" s="76"/>
      <c r="U490" s="76"/>
      <c r="V490" s="76"/>
      <c r="W490" s="76"/>
      <c r="X490" s="75"/>
      <c r="Y490" s="68"/>
      <c r="Z490" s="68"/>
      <c r="AA490" s="76"/>
      <c r="AB490" s="76"/>
      <c r="AC490" s="69" t="str">
        <f t="shared" si="5"/>
        <v/>
      </c>
      <c r="AD490" s="69" t="str">
        <f t="shared" si="6"/>
        <v/>
      </c>
      <c r="AE490" s="70" t="str">
        <f t="shared" si="7"/>
        <v/>
      </c>
      <c r="AF490" s="71" t="str">
        <f t="shared" si="8"/>
        <v/>
      </c>
      <c r="AG490" s="69" t="str">
        <f t="shared" si="9"/>
        <v/>
      </c>
      <c r="AH490" s="69" t="str">
        <f t="shared" si="10"/>
        <v/>
      </c>
      <c r="AI490" s="69" t="str">
        <f t="shared" si="3"/>
        <v/>
      </c>
    </row>
    <row r="491">
      <c r="A491" s="56" t="str">
        <f t="shared" si="1"/>
        <v/>
      </c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80"/>
      <c r="P491" s="72"/>
      <c r="Q491" s="80"/>
      <c r="R491" s="63" t="str">
        <f t="shared" si="4"/>
        <v/>
      </c>
      <c r="S491" s="85" t="str">
        <f t="shared" si="2"/>
        <v/>
      </c>
      <c r="T491" s="76"/>
      <c r="U491" s="76"/>
      <c r="V491" s="76"/>
      <c r="W491" s="76"/>
      <c r="X491" s="75"/>
      <c r="Y491" s="68"/>
      <c r="Z491" s="68"/>
      <c r="AA491" s="76"/>
      <c r="AB491" s="76"/>
      <c r="AC491" s="69" t="str">
        <f t="shared" si="5"/>
        <v/>
      </c>
      <c r="AD491" s="69" t="str">
        <f t="shared" si="6"/>
        <v/>
      </c>
      <c r="AE491" s="70" t="str">
        <f t="shared" si="7"/>
        <v/>
      </c>
      <c r="AF491" s="71" t="str">
        <f t="shared" si="8"/>
        <v/>
      </c>
      <c r="AG491" s="69" t="str">
        <f t="shared" si="9"/>
        <v/>
      </c>
      <c r="AH491" s="69" t="str">
        <f t="shared" si="10"/>
        <v/>
      </c>
      <c r="AI491" s="69" t="str">
        <f t="shared" si="3"/>
        <v/>
      </c>
    </row>
    <row r="492">
      <c r="A492" s="56" t="str">
        <f t="shared" si="1"/>
        <v/>
      </c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80"/>
      <c r="P492" s="72"/>
      <c r="Q492" s="80"/>
      <c r="R492" s="63" t="str">
        <f t="shared" si="4"/>
        <v/>
      </c>
      <c r="S492" s="85" t="str">
        <f t="shared" si="2"/>
        <v/>
      </c>
      <c r="T492" s="76"/>
      <c r="U492" s="76"/>
      <c r="V492" s="76"/>
      <c r="W492" s="76"/>
      <c r="X492" s="75"/>
      <c r="Y492" s="68"/>
      <c r="Z492" s="68"/>
      <c r="AA492" s="76"/>
      <c r="AB492" s="76"/>
      <c r="AC492" s="69" t="str">
        <f t="shared" si="5"/>
        <v/>
      </c>
      <c r="AD492" s="69" t="str">
        <f t="shared" si="6"/>
        <v/>
      </c>
      <c r="AE492" s="70" t="str">
        <f t="shared" si="7"/>
        <v/>
      </c>
      <c r="AF492" s="71" t="str">
        <f t="shared" si="8"/>
        <v/>
      </c>
      <c r="AG492" s="69" t="str">
        <f t="shared" si="9"/>
        <v/>
      </c>
      <c r="AH492" s="69" t="str">
        <f t="shared" si="10"/>
        <v/>
      </c>
      <c r="AI492" s="69" t="str">
        <f t="shared" si="3"/>
        <v/>
      </c>
    </row>
    <row r="493">
      <c r="A493" s="56" t="str">
        <f t="shared" si="1"/>
        <v/>
      </c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80"/>
      <c r="P493" s="72"/>
      <c r="Q493" s="80"/>
      <c r="R493" s="63" t="str">
        <f t="shared" si="4"/>
        <v/>
      </c>
      <c r="S493" s="85" t="str">
        <f t="shared" si="2"/>
        <v/>
      </c>
      <c r="T493" s="76"/>
      <c r="U493" s="76"/>
      <c r="V493" s="76"/>
      <c r="W493" s="76"/>
      <c r="X493" s="75"/>
      <c r="Y493" s="68"/>
      <c r="Z493" s="68"/>
      <c r="AA493" s="76"/>
      <c r="AB493" s="76"/>
      <c r="AC493" s="69" t="str">
        <f t="shared" si="5"/>
        <v/>
      </c>
      <c r="AD493" s="69" t="str">
        <f t="shared" si="6"/>
        <v/>
      </c>
      <c r="AE493" s="70" t="str">
        <f t="shared" si="7"/>
        <v/>
      </c>
      <c r="AF493" s="71" t="str">
        <f t="shared" si="8"/>
        <v/>
      </c>
      <c r="AG493" s="69" t="str">
        <f t="shared" si="9"/>
        <v/>
      </c>
      <c r="AH493" s="69" t="str">
        <f t="shared" si="10"/>
        <v/>
      </c>
      <c r="AI493" s="69" t="str">
        <f t="shared" si="3"/>
        <v/>
      </c>
    </row>
    <row r="494">
      <c r="A494" s="56" t="str">
        <f t="shared" si="1"/>
        <v/>
      </c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80"/>
      <c r="P494" s="72"/>
      <c r="Q494" s="80"/>
      <c r="R494" s="63" t="str">
        <f t="shared" si="4"/>
        <v/>
      </c>
      <c r="S494" s="85" t="str">
        <f t="shared" si="2"/>
        <v/>
      </c>
      <c r="T494" s="76"/>
      <c r="U494" s="76"/>
      <c r="V494" s="76"/>
      <c r="W494" s="76"/>
      <c r="X494" s="75"/>
      <c r="Y494" s="68"/>
      <c r="Z494" s="68"/>
      <c r="AA494" s="76"/>
      <c r="AB494" s="76"/>
      <c r="AC494" s="69" t="str">
        <f t="shared" si="5"/>
        <v/>
      </c>
      <c r="AD494" s="69" t="str">
        <f t="shared" si="6"/>
        <v/>
      </c>
      <c r="AE494" s="70" t="str">
        <f t="shared" si="7"/>
        <v/>
      </c>
      <c r="AF494" s="71" t="str">
        <f t="shared" si="8"/>
        <v/>
      </c>
      <c r="AG494" s="69" t="str">
        <f t="shared" si="9"/>
        <v/>
      </c>
      <c r="AH494" s="69" t="str">
        <f t="shared" si="10"/>
        <v/>
      </c>
      <c r="AI494" s="69" t="str">
        <f t="shared" si="3"/>
        <v/>
      </c>
    </row>
    <row r="495">
      <c r="A495" s="56" t="str">
        <f t="shared" si="1"/>
        <v/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80"/>
      <c r="P495" s="72"/>
      <c r="Q495" s="80"/>
      <c r="R495" s="63" t="str">
        <f t="shared" si="4"/>
        <v/>
      </c>
      <c r="S495" s="85" t="str">
        <f t="shared" si="2"/>
        <v/>
      </c>
      <c r="T495" s="76"/>
      <c r="U495" s="76"/>
      <c r="V495" s="76"/>
      <c r="W495" s="76"/>
      <c r="X495" s="75"/>
      <c r="Y495" s="68"/>
      <c r="Z495" s="68"/>
      <c r="AA495" s="76"/>
      <c r="AB495" s="76"/>
      <c r="AC495" s="69" t="str">
        <f t="shared" si="5"/>
        <v/>
      </c>
      <c r="AD495" s="69" t="str">
        <f t="shared" si="6"/>
        <v/>
      </c>
      <c r="AE495" s="70" t="str">
        <f t="shared" si="7"/>
        <v/>
      </c>
      <c r="AF495" s="71" t="str">
        <f t="shared" si="8"/>
        <v/>
      </c>
      <c r="AG495" s="69" t="str">
        <f t="shared" si="9"/>
        <v/>
      </c>
      <c r="AH495" s="69" t="str">
        <f t="shared" si="10"/>
        <v/>
      </c>
      <c r="AI495" s="69" t="str">
        <f t="shared" si="3"/>
        <v/>
      </c>
    </row>
    <row r="496">
      <c r="A496" s="56" t="str">
        <f t="shared" si="1"/>
        <v/>
      </c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80"/>
      <c r="P496" s="72"/>
      <c r="Q496" s="80"/>
      <c r="R496" s="63" t="str">
        <f t="shared" si="4"/>
        <v/>
      </c>
      <c r="S496" s="85" t="str">
        <f t="shared" si="2"/>
        <v/>
      </c>
      <c r="T496" s="76"/>
      <c r="U496" s="76"/>
      <c r="V496" s="76"/>
      <c r="W496" s="76"/>
      <c r="X496" s="75"/>
      <c r="Y496" s="68"/>
      <c r="Z496" s="68"/>
      <c r="AA496" s="76"/>
      <c r="AB496" s="76"/>
      <c r="AC496" s="69" t="str">
        <f t="shared" si="5"/>
        <v/>
      </c>
      <c r="AD496" s="69" t="str">
        <f t="shared" si="6"/>
        <v/>
      </c>
      <c r="AE496" s="70" t="str">
        <f t="shared" si="7"/>
        <v/>
      </c>
      <c r="AF496" s="71" t="str">
        <f t="shared" si="8"/>
        <v/>
      </c>
      <c r="AG496" s="69" t="str">
        <f t="shared" si="9"/>
        <v/>
      </c>
      <c r="AH496" s="69" t="str">
        <f t="shared" si="10"/>
        <v/>
      </c>
      <c r="AI496" s="69" t="str">
        <f t="shared" si="3"/>
        <v/>
      </c>
    </row>
    <row r="497">
      <c r="A497" s="56" t="str">
        <f t="shared" si="1"/>
        <v/>
      </c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80"/>
      <c r="P497" s="72"/>
      <c r="Q497" s="80"/>
      <c r="R497" s="63" t="str">
        <f t="shared" si="4"/>
        <v/>
      </c>
      <c r="S497" s="85" t="str">
        <f t="shared" si="2"/>
        <v/>
      </c>
      <c r="T497" s="76"/>
      <c r="U497" s="76"/>
      <c r="V497" s="76"/>
      <c r="W497" s="76"/>
      <c r="X497" s="75"/>
      <c r="Y497" s="68"/>
      <c r="Z497" s="68"/>
      <c r="AA497" s="76"/>
      <c r="AB497" s="76"/>
      <c r="AC497" s="69" t="str">
        <f t="shared" si="5"/>
        <v/>
      </c>
      <c r="AD497" s="69" t="str">
        <f t="shared" si="6"/>
        <v/>
      </c>
      <c r="AE497" s="70" t="str">
        <f t="shared" si="7"/>
        <v/>
      </c>
      <c r="AF497" s="71" t="str">
        <f t="shared" si="8"/>
        <v/>
      </c>
      <c r="AG497" s="69" t="str">
        <f t="shared" si="9"/>
        <v/>
      </c>
      <c r="AH497" s="69" t="str">
        <f t="shared" si="10"/>
        <v/>
      </c>
      <c r="AI497" s="69" t="str">
        <f t="shared" si="3"/>
        <v/>
      </c>
    </row>
    <row r="498">
      <c r="A498" s="56" t="str">
        <f t="shared" si="1"/>
        <v/>
      </c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80"/>
      <c r="P498" s="72"/>
      <c r="Q498" s="80"/>
      <c r="R498" s="63" t="str">
        <f t="shared" si="4"/>
        <v/>
      </c>
      <c r="S498" s="85" t="str">
        <f t="shared" si="2"/>
        <v/>
      </c>
      <c r="T498" s="76"/>
      <c r="U498" s="76"/>
      <c r="V498" s="76"/>
      <c r="W498" s="76"/>
      <c r="X498" s="75"/>
      <c r="Y498" s="68"/>
      <c r="Z498" s="68"/>
      <c r="AA498" s="76"/>
      <c r="AB498" s="76"/>
      <c r="AC498" s="69" t="str">
        <f t="shared" si="5"/>
        <v/>
      </c>
      <c r="AD498" s="69" t="str">
        <f t="shared" si="6"/>
        <v/>
      </c>
      <c r="AE498" s="70" t="str">
        <f t="shared" si="7"/>
        <v/>
      </c>
      <c r="AF498" s="71" t="str">
        <f t="shared" si="8"/>
        <v/>
      </c>
      <c r="AG498" s="69" t="str">
        <f t="shared" si="9"/>
        <v/>
      </c>
      <c r="AH498" s="69" t="str">
        <f t="shared" si="10"/>
        <v/>
      </c>
      <c r="AI498" s="69" t="str">
        <f t="shared" si="3"/>
        <v/>
      </c>
    </row>
    <row r="499">
      <c r="A499" s="56" t="str">
        <f t="shared" si="1"/>
        <v/>
      </c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80"/>
      <c r="P499" s="72"/>
      <c r="Q499" s="80"/>
      <c r="R499" s="63" t="str">
        <f t="shared" si="4"/>
        <v/>
      </c>
      <c r="S499" s="85" t="str">
        <f t="shared" si="2"/>
        <v/>
      </c>
      <c r="T499" s="76"/>
      <c r="U499" s="76"/>
      <c r="V499" s="76"/>
      <c r="W499" s="76"/>
      <c r="X499" s="75"/>
      <c r="Y499" s="68"/>
      <c r="Z499" s="68"/>
      <c r="AA499" s="76"/>
      <c r="AB499" s="76"/>
      <c r="AC499" s="69" t="str">
        <f t="shared" si="5"/>
        <v/>
      </c>
      <c r="AD499" s="69" t="str">
        <f t="shared" si="6"/>
        <v/>
      </c>
      <c r="AE499" s="70" t="str">
        <f t="shared" si="7"/>
        <v/>
      </c>
      <c r="AF499" s="71" t="str">
        <f t="shared" si="8"/>
        <v/>
      </c>
      <c r="AG499" s="69" t="str">
        <f t="shared" si="9"/>
        <v/>
      </c>
      <c r="AH499" s="69" t="str">
        <f t="shared" si="10"/>
        <v/>
      </c>
      <c r="AI499" s="69" t="str">
        <f t="shared" si="3"/>
        <v/>
      </c>
    </row>
    <row r="500">
      <c r="A500" s="4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7"/>
      <c r="P500" s="86"/>
      <c r="Q500" s="87"/>
      <c r="R500" s="88" t="str">
        <f t="shared" si="4"/>
        <v/>
      </c>
      <c r="S500" s="88" t="str">
        <f t="shared" si="2"/>
        <v/>
      </c>
      <c r="T500" s="89"/>
      <c r="U500" s="86"/>
      <c r="V500" s="90"/>
      <c r="W500" s="86"/>
      <c r="X500" s="90"/>
      <c r="Y500" s="86"/>
      <c r="Z500" s="86"/>
      <c r="AA500" s="86"/>
      <c r="AB500" s="86"/>
      <c r="AC500" s="69"/>
      <c r="AD500" s="69"/>
      <c r="AE500" s="91"/>
      <c r="AF500" s="91"/>
      <c r="AG500" s="69"/>
      <c r="AH500" s="69"/>
      <c r="AI500" s="69"/>
    </row>
    <row r="501">
      <c r="A501" s="4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7"/>
      <c r="P501" s="86"/>
      <c r="Q501" s="87"/>
      <c r="R501" s="88" t="str">
        <f t="shared" si="4"/>
        <v/>
      </c>
      <c r="S501" s="88" t="str">
        <f t="shared" si="2"/>
        <v/>
      </c>
      <c r="T501" s="89"/>
      <c r="U501" s="86"/>
      <c r="V501" s="90"/>
      <c r="W501" s="86"/>
      <c r="X501" s="90"/>
      <c r="Y501" s="86"/>
      <c r="Z501" s="86"/>
      <c r="AA501" s="86"/>
      <c r="AB501" s="86"/>
      <c r="AC501" s="69"/>
      <c r="AD501" s="69"/>
      <c r="AE501" s="91"/>
      <c r="AF501" s="91"/>
      <c r="AG501" s="69"/>
      <c r="AH501" s="69"/>
      <c r="AI501" s="69"/>
    </row>
    <row r="502">
      <c r="A502" s="4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7"/>
      <c r="P502" s="86"/>
      <c r="Q502" s="87"/>
      <c r="R502" s="88" t="str">
        <f t="shared" si="4"/>
        <v/>
      </c>
      <c r="S502" s="88" t="str">
        <f t="shared" si="2"/>
        <v/>
      </c>
      <c r="T502" s="89"/>
      <c r="U502" s="86"/>
      <c r="V502" s="90"/>
      <c r="W502" s="86"/>
      <c r="X502" s="90"/>
      <c r="Y502" s="86"/>
      <c r="Z502" s="86"/>
      <c r="AA502" s="86"/>
      <c r="AB502" s="86"/>
      <c r="AC502" s="69"/>
      <c r="AD502" s="69"/>
      <c r="AE502" s="91"/>
      <c r="AF502" s="91"/>
      <c r="AG502" s="69"/>
      <c r="AH502" s="69"/>
      <c r="AI502" s="69"/>
    </row>
    <row r="503">
      <c r="A503" s="4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7"/>
      <c r="P503" s="86"/>
      <c r="Q503" s="87"/>
      <c r="R503" s="88" t="str">
        <f t="shared" si="4"/>
        <v/>
      </c>
      <c r="S503" s="88" t="str">
        <f t="shared" si="2"/>
        <v/>
      </c>
      <c r="T503" s="89"/>
      <c r="U503" s="86"/>
      <c r="V503" s="90"/>
      <c r="W503" s="86"/>
      <c r="X503" s="90"/>
      <c r="Y503" s="86"/>
      <c r="Z503" s="86"/>
      <c r="AA503" s="86"/>
      <c r="AB503" s="86"/>
      <c r="AC503" s="69"/>
      <c r="AD503" s="69"/>
      <c r="AE503" s="91"/>
      <c r="AF503" s="91"/>
      <c r="AG503" s="69"/>
      <c r="AH503" s="69"/>
      <c r="AI503" s="69"/>
    </row>
    <row r="504">
      <c r="A504" s="4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7"/>
      <c r="P504" s="86"/>
      <c r="Q504" s="87"/>
      <c r="R504" s="88" t="str">
        <f t="shared" si="4"/>
        <v/>
      </c>
      <c r="S504" s="88" t="str">
        <f t="shared" si="2"/>
        <v/>
      </c>
      <c r="T504" s="86"/>
      <c r="U504" s="86"/>
      <c r="V504" s="90"/>
      <c r="W504" s="86"/>
      <c r="X504" s="90"/>
      <c r="Y504" s="86"/>
      <c r="Z504" s="86"/>
      <c r="AA504" s="86"/>
      <c r="AB504" s="86"/>
      <c r="AC504" s="69"/>
      <c r="AD504" s="69"/>
      <c r="AE504" s="91"/>
      <c r="AF504" s="91"/>
      <c r="AG504" s="69"/>
      <c r="AH504" s="69"/>
      <c r="AI504" s="69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7"/>
      <c r="P505" s="4"/>
      <c r="Q505" s="7"/>
      <c r="R505" s="3"/>
      <c r="S505" s="3"/>
      <c r="T505" s="4"/>
      <c r="U505" s="4"/>
      <c r="V505" s="5"/>
      <c r="W505" s="4"/>
      <c r="X505" s="5"/>
      <c r="Y505" s="4"/>
      <c r="Z505" s="4"/>
      <c r="AA505" s="4"/>
      <c r="AB505" s="4"/>
      <c r="AC505" s="69"/>
      <c r="AD505" s="69"/>
      <c r="AE505" s="91"/>
      <c r="AF505" s="91"/>
      <c r="AG505" s="69"/>
      <c r="AH505" s="69"/>
      <c r="AI505" s="69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7"/>
      <c r="P506" s="4"/>
      <c r="Q506" s="7"/>
      <c r="R506" s="3"/>
      <c r="S506" s="3"/>
      <c r="T506" s="4"/>
      <c r="U506" s="4"/>
      <c r="V506" s="5"/>
      <c r="W506" s="4"/>
      <c r="X506" s="5"/>
      <c r="Y506" s="4"/>
      <c r="Z506" s="4"/>
      <c r="AA506" s="4"/>
      <c r="AB506" s="4"/>
      <c r="AC506" s="69"/>
      <c r="AD506" s="69"/>
      <c r="AE506" s="91"/>
      <c r="AF506" s="91"/>
      <c r="AG506" s="69"/>
      <c r="AH506" s="69"/>
      <c r="AI506" s="69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7"/>
      <c r="P507" s="4"/>
      <c r="Q507" s="7"/>
      <c r="R507" s="3"/>
      <c r="S507" s="3"/>
      <c r="T507" s="4"/>
      <c r="U507" s="4"/>
      <c r="V507" s="5"/>
      <c r="W507" s="4"/>
      <c r="X507" s="5"/>
      <c r="Y507" s="4"/>
      <c r="Z507" s="4"/>
      <c r="AA507" s="4"/>
      <c r="AB507" s="4"/>
      <c r="AC507" s="69"/>
      <c r="AD507" s="69"/>
      <c r="AE507" s="91"/>
      <c r="AF507" s="91"/>
      <c r="AG507" s="69"/>
      <c r="AH507" s="69"/>
      <c r="AI507" s="69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7"/>
      <c r="P508" s="4"/>
      <c r="Q508" s="7"/>
      <c r="R508" s="3"/>
      <c r="S508" s="3"/>
      <c r="T508" s="4"/>
      <c r="U508" s="4"/>
      <c r="V508" s="5"/>
      <c r="W508" s="4"/>
      <c r="X508" s="5"/>
      <c r="Y508" s="4"/>
      <c r="Z508" s="4"/>
      <c r="AA508" s="4"/>
      <c r="AB508" s="4"/>
      <c r="AC508" s="69"/>
      <c r="AD508" s="69"/>
      <c r="AE508" s="91"/>
      <c r="AF508" s="91"/>
      <c r="AG508" s="69"/>
      <c r="AH508" s="69"/>
      <c r="AI508" s="69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7"/>
      <c r="P509" s="4"/>
      <c r="Q509" s="7"/>
      <c r="R509" s="3"/>
      <c r="S509" s="3"/>
      <c r="T509" s="4"/>
      <c r="U509" s="4"/>
      <c r="V509" s="5"/>
      <c r="W509" s="4"/>
      <c r="X509" s="5"/>
      <c r="Y509" s="4"/>
      <c r="Z509" s="4"/>
      <c r="AA509" s="4"/>
      <c r="AB509" s="4"/>
      <c r="AC509" s="69"/>
      <c r="AD509" s="69"/>
      <c r="AE509" s="91"/>
      <c r="AF509" s="91"/>
      <c r="AG509" s="69"/>
      <c r="AH509" s="69"/>
      <c r="AI509" s="69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7"/>
      <c r="P510" s="4"/>
      <c r="Q510" s="7"/>
      <c r="R510" s="3"/>
      <c r="S510" s="3"/>
      <c r="T510" s="4"/>
      <c r="U510" s="4"/>
      <c r="V510" s="5"/>
      <c r="W510" s="4"/>
      <c r="X510" s="5"/>
      <c r="Y510" s="4"/>
      <c r="Z510" s="4"/>
      <c r="AA510" s="4"/>
      <c r="AB510" s="4"/>
      <c r="AC510" s="69"/>
      <c r="AD510" s="69"/>
      <c r="AE510" s="91"/>
      <c r="AF510" s="91"/>
      <c r="AG510" s="69"/>
      <c r="AH510" s="69"/>
      <c r="AI510" s="69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7"/>
      <c r="P511" s="4"/>
      <c r="Q511" s="7"/>
      <c r="R511" s="3"/>
      <c r="S511" s="3"/>
      <c r="T511" s="4"/>
      <c r="U511" s="4"/>
      <c r="V511" s="5"/>
      <c r="W511" s="4"/>
      <c r="X511" s="5"/>
      <c r="Y511" s="4"/>
      <c r="Z511" s="4"/>
      <c r="AA511" s="4"/>
      <c r="AB511" s="4"/>
      <c r="AC511" s="69"/>
      <c r="AD511" s="69"/>
      <c r="AE511" s="91"/>
      <c r="AF511" s="91"/>
      <c r="AG511" s="69"/>
      <c r="AH511" s="69"/>
      <c r="AI511" s="69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7"/>
      <c r="P512" s="4"/>
      <c r="Q512" s="7"/>
      <c r="R512" s="3"/>
      <c r="S512" s="3"/>
      <c r="T512" s="4"/>
      <c r="U512" s="4"/>
      <c r="V512" s="5"/>
      <c r="W512" s="4"/>
      <c r="X512" s="5"/>
      <c r="Y512" s="4"/>
      <c r="Z512" s="4"/>
      <c r="AA512" s="4"/>
      <c r="AB512" s="4"/>
      <c r="AC512" s="69"/>
      <c r="AD512" s="69"/>
      <c r="AE512" s="91"/>
      <c r="AF512" s="91"/>
      <c r="AG512" s="69"/>
      <c r="AH512" s="69"/>
      <c r="AI512" s="69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7"/>
      <c r="P513" s="4"/>
      <c r="Q513" s="7"/>
      <c r="R513" s="3"/>
      <c r="S513" s="3"/>
      <c r="T513" s="4"/>
      <c r="U513" s="4"/>
      <c r="V513" s="5"/>
      <c r="W513" s="4"/>
      <c r="X513" s="5"/>
      <c r="Y513" s="4"/>
      <c r="Z513" s="4"/>
      <c r="AA513" s="4"/>
      <c r="AB513" s="4"/>
      <c r="AC513" s="69"/>
      <c r="AD513" s="69"/>
      <c r="AE513" s="91"/>
      <c r="AF513" s="91"/>
      <c r="AG513" s="69"/>
      <c r="AH513" s="69"/>
      <c r="AI513" s="69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7"/>
      <c r="P514" s="4"/>
      <c r="Q514" s="7"/>
      <c r="R514" s="3"/>
      <c r="S514" s="3"/>
      <c r="T514" s="4"/>
      <c r="U514" s="4"/>
      <c r="V514" s="5"/>
      <c r="W514" s="4"/>
      <c r="X514" s="5"/>
      <c r="Y514" s="4"/>
      <c r="Z514" s="4"/>
      <c r="AA514" s="4"/>
      <c r="AB514" s="4"/>
      <c r="AC514" s="69"/>
      <c r="AD514" s="69"/>
      <c r="AE514" s="91"/>
      <c r="AF514" s="91"/>
      <c r="AG514" s="69"/>
      <c r="AH514" s="69"/>
      <c r="AI514" s="69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7"/>
      <c r="P515" s="4"/>
      <c r="Q515" s="7"/>
      <c r="R515" s="3"/>
      <c r="S515" s="3"/>
      <c r="T515" s="4"/>
      <c r="U515" s="4"/>
      <c r="V515" s="5"/>
      <c r="W515" s="4"/>
      <c r="X515" s="5"/>
      <c r="Y515" s="4"/>
      <c r="Z515" s="4"/>
      <c r="AA515" s="4"/>
      <c r="AB515" s="4"/>
      <c r="AC515" s="69"/>
      <c r="AD515" s="69"/>
      <c r="AE515" s="91"/>
      <c r="AF515" s="91"/>
      <c r="AG515" s="69"/>
      <c r="AH515" s="69"/>
      <c r="AI515" s="69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7"/>
      <c r="P516" s="4"/>
      <c r="Q516" s="7"/>
      <c r="R516" s="3"/>
      <c r="S516" s="3"/>
      <c r="T516" s="4"/>
      <c r="U516" s="4"/>
      <c r="V516" s="5"/>
      <c r="W516" s="4"/>
      <c r="X516" s="5"/>
      <c r="Y516" s="4"/>
      <c r="Z516" s="4"/>
      <c r="AA516" s="4"/>
      <c r="AB516" s="4"/>
      <c r="AC516" s="69"/>
      <c r="AD516" s="69"/>
      <c r="AE516" s="91"/>
      <c r="AF516" s="91"/>
      <c r="AG516" s="69"/>
      <c r="AH516" s="69"/>
      <c r="AI516" s="69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7"/>
      <c r="P517" s="4"/>
      <c r="Q517" s="7"/>
      <c r="R517" s="3"/>
      <c r="S517" s="3"/>
      <c r="T517" s="4"/>
      <c r="U517" s="4"/>
      <c r="V517" s="5"/>
      <c r="W517" s="4"/>
      <c r="X517" s="5"/>
      <c r="Y517" s="4"/>
      <c r="Z517" s="4"/>
      <c r="AA517" s="4"/>
      <c r="AB517" s="4"/>
      <c r="AC517" s="69"/>
      <c r="AD517" s="69"/>
      <c r="AE517" s="91"/>
      <c r="AF517" s="91"/>
      <c r="AG517" s="69"/>
      <c r="AH517" s="69"/>
      <c r="AI517" s="69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7"/>
      <c r="P518" s="4"/>
      <c r="Q518" s="7"/>
      <c r="R518" s="3"/>
      <c r="S518" s="3"/>
      <c r="T518" s="4"/>
      <c r="U518" s="4"/>
      <c r="V518" s="5"/>
      <c r="W518" s="4"/>
      <c r="X518" s="5"/>
      <c r="Y518" s="4"/>
      <c r="Z518" s="4"/>
      <c r="AA518" s="4"/>
      <c r="AB518" s="4"/>
      <c r="AC518" s="69"/>
      <c r="AD518" s="69"/>
      <c r="AE518" s="91"/>
      <c r="AF518" s="91"/>
      <c r="AG518" s="69"/>
      <c r="AH518" s="69"/>
      <c r="AI518" s="69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7"/>
      <c r="P519" s="4"/>
      <c r="Q519" s="7"/>
      <c r="R519" s="3"/>
      <c r="S519" s="3"/>
      <c r="T519" s="4"/>
      <c r="U519" s="4"/>
      <c r="V519" s="5"/>
      <c r="W519" s="4"/>
      <c r="X519" s="5"/>
      <c r="Y519" s="4"/>
      <c r="Z519" s="4"/>
      <c r="AA519" s="4"/>
      <c r="AB519" s="4"/>
      <c r="AC519" s="69"/>
      <c r="AD519" s="69"/>
      <c r="AE519" s="91"/>
      <c r="AF519" s="91"/>
      <c r="AG519" s="69"/>
      <c r="AH519" s="69"/>
      <c r="AI519" s="69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7"/>
      <c r="P520" s="4"/>
      <c r="Q520" s="7"/>
      <c r="R520" s="3"/>
      <c r="S520" s="3"/>
      <c r="T520" s="4"/>
      <c r="U520" s="4"/>
      <c r="V520" s="5"/>
      <c r="W520" s="4"/>
      <c r="X520" s="5"/>
      <c r="Y520" s="4"/>
      <c r="Z520" s="4"/>
      <c r="AA520" s="4"/>
      <c r="AB520" s="4"/>
      <c r="AC520" s="69"/>
      <c r="AD520" s="69"/>
      <c r="AE520" s="91"/>
      <c r="AF520" s="91"/>
      <c r="AG520" s="69"/>
      <c r="AH520" s="69"/>
      <c r="AI520" s="69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7"/>
      <c r="P521" s="4"/>
      <c r="Q521" s="7"/>
      <c r="R521" s="3"/>
      <c r="S521" s="3"/>
      <c r="T521" s="4"/>
      <c r="U521" s="4"/>
      <c r="V521" s="5"/>
      <c r="W521" s="4"/>
      <c r="X521" s="5"/>
      <c r="Y521" s="4"/>
      <c r="Z521" s="4"/>
      <c r="AA521" s="4"/>
      <c r="AB521" s="4"/>
      <c r="AC521" s="69"/>
      <c r="AD521" s="69"/>
      <c r="AE521" s="91"/>
      <c r="AF521" s="91"/>
      <c r="AG521" s="69"/>
      <c r="AH521" s="69"/>
      <c r="AI521" s="69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7"/>
      <c r="P522" s="4"/>
      <c r="Q522" s="7"/>
      <c r="R522" s="3"/>
      <c r="S522" s="3"/>
      <c r="T522" s="4"/>
      <c r="U522" s="4"/>
      <c r="V522" s="5"/>
      <c r="W522" s="4"/>
      <c r="X522" s="5"/>
      <c r="Y522" s="4"/>
      <c r="Z522" s="4"/>
      <c r="AA522" s="4"/>
      <c r="AB522" s="4"/>
      <c r="AC522" s="69"/>
      <c r="AD522" s="69"/>
      <c r="AE522" s="91"/>
      <c r="AF522" s="91"/>
      <c r="AG522" s="69"/>
      <c r="AH522" s="69"/>
      <c r="AI522" s="69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7"/>
      <c r="P523" s="4"/>
      <c r="Q523" s="7"/>
      <c r="R523" s="3"/>
      <c r="S523" s="3"/>
      <c r="T523" s="4"/>
      <c r="U523" s="4"/>
      <c r="V523" s="5"/>
      <c r="W523" s="4"/>
      <c r="X523" s="5"/>
      <c r="Y523" s="4"/>
      <c r="Z523" s="4"/>
      <c r="AA523" s="4"/>
      <c r="AB523" s="4"/>
      <c r="AC523" s="69"/>
      <c r="AD523" s="69"/>
      <c r="AE523" s="91"/>
      <c r="AF523" s="91"/>
      <c r="AG523" s="69"/>
      <c r="AH523" s="69"/>
      <c r="AI523" s="69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7"/>
      <c r="P524" s="4"/>
      <c r="Q524" s="7"/>
      <c r="R524" s="3"/>
      <c r="S524" s="3"/>
      <c r="T524" s="4"/>
      <c r="U524" s="4"/>
      <c r="V524" s="5"/>
      <c r="W524" s="4"/>
      <c r="X524" s="5"/>
      <c r="Y524" s="4"/>
      <c r="Z524" s="4"/>
      <c r="AA524" s="4"/>
      <c r="AB524" s="4"/>
      <c r="AC524" s="69"/>
      <c r="AD524" s="69"/>
      <c r="AE524" s="91"/>
      <c r="AF524" s="91"/>
      <c r="AG524" s="69"/>
      <c r="AH524" s="69"/>
      <c r="AI524" s="69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7"/>
      <c r="P525" s="4"/>
      <c r="Q525" s="7"/>
      <c r="R525" s="3"/>
      <c r="S525" s="3"/>
      <c r="T525" s="4"/>
      <c r="U525" s="4"/>
      <c r="V525" s="5"/>
      <c r="W525" s="4"/>
      <c r="X525" s="5"/>
      <c r="Y525" s="4"/>
      <c r="Z525" s="4"/>
      <c r="AA525" s="4"/>
      <c r="AB525" s="4"/>
      <c r="AC525" s="69"/>
      <c r="AD525" s="69"/>
      <c r="AE525" s="91"/>
      <c r="AF525" s="91"/>
      <c r="AG525" s="69"/>
      <c r="AH525" s="69"/>
      <c r="AI525" s="69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7"/>
      <c r="P526" s="4"/>
      <c r="Q526" s="7"/>
      <c r="R526" s="3"/>
      <c r="S526" s="3"/>
      <c r="T526" s="4"/>
      <c r="U526" s="4"/>
      <c r="V526" s="5"/>
      <c r="W526" s="4"/>
      <c r="X526" s="5"/>
      <c r="Y526" s="4"/>
      <c r="Z526" s="4"/>
      <c r="AA526" s="4"/>
      <c r="AB526" s="4"/>
      <c r="AC526" s="69"/>
      <c r="AD526" s="69"/>
      <c r="AE526" s="91"/>
      <c r="AF526" s="91"/>
      <c r="AG526" s="69"/>
      <c r="AH526" s="69"/>
      <c r="AI526" s="69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7"/>
      <c r="P527" s="4"/>
      <c r="Q527" s="7"/>
      <c r="R527" s="3"/>
      <c r="S527" s="3"/>
      <c r="T527" s="4"/>
      <c r="U527" s="4"/>
      <c r="V527" s="5"/>
      <c r="W527" s="4"/>
      <c r="X527" s="5"/>
      <c r="Y527" s="4"/>
      <c r="Z527" s="4"/>
      <c r="AA527" s="4"/>
      <c r="AB527" s="4"/>
      <c r="AC527" s="69"/>
      <c r="AD527" s="69"/>
      <c r="AE527" s="91"/>
      <c r="AF527" s="91"/>
      <c r="AG527" s="69"/>
      <c r="AH527" s="69"/>
      <c r="AI527" s="69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7"/>
      <c r="P528" s="4"/>
      <c r="Q528" s="7"/>
      <c r="R528" s="3"/>
      <c r="S528" s="3"/>
      <c r="T528" s="4"/>
      <c r="U528" s="4"/>
      <c r="V528" s="5"/>
      <c r="W528" s="4"/>
      <c r="X528" s="5"/>
      <c r="Y528" s="4"/>
      <c r="Z528" s="4"/>
      <c r="AA528" s="4"/>
      <c r="AB528" s="4"/>
      <c r="AC528" s="69"/>
      <c r="AD528" s="69"/>
      <c r="AE528" s="91"/>
      <c r="AF528" s="91"/>
      <c r="AG528" s="69"/>
      <c r="AH528" s="69"/>
      <c r="AI528" s="69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7"/>
      <c r="P529" s="4"/>
      <c r="Q529" s="7"/>
      <c r="R529" s="3"/>
      <c r="S529" s="3"/>
      <c r="T529" s="4"/>
      <c r="U529" s="4"/>
      <c r="V529" s="5"/>
      <c r="W529" s="4"/>
      <c r="X529" s="5"/>
      <c r="Y529" s="4"/>
      <c r="Z529" s="4"/>
      <c r="AA529" s="4"/>
      <c r="AB529" s="4"/>
      <c r="AC529" s="69"/>
      <c r="AD529" s="69"/>
      <c r="AE529" s="91"/>
      <c r="AF529" s="91"/>
      <c r="AG529" s="69"/>
      <c r="AH529" s="69"/>
      <c r="AI529" s="69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7"/>
      <c r="P530" s="4"/>
      <c r="Q530" s="7"/>
      <c r="R530" s="3"/>
      <c r="S530" s="3"/>
      <c r="T530" s="4"/>
      <c r="U530" s="4"/>
      <c r="V530" s="5"/>
      <c r="W530" s="4"/>
      <c r="X530" s="5"/>
      <c r="Y530" s="4"/>
      <c r="Z530" s="4"/>
      <c r="AA530" s="4"/>
      <c r="AB530" s="4"/>
      <c r="AC530" s="69"/>
      <c r="AD530" s="69"/>
      <c r="AE530" s="91"/>
      <c r="AF530" s="91"/>
      <c r="AG530" s="69"/>
      <c r="AH530" s="69"/>
      <c r="AI530" s="69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7"/>
      <c r="P531" s="4"/>
      <c r="Q531" s="7"/>
      <c r="R531" s="3"/>
      <c r="S531" s="3"/>
      <c r="T531" s="4"/>
      <c r="U531" s="4"/>
      <c r="V531" s="5"/>
      <c r="W531" s="4"/>
      <c r="X531" s="5"/>
      <c r="Y531" s="4"/>
      <c r="Z531" s="4"/>
      <c r="AA531" s="4"/>
      <c r="AB531" s="4"/>
      <c r="AC531" s="69"/>
      <c r="AD531" s="69"/>
      <c r="AE531" s="91"/>
      <c r="AF531" s="91"/>
      <c r="AG531" s="69"/>
      <c r="AH531" s="69"/>
      <c r="AI531" s="69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7"/>
      <c r="P532" s="4"/>
      <c r="Q532" s="7"/>
      <c r="R532" s="3"/>
      <c r="S532" s="3"/>
      <c r="T532" s="4"/>
      <c r="U532" s="4"/>
      <c r="V532" s="5"/>
      <c r="W532" s="4"/>
      <c r="X532" s="5"/>
      <c r="Y532" s="4"/>
      <c r="Z532" s="4"/>
      <c r="AA532" s="4"/>
      <c r="AB532" s="4"/>
      <c r="AC532" s="69"/>
      <c r="AD532" s="69"/>
      <c r="AE532" s="91"/>
      <c r="AF532" s="91"/>
      <c r="AG532" s="69"/>
      <c r="AH532" s="69"/>
      <c r="AI532" s="69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7"/>
      <c r="P533" s="4"/>
      <c r="Q533" s="7"/>
      <c r="R533" s="3"/>
      <c r="S533" s="3"/>
      <c r="T533" s="4"/>
      <c r="U533" s="4"/>
      <c r="V533" s="5"/>
      <c r="W533" s="4"/>
      <c r="X533" s="5"/>
      <c r="Y533" s="4"/>
      <c r="Z533" s="4"/>
      <c r="AA533" s="4"/>
      <c r="AB533" s="4"/>
      <c r="AC533" s="69"/>
      <c r="AD533" s="69"/>
      <c r="AE533" s="91"/>
      <c r="AF533" s="91"/>
      <c r="AG533" s="69"/>
      <c r="AH533" s="69"/>
      <c r="AI533" s="69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7"/>
      <c r="P534" s="4"/>
      <c r="Q534" s="7"/>
      <c r="R534" s="3"/>
      <c r="S534" s="3"/>
      <c r="T534" s="4"/>
      <c r="U534" s="4"/>
      <c r="V534" s="5"/>
      <c r="W534" s="4"/>
      <c r="X534" s="5"/>
      <c r="Y534" s="4"/>
      <c r="Z534" s="4"/>
      <c r="AA534" s="4"/>
      <c r="AB534" s="4"/>
      <c r="AC534" s="69"/>
      <c r="AD534" s="69"/>
      <c r="AE534" s="91"/>
      <c r="AF534" s="91"/>
      <c r="AG534" s="69"/>
      <c r="AH534" s="69"/>
      <c r="AI534" s="69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7"/>
      <c r="P535" s="4"/>
      <c r="Q535" s="7"/>
      <c r="R535" s="3"/>
      <c r="S535" s="3"/>
      <c r="T535" s="4"/>
      <c r="U535" s="4"/>
      <c r="V535" s="5"/>
      <c r="W535" s="4"/>
      <c r="X535" s="5"/>
      <c r="Y535" s="4"/>
      <c r="Z535" s="4"/>
      <c r="AA535" s="4"/>
      <c r="AB535" s="4"/>
      <c r="AC535" s="69"/>
      <c r="AD535" s="69"/>
      <c r="AE535" s="91"/>
      <c r="AF535" s="91"/>
      <c r="AG535" s="69"/>
      <c r="AH535" s="69"/>
      <c r="AI535" s="69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7"/>
      <c r="P536" s="4"/>
      <c r="Q536" s="7"/>
      <c r="R536" s="3"/>
      <c r="S536" s="3"/>
      <c r="T536" s="4"/>
      <c r="U536" s="4"/>
      <c r="V536" s="5"/>
      <c r="W536" s="4"/>
      <c r="X536" s="5"/>
      <c r="Y536" s="4"/>
      <c r="Z536" s="4"/>
      <c r="AA536" s="4"/>
      <c r="AB536" s="4"/>
      <c r="AC536" s="69"/>
      <c r="AD536" s="69"/>
      <c r="AE536" s="91"/>
      <c r="AF536" s="91"/>
      <c r="AG536" s="69"/>
      <c r="AH536" s="69"/>
      <c r="AI536" s="69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7"/>
      <c r="P537" s="4"/>
      <c r="Q537" s="7"/>
      <c r="R537" s="3"/>
      <c r="S537" s="3"/>
      <c r="T537" s="4"/>
      <c r="U537" s="4"/>
      <c r="V537" s="5"/>
      <c r="W537" s="4"/>
      <c r="X537" s="5"/>
      <c r="Y537" s="4"/>
      <c r="Z537" s="4"/>
      <c r="AA537" s="4"/>
      <c r="AB537" s="4"/>
      <c r="AC537" s="69"/>
      <c r="AD537" s="69"/>
      <c r="AE537" s="91"/>
      <c r="AF537" s="91"/>
      <c r="AG537" s="69"/>
      <c r="AH537" s="69"/>
      <c r="AI537" s="69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7"/>
      <c r="P538" s="4"/>
      <c r="Q538" s="7"/>
      <c r="R538" s="3"/>
      <c r="S538" s="3"/>
      <c r="T538" s="4"/>
      <c r="U538" s="4"/>
      <c r="V538" s="5"/>
      <c r="W538" s="4"/>
      <c r="X538" s="5"/>
      <c r="Y538" s="4"/>
      <c r="Z538" s="4"/>
      <c r="AA538" s="4"/>
      <c r="AB538" s="4"/>
      <c r="AC538" s="69"/>
      <c r="AD538" s="69"/>
      <c r="AE538" s="91"/>
      <c r="AF538" s="91"/>
      <c r="AG538" s="69"/>
      <c r="AH538" s="69"/>
      <c r="AI538" s="69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7"/>
      <c r="P539" s="4"/>
      <c r="Q539" s="7"/>
      <c r="R539" s="3"/>
      <c r="S539" s="3"/>
      <c r="T539" s="4"/>
      <c r="U539" s="4"/>
      <c r="V539" s="5"/>
      <c r="W539" s="4"/>
      <c r="X539" s="5"/>
      <c r="Y539" s="4"/>
      <c r="Z539" s="4"/>
      <c r="AA539" s="4"/>
      <c r="AB539" s="4"/>
      <c r="AC539" s="69"/>
      <c r="AD539" s="69"/>
      <c r="AE539" s="91"/>
      <c r="AF539" s="91"/>
      <c r="AG539" s="69"/>
      <c r="AH539" s="69"/>
      <c r="AI539" s="69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7"/>
      <c r="P540" s="4"/>
      <c r="Q540" s="7"/>
      <c r="R540" s="3"/>
      <c r="S540" s="3"/>
      <c r="T540" s="4"/>
      <c r="U540" s="4"/>
      <c r="V540" s="5"/>
      <c r="W540" s="4"/>
      <c r="X540" s="5"/>
      <c r="Y540" s="4"/>
      <c r="Z540" s="4"/>
      <c r="AA540" s="4"/>
      <c r="AB540" s="4"/>
      <c r="AC540" s="69"/>
      <c r="AD540" s="69"/>
      <c r="AE540" s="91"/>
      <c r="AF540" s="91"/>
      <c r="AG540" s="69"/>
      <c r="AH540" s="69"/>
      <c r="AI540" s="69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7"/>
      <c r="P541" s="4"/>
      <c r="Q541" s="7"/>
      <c r="R541" s="3"/>
      <c r="S541" s="3"/>
      <c r="T541" s="4"/>
      <c r="U541" s="4"/>
      <c r="V541" s="5"/>
      <c r="W541" s="4"/>
      <c r="X541" s="5"/>
      <c r="Y541" s="4"/>
      <c r="Z541" s="4"/>
      <c r="AA541" s="4"/>
      <c r="AB541" s="4"/>
      <c r="AC541" s="69"/>
      <c r="AD541" s="69"/>
      <c r="AE541" s="91"/>
      <c r="AF541" s="91"/>
      <c r="AG541" s="69"/>
      <c r="AH541" s="69"/>
      <c r="AI541" s="69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7"/>
      <c r="P542" s="4"/>
      <c r="Q542" s="7"/>
      <c r="R542" s="3"/>
      <c r="S542" s="3"/>
      <c r="T542" s="4"/>
      <c r="U542" s="4"/>
      <c r="V542" s="5"/>
      <c r="W542" s="4"/>
      <c r="X542" s="5"/>
      <c r="Y542" s="4"/>
      <c r="Z542" s="4"/>
      <c r="AA542" s="4"/>
      <c r="AB542" s="4"/>
      <c r="AC542" s="69"/>
      <c r="AD542" s="69"/>
      <c r="AE542" s="91"/>
      <c r="AF542" s="91"/>
      <c r="AG542" s="69"/>
      <c r="AH542" s="69"/>
      <c r="AI542" s="69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7"/>
      <c r="P543" s="4"/>
      <c r="Q543" s="7"/>
      <c r="R543" s="3"/>
      <c r="S543" s="3"/>
      <c r="T543" s="4"/>
      <c r="U543" s="4"/>
      <c r="V543" s="5"/>
      <c r="W543" s="4"/>
      <c r="X543" s="5"/>
      <c r="Y543" s="4"/>
      <c r="Z543" s="4"/>
      <c r="AA543" s="4"/>
      <c r="AB543" s="4"/>
      <c r="AC543" s="69"/>
      <c r="AD543" s="69"/>
      <c r="AE543" s="91"/>
      <c r="AF543" s="91"/>
      <c r="AG543" s="69"/>
      <c r="AH543" s="69"/>
      <c r="AI543" s="69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7"/>
      <c r="P544" s="4"/>
      <c r="Q544" s="7"/>
      <c r="R544" s="3"/>
      <c r="S544" s="3"/>
      <c r="T544" s="4"/>
      <c r="U544" s="4"/>
      <c r="V544" s="5"/>
      <c r="W544" s="4"/>
      <c r="X544" s="5"/>
      <c r="Y544" s="4"/>
      <c r="Z544" s="4"/>
      <c r="AA544" s="4"/>
      <c r="AB544" s="4"/>
      <c r="AC544" s="69"/>
      <c r="AD544" s="69"/>
      <c r="AE544" s="91"/>
      <c r="AF544" s="91"/>
      <c r="AG544" s="69"/>
      <c r="AH544" s="69"/>
      <c r="AI544" s="69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7"/>
      <c r="P545" s="4"/>
      <c r="Q545" s="7"/>
      <c r="R545" s="3"/>
      <c r="S545" s="3"/>
      <c r="T545" s="4"/>
      <c r="U545" s="4"/>
      <c r="V545" s="5"/>
      <c r="W545" s="4"/>
      <c r="X545" s="5"/>
      <c r="Y545" s="4"/>
      <c r="Z545" s="4"/>
      <c r="AA545" s="4"/>
      <c r="AB545" s="4"/>
      <c r="AC545" s="69"/>
      <c r="AD545" s="69"/>
      <c r="AE545" s="91"/>
      <c r="AF545" s="91"/>
      <c r="AG545" s="69"/>
      <c r="AH545" s="69"/>
      <c r="AI545" s="69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7"/>
      <c r="P546" s="4"/>
      <c r="Q546" s="7"/>
      <c r="R546" s="3"/>
      <c r="S546" s="3"/>
      <c r="T546" s="4"/>
      <c r="U546" s="4"/>
      <c r="V546" s="5"/>
      <c r="W546" s="4"/>
      <c r="X546" s="5"/>
      <c r="Y546" s="4"/>
      <c r="Z546" s="4"/>
      <c r="AA546" s="4"/>
      <c r="AB546" s="4"/>
      <c r="AC546" s="69"/>
      <c r="AD546" s="69"/>
      <c r="AE546" s="91"/>
      <c r="AF546" s="91"/>
      <c r="AG546" s="69"/>
      <c r="AH546" s="69"/>
      <c r="AI546" s="69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7"/>
      <c r="P547" s="4"/>
      <c r="Q547" s="7"/>
      <c r="R547" s="3"/>
      <c r="S547" s="3"/>
      <c r="T547" s="4"/>
      <c r="U547" s="4"/>
      <c r="V547" s="5"/>
      <c r="W547" s="4"/>
      <c r="X547" s="5"/>
      <c r="Y547" s="4"/>
      <c r="Z547" s="4"/>
      <c r="AA547" s="4"/>
      <c r="AB547" s="4"/>
      <c r="AC547" s="69"/>
      <c r="AD547" s="69"/>
      <c r="AE547" s="91"/>
      <c r="AF547" s="91"/>
      <c r="AG547" s="69"/>
      <c r="AH547" s="69"/>
      <c r="AI547" s="69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7"/>
      <c r="P548" s="4"/>
      <c r="Q548" s="7"/>
      <c r="R548" s="3"/>
      <c r="S548" s="3"/>
      <c r="T548" s="4"/>
      <c r="U548" s="4"/>
      <c r="V548" s="5"/>
      <c r="W548" s="4"/>
      <c r="X548" s="5"/>
      <c r="Y548" s="4"/>
      <c r="Z548" s="4"/>
      <c r="AA548" s="4"/>
      <c r="AB548" s="4"/>
      <c r="AC548" s="69"/>
      <c r="AD548" s="69"/>
      <c r="AE548" s="91"/>
      <c r="AF548" s="91"/>
      <c r="AG548" s="69"/>
      <c r="AH548" s="69"/>
      <c r="AI548" s="69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7"/>
      <c r="P549" s="4"/>
      <c r="Q549" s="7"/>
      <c r="R549" s="3"/>
      <c r="S549" s="3"/>
      <c r="T549" s="4"/>
      <c r="U549" s="4"/>
      <c r="V549" s="5"/>
      <c r="W549" s="4"/>
      <c r="X549" s="5"/>
      <c r="Y549" s="4"/>
      <c r="Z549" s="4"/>
      <c r="AA549" s="4"/>
      <c r="AB549" s="4"/>
      <c r="AC549" s="69"/>
      <c r="AD549" s="69"/>
      <c r="AE549" s="91"/>
      <c r="AF549" s="91"/>
      <c r="AG549" s="69"/>
      <c r="AH549" s="69"/>
      <c r="AI549" s="69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7"/>
      <c r="P550" s="4"/>
      <c r="Q550" s="7"/>
      <c r="R550" s="3"/>
      <c r="S550" s="3"/>
      <c r="T550" s="4"/>
      <c r="U550" s="4"/>
      <c r="V550" s="5"/>
      <c r="W550" s="4"/>
      <c r="X550" s="5"/>
      <c r="Y550" s="4"/>
      <c r="Z550" s="4"/>
      <c r="AA550" s="4"/>
      <c r="AB550" s="4"/>
      <c r="AC550" s="69"/>
      <c r="AD550" s="69"/>
      <c r="AE550" s="91"/>
      <c r="AF550" s="91"/>
      <c r="AG550" s="69"/>
      <c r="AH550" s="69"/>
      <c r="AI550" s="69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7"/>
      <c r="P551" s="4"/>
      <c r="Q551" s="7"/>
      <c r="R551" s="3"/>
      <c r="S551" s="3"/>
      <c r="T551" s="4"/>
      <c r="U551" s="4"/>
      <c r="V551" s="5"/>
      <c r="W551" s="4"/>
      <c r="X551" s="5"/>
      <c r="Y551" s="4"/>
      <c r="Z551" s="4"/>
      <c r="AA551" s="4"/>
      <c r="AB551" s="4"/>
      <c r="AC551" s="69"/>
      <c r="AD551" s="69"/>
      <c r="AE551" s="91"/>
      <c r="AF551" s="91"/>
      <c r="AG551" s="69"/>
      <c r="AH551" s="69"/>
      <c r="AI551" s="69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7"/>
      <c r="P552" s="4"/>
      <c r="Q552" s="7"/>
      <c r="R552" s="3"/>
      <c r="S552" s="3"/>
      <c r="T552" s="4"/>
      <c r="U552" s="4"/>
      <c r="V552" s="5"/>
      <c r="W552" s="4"/>
      <c r="X552" s="5"/>
      <c r="Y552" s="4"/>
      <c r="Z552" s="4"/>
      <c r="AA552" s="4"/>
      <c r="AB552" s="4"/>
      <c r="AC552" s="69"/>
      <c r="AD552" s="69"/>
      <c r="AE552" s="91"/>
      <c r="AF552" s="91"/>
      <c r="AG552" s="69"/>
      <c r="AH552" s="69"/>
      <c r="AI552" s="69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7"/>
      <c r="P553" s="4"/>
      <c r="Q553" s="7"/>
      <c r="R553" s="3"/>
      <c r="S553" s="3"/>
      <c r="T553" s="4"/>
      <c r="U553" s="4"/>
      <c r="V553" s="5"/>
      <c r="W553" s="4"/>
      <c r="X553" s="5"/>
      <c r="Y553" s="4"/>
      <c r="Z553" s="4"/>
      <c r="AA553" s="4"/>
      <c r="AB553" s="4"/>
      <c r="AC553" s="69"/>
      <c r="AD553" s="69"/>
      <c r="AE553" s="91"/>
      <c r="AF553" s="91"/>
      <c r="AG553" s="69"/>
      <c r="AH553" s="69"/>
      <c r="AI553" s="69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7"/>
      <c r="P554" s="4"/>
      <c r="Q554" s="7"/>
      <c r="R554" s="3"/>
      <c r="S554" s="3"/>
      <c r="T554" s="4"/>
      <c r="U554" s="4"/>
      <c r="V554" s="5"/>
      <c r="W554" s="4"/>
      <c r="X554" s="5"/>
      <c r="Y554" s="4"/>
      <c r="Z554" s="4"/>
      <c r="AA554" s="4"/>
      <c r="AB554" s="4"/>
      <c r="AC554" s="69"/>
      <c r="AD554" s="69"/>
      <c r="AE554" s="91"/>
      <c r="AF554" s="91"/>
      <c r="AG554" s="69"/>
      <c r="AH554" s="69"/>
      <c r="AI554" s="69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7"/>
      <c r="P555" s="4"/>
      <c r="Q555" s="7"/>
      <c r="R555" s="3"/>
      <c r="S555" s="3"/>
      <c r="T555" s="4"/>
      <c r="U555" s="4"/>
      <c r="V555" s="5"/>
      <c r="W555" s="4"/>
      <c r="X555" s="5"/>
      <c r="Y555" s="4"/>
      <c r="Z555" s="4"/>
      <c r="AA555" s="4"/>
      <c r="AB555" s="4"/>
      <c r="AC555" s="69"/>
      <c r="AD555" s="69"/>
      <c r="AE555" s="91"/>
      <c r="AF555" s="91"/>
      <c r="AG555" s="69"/>
      <c r="AH555" s="69"/>
      <c r="AI555" s="69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7"/>
      <c r="P556" s="4"/>
      <c r="Q556" s="7"/>
      <c r="R556" s="3"/>
      <c r="S556" s="3"/>
      <c r="T556" s="4"/>
      <c r="U556" s="4"/>
      <c r="V556" s="5"/>
      <c r="W556" s="4"/>
      <c r="X556" s="5"/>
      <c r="Y556" s="4"/>
      <c r="Z556" s="4"/>
      <c r="AA556" s="4"/>
      <c r="AB556" s="4"/>
      <c r="AC556" s="69"/>
      <c r="AD556" s="69"/>
      <c r="AE556" s="91"/>
      <c r="AF556" s="91"/>
      <c r="AG556" s="69"/>
      <c r="AH556" s="69"/>
      <c r="AI556" s="69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7"/>
      <c r="P557" s="4"/>
      <c r="Q557" s="7"/>
      <c r="R557" s="3"/>
      <c r="S557" s="3"/>
      <c r="T557" s="4"/>
      <c r="U557" s="4"/>
      <c r="V557" s="5"/>
      <c r="W557" s="4"/>
      <c r="X557" s="5"/>
      <c r="Y557" s="4"/>
      <c r="Z557" s="4"/>
      <c r="AA557" s="4"/>
      <c r="AB557" s="4"/>
      <c r="AC557" s="69"/>
      <c r="AD557" s="69"/>
      <c r="AE557" s="91"/>
      <c r="AF557" s="91"/>
      <c r="AG557" s="69"/>
      <c r="AH557" s="69"/>
      <c r="AI557" s="69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7"/>
      <c r="P558" s="4"/>
      <c r="Q558" s="7"/>
      <c r="R558" s="3"/>
      <c r="S558" s="3"/>
      <c r="T558" s="4"/>
      <c r="U558" s="4"/>
      <c r="V558" s="5"/>
      <c r="W558" s="4"/>
      <c r="X558" s="5"/>
      <c r="Y558" s="4"/>
      <c r="Z558" s="4"/>
      <c r="AA558" s="4"/>
      <c r="AB558" s="4"/>
      <c r="AC558" s="69"/>
      <c r="AD558" s="69"/>
      <c r="AE558" s="91"/>
      <c r="AF558" s="91"/>
      <c r="AG558" s="69"/>
      <c r="AH558" s="69"/>
      <c r="AI558" s="69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7"/>
      <c r="P559" s="4"/>
      <c r="Q559" s="7"/>
      <c r="R559" s="3"/>
      <c r="S559" s="3"/>
      <c r="T559" s="4"/>
      <c r="U559" s="4"/>
      <c r="V559" s="5"/>
      <c r="W559" s="4"/>
      <c r="X559" s="5"/>
      <c r="Y559" s="4"/>
      <c r="Z559" s="4"/>
      <c r="AA559" s="4"/>
      <c r="AB559" s="4"/>
      <c r="AC559" s="69"/>
      <c r="AD559" s="69"/>
      <c r="AE559" s="91"/>
      <c r="AF559" s="91"/>
      <c r="AG559" s="69"/>
      <c r="AH559" s="69"/>
      <c r="AI559" s="69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7"/>
      <c r="P560" s="4"/>
      <c r="Q560" s="7"/>
      <c r="R560" s="3"/>
      <c r="S560" s="3"/>
      <c r="T560" s="4"/>
      <c r="U560" s="4"/>
      <c r="V560" s="5"/>
      <c r="W560" s="4"/>
      <c r="X560" s="5"/>
      <c r="Y560" s="4"/>
      <c r="Z560" s="4"/>
      <c r="AA560" s="4"/>
      <c r="AB560" s="4"/>
      <c r="AC560" s="69"/>
      <c r="AD560" s="69"/>
      <c r="AE560" s="91"/>
      <c r="AF560" s="91"/>
      <c r="AG560" s="69"/>
      <c r="AH560" s="69"/>
      <c r="AI560" s="69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7"/>
      <c r="P561" s="4"/>
      <c r="Q561" s="7"/>
      <c r="R561" s="3"/>
      <c r="S561" s="3"/>
      <c r="T561" s="4"/>
      <c r="U561" s="4"/>
      <c r="V561" s="5"/>
      <c r="W561" s="4"/>
      <c r="X561" s="5"/>
      <c r="Y561" s="4"/>
      <c r="Z561" s="4"/>
      <c r="AA561" s="4"/>
      <c r="AB561" s="4"/>
      <c r="AC561" s="69"/>
      <c r="AD561" s="69"/>
      <c r="AE561" s="91"/>
      <c r="AF561" s="91"/>
      <c r="AG561" s="69"/>
      <c r="AH561" s="69"/>
      <c r="AI561" s="69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7"/>
      <c r="P562" s="4"/>
      <c r="Q562" s="7"/>
      <c r="R562" s="3"/>
      <c r="S562" s="3"/>
      <c r="T562" s="4"/>
      <c r="U562" s="4"/>
      <c r="V562" s="5"/>
      <c r="W562" s="4"/>
      <c r="X562" s="5"/>
      <c r="Y562" s="4"/>
      <c r="Z562" s="4"/>
      <c r="AA562" s="4"/>
      <c r="AB562" s="4"/>
      <c r="AC562" s="69"/>
      <c r="AD562" s="69"/>
      <c r="AE562" s="91"/>
      <c r="AF562" s="91"/>
      <c r="AG562" s="69"/>
      <c r="AH562" s="69"/>
      <c r="AI562" s="69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7"/>
      <c r="P563" s="4"/>
      <c r="Q563" s="7"/>
      <c r="R563" s="3"/>
      <c r="S563" s="3"/>
      <c r="T563" s="4"/>
      <c r="U563" s="4"/>
      <c r="V563" s="5"/>
      <c r="W563" s="4"/>
      <c r="X563" s="5"/>
      <c r="Y563" s="4"/>
      <c r="Z563" s="4"/>
      <c r="AA563" s="4"/>
      <c r="AB563" s="4"/>
      <c r="AC563" s="69"/>
      <c r="AD563" s="69"/>
      <c r="AE563" s="91"/>
      <c r="AF563" s="91"/>
      <c r="AG563" s="69"/>
      <c r="AH563" s="69"/>
      <c r="AI563" s="69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7"/>
      <c r="P564" s="4"/>
      <c r="Q564" s="7"/>
      <c r="R564" s="3"/>
      <c r="S564" s="3"/>
      <c r="T564" s="4"/>
      <c r="U564" s="4"/>
      <c r="V564" s="5"/>
      <c r="W564" s="4"/>
      <c r="X564" s="5"/>
      <c r="Y564" s="4"/>
      <c r="Z564" s="4"/>
      <c r="AA564" s="4"/>
      <c r="AB564" s="4"/>
      <c r="AC564" s="69"/>
      <c r="AD564" s="69"/>
      <c r="AE564" s="91"/>
      <c r="AF564" s="91"/>
      <c r="AG564" s="69"/>
      <c r="AH564" s="69"/>
      <c r="AI564" s="69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7"/>
      <c r="P565" s="4"/>
      <c r="Q565" s="7"/>
      <c r="R565" s="3"/>
      <c r="S565" s="3"/>
      <c r="T565" s="4"/>
      <c r="U565" s="4"/>
      <c r="V565" s="5"/>
      <c r="W565" s="4"/>
      <c r="X565" s="5"/>
      <c r="Y565" s="4"/>
      <c r="Z565" s="4"/>
      <c r="AA565" s="4"/>
      <c r="AB565" s="4"/>
      <c r="AC565" s="69"/>
      <c r="AD565" s="69"/>
      <c r="AE565" s="91"/>
      <c r="AF565" s="91"/>
      <c r="AG565" s="69"/>
      <c r="AH565" s="69"/>
      <c r="AI565" s="69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7"/>
      <c r="P566" s="4"/>
      <c r="Q566" s="7"/>
      <c r="R566" s="3"/>
      <c r="S566" s="3"/>
      <c r="T566" s="4"/>
      <c r="U566" s="4"/>
      <c r="V566" s="5"/>
      <c r="W566" s="4"/>
      <c r="X566" s="5"/>
      <c r="Y566" s="4"/>
      <c r="Z566" s="4"/>
      <c r="AA566" s="4"/>
      <c r="AB566" s="4"/>
      <c r="AC566" s="69"/>
      <c r="AD566" s="69"/>
      <c r="AE566" s="91"/>
      <c r="AF566" s="91"/>
      <c r="AG566" s="69"/>
      <c r="AH566" s="69"/>
      <c r="AI566" s="69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7"/>
      <c r="P567" s="4"/>
      <c r="Q567" s="7"/>
      <c r="R567" s="3"/>
      <c r="S567" s="3"/>
      <c r="T567" s="4"/>
      <c r="U567" s="4"/>
      <c r="V567" s="5"/>
      <c r="W567" s="4"/>
      <c r="X567" s="5"/>
      <c r="Y567" s="4"/>
      <c r="Z567" s="4"/>
      <c r="AA567" s="4"/>
      <c r="AB567" s="4"/>
      <c r="AC567" s="69"/>
      <c r="AD567" s="69"/>
      <c r="AE567" s="91"/>
      <c r="AF567" s="91"/>
      <c r="AG567" s="69"/>
      <c r="AH567" s="69"/>
      <c r="AI567" s="69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7"/>
      <c r="P568" s="4"/>
      <c r="Q568" s="7"/>
      <c r="R568" s="3"/>
      <c r="S568" s="3"/>
      <c r="T568" s="4"/>
      <c r="U568" s="4"/>
      <c r="V568" s="5"/>
      <c r="W568" s="4"/>
      <c r="X568" s="5"/>
      <c r="Y568" s="4"/>
      <c r="Z568" s="4"/>
      <c r="AA568" s="4"/>
      <c r="AB568" s="4"/>
      <c r="AC568" s="69"/>
      <c r="AD568" s="69"/>
      <c r="AE568" s="91"/>
      <c r="AF568" s="91"/>
      <c r="AG568" s="69"/>
      <c r="AH568" s="69"/>
      <c r="AI568" s="69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7"/>
      <c r="P569" s="4"/>
      <c r="Q569" s="7"/>
      <c r="R569" s="3"/>
      <c r="S569" s="3"/>
      <c r="T569" s="4"/>
      <c r="U569" s="4"/>
      <c r="V569" s="5"/>
      <c r="W569" s="4"/>
      <c r="X569" s="5"/>
      <c r="Y569" s="4"/>
      <c r="Z569" s="4"/>
      <c r="AA569" s="4"/>
      <c r="AB569" s="4"/>
      <c r="AC569" s="69"/>
      <c r="AD569" s="69"/>
      <c r="AE569" s="91"/>
      <c r="AF569" s="91"/>
      <c r="AG569" s="69"/>
      <c r="AH569" s="69"/>
      <c r="AI569" s="69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7"/>
      <c r="P570" s="4"/>
      <c r="Q570" s="7"/>
      <c r="R570" s="3"/>
      <c r="S570" s="3"/>
      <c r="T570" s="4"/>
      <c r="U570" s="4"/>
      <c r="V570" s="5"/>
      <c r="W570" s="4"/>
      <c r="X570" s="5"/>
      <c r="Y570" s="4"/>
      <c r="Z570" s="4"/>
      <c r="AA570" s="4"/>
      <c r="AB570" s="4"/>
      <c r="AC570" s="69"/>
      <c r="AD570" s="69"/>
      <c r="AE570" s="91"/>
      <c r="AF570" s="91"/>
      <c r="AG570" s="69"/>
      <c r="AH570" s="69"/>
      <c r="AI570" s="69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7"/>
      <c r="P571" s="4"/>
      <c r="Q571" s="7"/>
      <c r="R571" s="3"/>
      <c r="S571" s="3"/>
      <c r="T571" s="4"/>
      <c r="U571" s="4"/>
      <c r="V571" s="5"/>
      <c r="W571" s="4"/>
      <c r="X571" s="5"/>
      <c r="Y571" s="4"/>
      <c r="Z571" s="4"/>
      <c r="AA571" s="4"/>
      <c r="AB571" s="4"/>
      <c r="AC571" s="69"/>
      <c r="AD571" s="69"/>
      <c r="AE571" s="91"/>
      <c r="AF571" s="91"/>
      <c r="AG571" s="69"/>
      <c r="AH571" s="69"/>
      <c r="AI571" s="69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7"/>
      <c r="P572" s="4"/>
      <c r="Q572" s="7"/>
      <c r="R572" s="3"/>
      <c r="S572" s="3"/>
      <c r="T572" s="4"/>
      <c r="U572" s="4"/>
      <c r="V572" s="5"/>
      <c r="W572" s="4"/>
      <c r="X572" s="5"/>
      <c r="Y572" s="4"/>
      <c r="Z572" s="4"/>
      <c r="AA572" s="4"/>
      <c r="AB572" s="4"/>
      <c r="AC572" s="69"/>
      <c r="AD572" s="69"/>
      <c r="AE572" s="91"/>
      <c r="AF572" s="91"/>
      <c r="AG572" s="69"/>
      <c r="AH572" s="69"/>
      <c r="AI572" s="69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7"/>
      <c r="P573" s="4"/>
      <c r="Q573" s="7"/>
      <c r="R573" s="3"/>
      <c r="S573" s="3"/>
      <c r="T573" s="4"/>
      <c r="U573" s="4"/>
      <c r="V573" s="5"/>
      <c r="W573" s="4"/>
      <c r="X573" s="5"/>
      <c r="Y573" s="4"/>
      <c r="Z573" s="4"/>
      <c r="AA573" s="4"/>
      <c r="AB573" s="4"/>
      <c r="AC573" s="69"/>
      <c r="AD573" s="69"/>
      <c r="AE573" s="91"/>
      <c r="AF573" s="91"/>
      <c r="AG573" s="69"/>
      <c r="AH573" s="69"/>
      <c r="AI573" s="69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7"/>
      <c r="P574" s="4"/>
      <c r="Q574" s="7"/>
      <c r="R574" s="3"/>
      <c r="S574" s="3"/>
      <c r="T574" s="4"/>
      <c r="U574" s="4"/>
      <c r="V574" s="5"/>
      <c r="W574" s="4"/>
      <c r="X574" s="5"/>
      <c r="Y574" s="4"/>
      <c r="Z574" s="4"/>
      <c r="AA574" s="4"/>
      <c r="AB574" s="4"/>
      <c r="AC574" s="69"/>
      <c r="AD574" s="69"/>
      <c r="AE574" s="91"/>
      <c r="AF574" s="91"/>
      <c r="AG574" s="69"/>
      <c r="AH574" s="69"/>
      <c r="AI574" s="69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7"/>
      <c r="P575" s="4"/>
      <c r="Q575" s="7"/>
      <c r="R575" s="3"/>
      <c r="S575" s="3"/>
      <c r="T575" s="4"/>
      <c r="U575" s="4"/>
      <c r="V575" s="5"/>
      <c r="W575" s="4"/>
      <c r="X575" s="5"/>
      <c r="Y575" s="4"/>
      <c r="Z575" s="4"/>
      <c r="AA575" s="4"/>
      <c r="AB575" s="4"/>
      <c r="AC575" s="69"/>
      <c r="AD575" s="69"/>
      <c r="AE575" s="91"/>
      <c r="AF575" s="91"/>
      <c r="AG575" s="69"/>
      <c r="AH575" s="69"/>
      <c r="AI575" s="69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7"/>
      <c r="P576" s="4"/>
      <c r="Q576" s="7"/>
      <c r="R576" s="3"/>
      <c r="S576" s="3"/>
      <c r="T576" s="4"/>
      <c r="U576" s="4"/>
      <c r="V576" s="5"/>
      <c r="W576" s="4"/>
      <c r="X576" s="5"/>
      <c r="Y576" s="4"/>
      <c r="Z576" s="4"/>
      <c r="AA576" s="4"/>
      <c r="AB576" s="4"/>
      <c r="AC576" s="69"/>
      <c r="AD576" s="69"/>
      <c r="AE576" s="91"/>
      <c r="AF576" s="91"/>
      <c r="AG576" s="69"/>
      <c r="AH576" s="69"/>
      <c r="AI576" s="69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7"/>
      <c r="P577" s="4"/>
      <c r="Q577" s="7"/>
      <c r="R577" s="3"/>
      <c r="S577" s="3"/>
      <c r="T577" s="4"/>
      <c r="U577" s="4"/>
      <c r="V577" s="5"/>
      <c r="W577" s="4"/>
      <c r="X577" s="5"/>
      <c r="Y577" s="4"/>
      <c r="Z577" s="4"/>
      <c r="AA577" s="4"/>
      <c r="AB577" s="4"/>
      <c r="AC577" s="69"/>
      <c r="AD577" s="69"/>
      <c r="AE577" s="91"/>
      <c r="AF577" s="91"/>
      <c r="AG577" s="69"/>
      <c r="AH577" s="69"/>
      <c r="AI577" s="69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7"/>
      <c r="P578" s="4"/>
      <c r="Q578" s="7"/>
      <c r="R578" s="3"/>
      <c r="S578" s="3"/>
      <c r="T578" s="4"/>
      <c r="U578" s="4"/>
      <c r="V578" s="5"/>
      <c r="W578" s="4"/>
      <c r="X578" s="5"/>
      <c r="Y578" s="4"/>
      <c r="Z578" s="4"/>
      <c r="AA578" s="4"/>
      <c r="AB578" s="4"/>
      <c r="AC578" s="69"/>
      <c r="AD578" s="69"/>
      <c r="AE578" s="91"/>
      <c r="AF578" s="91"/>
      <c r="AG578" s="69"/>
      <c r="AH578" s="69"/>
      <c r="AI578" s="69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7"/>
      <c r="P579" s="4"/>
      <c r="Q579" s="7"/>
      <c r="R579" s="3"/>
      <c r="S579" s="3"/>
      <c r="T579" s="4"/>
      <c r="U579" s="4"/>
      <c r="V579" s="5"/>
      <c r="W579" s="4"/>
      <c r="X579" s="5"/>
      <c r="Y579" s="4"/>
      <c r="Z579" s="4"/>
      <c r="AA579" s="4"/>
      <c r="AB579" s="4"/>
      <c r="AC579" s="69"/>
      <c r="AD579" s="69"/>
      <c r="AE579" s="91"/>
      <c r="AF579" s="91"/>
      <c r="AG579" s="69"/>
      <c r="AH579" s="69"/>
      <c r="AI579" s="69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7"/>
      <c r="P580" s="4"/>
      <c r="Q580" s="7"/>
      <c r="R580" s="3"/>
      <c r="S580" s="3"/>
      <c r="T580" s="4"/>
      <c r="U580" s="4"/>
      <c r="V580" s="5"/>
      <c r="W580" s="4"/>
      <c r="X580" s="5"/>
      <c r="Y580" s="4"/>
      <c r="Z580" s="4"/>
      <c r="AA580" s="4"/>
      <c r="AB580" s="4"/>
      <c r="AC580" s="69"/>
      <c r="AD580" s="69"/>
      <c r="AE580" s="91"/>
      <c r="AF580" s="91"/>
      <c r="AG580" s="69"/>
      <c r="AH580" s="69"/>
      <c r="AI580" s="69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7"/>
      <c r="P581" s="4"/>
      <c r="Q581" s="7"/>
      <c r="R581" s="3"/>
      <c r="S581" s="3"/>
      <c r="T581" s="4"/>
      <c r="U581" s="4"/>
      <c r="V581" s="5"/>
      <c r="W581" s="4"/>
      <c r="X581" s="5"/>
      <c r="Y581" s="4"/>
      <c r="Z581" s="4"/>
      <c r="AA581" s="4"/>
      <c r="AB581" s="4"/>
      <c r="AC581" s="69"/>
      <c r="AD581" s="69"/>
      <c r="AE581" s="91"/>
      <c r="AF581" s="91"/>
      <c r="AG581" s="69"/>
      <c r="AH581" s="69"/>
      <c r="AI581" s="69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7"/>
      <c r="P582" s="4"/>
      <c r="Q582" s="7"/>
      <c r="R582" s="3"/>
      <c r="S582" s="3"/>
      <c r="T582" s="4"/>
      <c r="U582" s="4"/>
      <c r="V582" s="5"/>
      <c r="W582" s="4"/>
      <c r="X582" s="5"/>
      <c r="Y582" s="4"/>
      <c r="Z582" s="4"/>
      <c r="AA582" s="4"/>
      <c r="AB582" s="4"/>
      <c r="AC582" s="69"/>
      <c r="AD582" s="69"/>
      <c r="AE582" s="91"/>
      <c r="AF582" s="91"/>
      <c r="AG582" s="69"/>
      <c r="AH582" s="69"/>
      <c r="AI582" s="69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7"/>
      <c r="P583" s="4"/>
      <c r="Q583" s="7"/>
      <c r="R583" s="3"/>
      <c r="S583" s="3"/>
      <c r="T583" s="4"/>
      <c r="U583" s="4"/>
      <c r="V583" s="5"/>
      <c r="W583" s="4"/>
      <c r="X583" s="5"/>
      <c r="Y583" s="4"/>
      <c r="Z583" s="4"/>
      <c r="AA583" s="4"/>
      <c r="AB583" s="4"/>
      <c r="AC583" s="69"/>
      <c r="AD583" s="69"/>
      <c r="AE583" s="91"/>
      <c r="AF583" s="91"/>
      <c r="AG583" s="69"/>
      <c r="AH583" s="69"/>
      <c r="AI583" s="69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7"/>
      <c r="P584" s="4"/>
      <c r="Q584" s="7"/>
      <c r="R584" s="3"/>
      <c r="S584" s="3"/>
      <c r="T584" s="4"/>
      <c r="U584" s="4"/>
      <c r="V584" s="5"/>
      <c r="W584" s="4"/>
      <c r="X584" s="5"/>
      <c r="Y584" s="4"/>
      <c r="Z584" s="4"/>
      <c r="AA584" s="4"/>
      <c r="AB584" s="4"/>
      <c r="AC584" s="69"/>
      <c r="AD584" s="69"/>
      <c r="AE584" s="91"/>
      <c r="AF584" s="91"/>
      <c r="AG584" s="69"/>
      <c r="AH584" s="69"/>
      <c r="AI584" s="69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7"/>
      <c r="P585" s="4"/>
      <c r="Q585" s="7"/>
      <c r="R585" s="3"/>
      <c r="S585" s="3"/>
      <c r="T585" s="4"/>
      <c r="U585" s="4"/>
      <c r="V585" s="5"/>
      <c r="W585" s="4"/>
      <c r="X585" s="5"/>
      <c r="Y585" s="4"/>
      <c r="Z585" s="4"/>
      <c r="AA585" s="4"/>
      <c r="AB585" s="4"/>
      <c r="AC585" s="69"/>
      <c r="AD585" s="69"/>
      <c r="AE585" s="91"/>
      <c r="AF585" s="91"/>
      <c r="AG585" s="69"/>
      <c r="AH585" s="69"/>
      <c r="AI585" s="69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7"/>
      <c r="P586" s="4"/>
      <c r="Q586" s="7"/>
      <c r="R586" s="3"/>
      <c r="S586" s="3"/>
      <c r="T586" s="4"/>
      <c r="U586" s="4"/>
      <c r="V586" s="5"/>
      <c r="W586" s="4"/>
      <c r="X586" s="5"/>
      <c r="Y586" s="4"/>
      <c r="Z586" s="4"/>
      <c r="AA586" s="4"/>
      <c r="AB586" s="4"/>
      <c r="AC586" s="69"/>
      <c r="AD586" s="69"/>
      <c r="AE586" s="91"/>
      <c r="AF586" s="91"/>
      <c r="AG586" s="69"/>
      <c r="AH586" s="69"/>
      <c r="AI586" s="69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7"/>
      <c r="P587" s="4"/>
      <c r="Q587" s="7"/>
      <c r="R587" s="3"/>
      <c r="S587" s="3"/>
      <c r="T587" s="4"/>
      <c r="U587" s="4"/>
      <c r="V587" s="5"/>
      <c r="W587" s="4"/>
      <c r="X587" s="5"/>
      <c r="Y587" s="4"/>
      <c r="Z587" s="4"/>
      <c r="AA587" s="4"/>
      <c r="AB587" s="4"/>
      <c r="AC587" s="69"/>
      <c r="AD587" s="69"/>
      <c r="AE587" s="91"/>
      <c r="AF587" s="91"/>
      <c r="AG587" s="69"/>
      <c r="AH587" s="69"/>
      <c r="AI587" s="69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7"/>
      <c r="P588" s="4"/>
      <c r="Q588" s="7"/>
      <c r="R588" s="3"/>
      <c r="S588" s="3"/>
      <c r="T588" s="4"/>
      <c r="U588" s="4"/>
      <c r="V588" s="5"/>
      <c r="W588" s="4"/>
      <c r="X588" s="5"/>
      <c r="Y588" s="4"/>
      <c r="Z588" s="4"/>
      <c r="AA588" s="4"/>
      <c r="AB588" s="4"/>
      <c r="AC588" s="69"/>
      <c r="AD588" s="69"/>
      <c r="AE588" s="91"/>
      <c r="AF588" s="91"/>
      <c r="AG588" s="69"/>
      <c r="AH588" s="69"/>
      <c r="AI588" s="69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7"/>
      <c r="P589" s="4"/>
      <c r="Q589" s="7"/>
      <c r="R589" s="3"/>
      <c r="S589" s="3"/>
      <c r="T589" s="4"/>
      <c r="U589" s="4"/>
      <c r="V589" s="5"/>
      <c r="W589" s="4"/>
      <c r="X589" s="5"/>
      <c r="Y589" s="4"/>
      <c r="Z589" s="4"/>
      <c r="AA589" s="4"/>
      <c r="AB589" s="4"/>
      <c r="AC589" s="69"/>
      <c r="AD589" s="69"/>
      <c r="AE589" s="91"/>
      <c r="AF589" s="91"/>
      <c r="AG589" s="69"/>
      <c r="AH589" s="69"/>
      <c r="AI589" s="69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7"/>
      <c r="P590" s="4"/>
      <c r="Q590" s="7"/>
      <c r="R590" s="3"/>
      <c r="S590" s="3"/>
      <c r="T590" s="4"/>
      <c r="U590" s="4"/>
      <c r="V590" s="5"/>
      <c r="W590" s="4"/>
      <c r="X590" s="5"/>
      <c r="Y590" s="4"/>
      <c r="Z590" s="4"/>
      <c r="AA590" s="4"/>
      <c r="AB590" s="4"/>
      <c r="AC590" s="69"/>
      <c r="AD590" s="69"/>
      <c r="AE590" s="91"/>
      <c r="AF590" s="91"/>
      <c r="AG590" s="69"/>
      <c r="AH590" s="69"/>
      <c r="AI590" s="69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7"/>
      <c r="P591" s="4"/>
      <c r="Q591" s="7"/>
      <c r="R591" s="3"/>
      <c r="S591" s="3"/>
      <c r="T591" s="4"/>
      <c r="U591" s="4"/>
      <c r="V591" s="5"/>
      <c r="W591" s="4"/>
      <c r="X591" s="5"/>
      <c r="Y591" s="4"/>
      <c r="Z591" s="4"/>
      <c r="AA591" s="4"/>
      <c r="AB591" s="4"/>
      <c r="AC591" s="69"/>
      <c r="AD591" s="69"/>
      <c r="AE591" s="91"/>
      <c r="AF591" s="91"/>
      <c r="AG591" s="69"/>
      <c r="AH591" s="69"/>
      <c r="AI591" s="69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7"/>
      <c r="P592" s="4"/>
      <c r="Q592" s="7"/>
      <c r="R592" s="3"/>
      <c r="S592" s="3"/>
      <c r="T592" s="4"/>
      <c r="U592" s="4"/>
      <c r="V592" s="5"/>
      <c r="W592" s="4"/>
      <c r="X592" s="5"/>
      <c r="Y592" s="4"/>
      <c r="Z592" s="4"/>
      <c r="AA592" s="4"/>
      <c r="AB592" s="4"/>
      <c r="AC592" s="69"/>
      <c r="AD592" s="69"/>
      <c r="AE592" s="91"/>
      <c r="AF592" s="91"/>
      <c r="AG592" s="69"/>
      <c r="AH592" s="69"/>
      <c r="AI592" s="69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7"/>
      <c r="P593" s="4"/>
      <c r="Q593" s="7"/>
      <c r="R593" s="3"/>
      <c r="S593" s="3"/>
      <c r="T593" s="4"/>
      <c r="U593" s="4"/>
      <c r="V593" s="5"/>
      <c r="W593" s="4"/>
      <c r="X593" s="5"/>
      <c r="Y593" s="4"/>
      <c r="Z593" s="4"/>
      <c r="AA593" s="4"/>
      <c r="AB593" s="4"/>
      <c r="AC593" s="69"/>
      <c r="AD593" s="69"/>
      <c r="AE593" s="91"/>
      <c r="AF593" s="91"/>
      <c r="AG593" s="69"/>
      <c r="AH593" s="69"/>
      <c r="AI593" s="69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7"/>
      <c r="P594" s="4"/>
      <c r="Q594" s="7"/>
      <c r="R594" s="3"/>
      <c r="S594" s="3"/>
      <c r="T594" s="4"/>
      <c r="U594" s="4"/>
      <c r="V594" s="5"/>
      <c r="W594" s="4"/>
      <c r="X594" s="5"/>
      <c r="Y594" s="4"/>
      <c r="Z594" s="4"/>
      <c r="AA594" s="4"/>
      <c r="AB594" s="4"/>
      <c r="AC594" s="69"/>
      <c r="AD594" s="69"/>
      <c r="AE594" s="91"/>
      <c r="AF594" s="91"/>
      <c r="AG594" s="69"/>
      <c r="AH594" s="69"/>
      <c r="AI594" s="69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7"/>
      <c r="P595" s="4"/>
      <c r="Q595" s="7"/>
      <c r="R595" s="3"/>
      <c r="S595" s="3"/>
      <c r="T595" s="4"/>
      <c r="U595" s="4"/>
      <c r="V595" s="5"/>
      <c r="W595" s="4"/>
      <c r="X595" s="5"/>
      <c r="Y595" s="4"/>
      <c r="Z595" s="4"/>
      <c r="AA595" s="4"/>
      <c r="AB595" s="4"/>
      <c r="AC595" s="69"/>
      <c r="AD595" s="69"/>
      <c r="AE595" s="91"/>
      <c r="AF595" s="91"/>
      <c r="AG595" s="69"/>
      <c r="AH595" s="69"/>
      <c r="AI595" s="69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7"/>
      <c r="P596" s="4"/>
      <c r="Q596" s="7"/>
      <c r="R596" s="3"/>
      <c r="S596" s="3"/>
      <c r="T596" s="4"/>
      <c r="U596" s="4"/>
      <c r="V596" s="5"/>
      <c r="W596" s="4"/>
      <c r="X596" s="5"/>
      <c r="Y596" s="4"/>
      <c r="Z596" s="4"/>
      <c r="AA596" s="4"/>
      <c r="AB596" s="4"/>
      <c r="AC596" s="69"/>
      <c r="AD596" s="69"/>
      <c r="AE596" s="91"/>
      <c r="AF596" s="91"/>
      <c r="AG596" s="69"/>
      <c r="AH596" s="69"/>
      <c r="AI596" s="69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7"/>
      <c r="P597" s="4"/>
      <c r="Q597" s="7"/>
      <c r="R597" s="3"/>
      <c r="S597" s="3"/>
      <c r="T597" s="4"/>
      <c r="U597" s="4"/>
      <c r="V597" s="5"/>
      <c r="W597" s="4"/>
      <c r="X597" s="5"/>
      <c r="Y597" s="4"/>
      <c r="Z597" s="4"/>
      <c r="AA597" s="4"/>
      <c r="AB597" s="4"/>
      <c r="AC597" s="69"/>
      <c r="AD597" s="69"/>
      <c r="AE597" s="91"/>
      <c r="AF597" s="91"/>
      <c r="AG597" s="69"/>
      <c r="AH597" s="69"/>
      <c r="AI597" s="69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7"/>
      <c r="P598" s="4"/>
      <c r="Q598" s="7"/>
      <c r="R598" s="3"/>
      <c r="S598" s="3"/>
      <c r="T598" s="4"/>
      <c r="U598" s="4"/>
      <c r="V598" s="5"/>
      <c r="W598" s="4"/>
      <c r="X598" s="5"/>
      <c r="Y598" s="4"/>
      <c r="Z598" s="4"/>
      <c r="AA598" s="4"/>
      <c r="AB598" s="4"/>
      <c r="AC598" s="69"/>
      <c r="AD598" s="69"/>
      <c r="AE598" s="91"/>
      <c r="AF598" s="91"/>
      <c r="AG598" s="69"/>
      <c r="AH598" s="69"/>
      <c r="AI598" s="69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7"/>
      <c r="P599" s="4"/>
      <c r="Q599" s="7"/>
      <c r="R599" s="3"/>
      <c r="S599" s="3"/>
      <c r="T599" s="4"/>
      <c r="U599" s="4"/>
      <c r="V599" s="5"/>
      <c r="W599" s="4"/>
      <c r="X599" s="5"/>
      <c r="Y599" s="4"/>
      <c r="Z599" s="4"/>
      <c r="AA599" s="4"/>
      <c r="AB599" s="4"/>
      <c r="AC599" s="69"/>
      <c r="AD599" s="69"/>
      <c r="AE599" s="91"/>
      <c r="AF599" s="91"/>
      <c r="AG599" s="69"/>
      <c r="AH599" s="69"/>
      <c r="AI599" s="69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7"/>
      <c r="P600" s="4"/>
      <c r="Q600" s="7"/>
      <c r="R600" s="3"/>
      <c r="S600" s="3"/>
      <c r="T600" s="4"/>
      <c r="U600" s="4"/>
      <c r="V600" s="5"/>
      <c r="W600" s="4"/>
      <c r="X600" s="5"/>
      <c r="Y600" s="4"/>
      <c r="Z600" s="4"/>
      <c r="AA600" s="4"/>
      <c r="AB600" s="4"/>
      <c r="AC600" s="69"/>
      <c r="AD600" s="69"/>
      <c r="AE600" s="91"/>
      <c r="AF600" s="91"/>
      <c r="AG600" s="69"/>
      <c r="AH600" s="69"/>
      <c r="AI600" s="69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7"/>
      <c r="P601" s="4"/>
      <c r="Q601" s="7"/>
      <c r="R601" s="3"/>
      <c r="S601" s="3"/>
      <c r="T601" s="4"/>
      <c r="U601" s="4"/>
      <c r="V601" s="5"/>
      <c r="W601" s="4"/>
      <c r="X601" s="5"/>
      <c r="Y601" s="4"/>
      <c r="Z601" s="4"/>
      <c r="AA601" s="4"/>
      <c r="AB601" s="4"/>
      <c r="AC601" s="69"/>
      <c r="AD601" s="69"/>
      <c r="AE601" s="91"/>
      <c r="AF601" s="91"/>
      <c r="AG601" s="69"/>
      <c r="AH601" s="69"/>
      <c r="AI601" s="69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7"/>
      <c r="P602" s="4"/>
      <c r="Q602" s="7"/>
      <c r="R602" s="3"/>
      <c r="S602" s="3"/>
      <c r="T602" s="4"/>
      <c r="U602" s="4"/>
      <c r="V602" s="5"/>
      <c r="W602" s="4"/>
      <c r="X602" s="5"/>
      <c r="Y602" s="4"/>
      <c r="Z602" s="4"/>
      <c r="AA602" s="4"/>
      <c r="AB602" s="4"/>
      <c r="AC602" s="69"/>
      <c r="AD602" s="69"/>
      <c r="AE602" s="91"/>
      <c r="AF602" s="91"/>
      <c r="AG602" s="69"/>
      <c r="AH602" s="69"/>
      <c r="AI602" s="69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7"/>
      <c r="P603" s="4"/>
      <c r="Q603" s="7"/>
      <c r="R603" s="3"/>
      <c r="S603" s="3"/>
      <c r="T603" s="4"/>
      <c r="U603" s="4"/>
      <c r="V603" s="5"/>
      <c r="W603" s="4"/>
      <c r="X603" s="5"/>
      <c r="Y603" s="4"/>
      <c r="Z603" s="4"/>
      <c r="AA603" s="4"/>
      <c r="AB603" s="4"/>
      <c r="AC603" s="69"/>
      <c r="AD603" s="69"/>
      <c r="AE603" s="91"/>
      <c r="AF603" s="91"/>
      <c r="AG603" s="69"/>
      <c r="AH603" s="69"/>
      <c r="AI603" s="69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7"/>
      <c r="P604" s="4"/>
      <c r="Q604" s="7"/>
      <c r="R604" s="3"/>
      <c r="S604" s="3"/>
      <c r="T604" s="4"/>
      <c r="U604" s="4"/>
      <c r="V604" s="5"/>
      <c r="W604" s="4"/>
      <c r="X604" s="5"/>
      <c r="Y604" s="4"/>
      <c r="Z604" s="4"/>
      <c r="AA604" s="4"/>
      <c r="AB604" s="4"/>
      <c r="AC604" s="69"/>
      <c r="AD604" s="69"/>
      <c r="AE604" s="91"/>
      <c r="AF604" s="91"/>
      <c r="AG604" s="69"/>
      <c r="AH604" s="69"/>
      <c r="AI604" s="69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7"/>
      <c r="P605" s="4"/>
      <c r="Q605" s="7"/>
      <c r="R605" s="3"/>
      <c r="S605" s="3"/>
      <c r="T605" s="4"/>
      <c r="U605" s="4"/>
      <c r="V605" s="5"/>
      <c r="W605" s="4"/>
      <c r="X605" s="5"/>
      <c r="Y605" s="4"/>
      <c r="Z605" s="4"/>
      <c r="AA605" s="4"/>
      <c r="AB605" s="4"/>
      <c r="AC605" s="69"/>
      <c r="AD605" s="69"/>
      <c r="AE605" s="91"/>
      <c r="AF605" s="91"/>
      <c r="AG605" s="69"/>
      <c r="AH605" s="69"/>
      <c r="AI605" s="69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7"/>
      <c r="P606" s="4"/>
      <c r="Q606" s="7"/>
      <c r="R606" s="3"/>
      <c r="S606" s="3"/>
      <c r="T606" s="4"/>
      <c r="U606" s="4"/>
      <c r="V606" s="5"/>
      <c r="W606" s="4"/>
      <c r="X606" s="5"/>
      <c r="Y606" s="4"/>
      <c r="Z606" s="4"/>
      <c r="AA606" s="4"/>
      <c r="AB606" s="4"/>
      <c r="AC606" s="69"/>
      <c r="AD606" s="69"/>
      <c r="AE606" s="91"/>
      <c r="AF606" s="91"/>
      <c r="AG606" s="69"/>
      <c r="AH606" s="69"/>
      <c r="AI606" s="69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7"/>
      <c r="P607" s="4"/>
      <c r="Q607" s="7"/>
      <c r="R607" s="3"/>
      <c r="S607" s="3"/>
      <c r="T607" s="4"/>
      <c r="U607" s="4"/>
      <c r="V607" s="5"/>
      <c r="W607" s="4"/>
      <c r="X607" s="5"/>
      <c r="Y607" s="4"/>
      <c r="Z607" s="4"/>
      <c r="AA607" s="4"/>
      <c r="AB607" s="4"/>
      <c r="AC607" s="69"/>
      <c r="AD607" s="69"/>
      <c r="AE607" s="91"/>
      <c r="AF607" s="91"/>
      <c r="AG607" s="69"/>
      <c r="AH607" s="69"/>
      <c r="AI607" s="69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7"/>
      <c r="P608" s="4"/>
      <c r="Q608" s="7"/>
      <c r="R608" s="3"/>
      <c r="S608" s="3"/>
      <c r="T608" s="4"/>
      <c r="U608" s="4"/>
      <c r="V608" s="5"/>
      <c r="W608" s="4"/>
      <c r="X608" s="5"/>
      <c r="Y608" s="4"/>
      <c r="Z608" s="4"/>
      <c r="AA608" s="4"/>
      <c r="AB608" s="4"/>
      <c r="AC608" s="69"/>
      <c r="AD608" s="69"/>
      <c r="AE608" s="91"/>
      <c r="AF608" s="91"/>
      <c r="AG608" s="69"/>
      <c r="AH608" s="69"/>
      <c r="AI608" s="69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7"/>
      <c r="P609" s="4"/>
      <c r="Q609" s="7"/>
      <c r="R609" s="3"/>
      <c r="S609" s="3"/>
      <c r="T609" s="4"/>
      <c r="U609" s="4"/>
      <c r="V609" s="5"/>
      <c r="W609" s="4"/>
      <c r="X609" s="5"/>
      <c r="Y609" s="4"/>
      <c r="Z609" s="4"/>
      <c r="AA609" s="4"/>
      <c r="AB609" s="4"/>
      <c r="AC609" s="69"/>
      <c r="AD609" s="69"/>
      <c r="AE609" s="91"/>
      <c r="AF609" s="91"/>
      <c r="AG609" s="69"/>
      <c r="AH609" s="69"/>
      <c r="AI609" s="69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7"/>
      <c r="P610" s="4"/>
      <c r="Q610" s="7"/>
      <c r="R610" s="3"/>
      <c r="S610" s="3"/>
      <c r="T610" s="4"/>
      <c r="U610" s="4"/>
      <c r="V610" s="5"/>
      <c r="W610" s="4"/>
      <c r="X610" s="5"/>
      <c r="Y610" s="4"/>
      <c r="Z610" s="4"/>
      <c r="AA610" s="4"/>
      <c r="AB610" s="4"/>
      <c r="AC610" s="69"/>
      <c r="AD610" s="69"/>
      <c r="AE610" s="91"/>
      <c r="AF610" s="91"/>
      <c r="AG610" s="69"/>
      <c r="AH610" s="69"/>
      <c r="AI610" s="69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7"/>
      <c r="P611" s="4"/>
      <c r="Q611" s="7"/>
      <c r="R611" s="3"/>
      <c r="S611" s="3"/>
      <c r="T611" s="4"/>
      <c r="U611" s="4"/>
      <c r="V611" s="5"/>
      <c r="W611" s="4"/>
      <c r="X611" s="5"/>
      <c r="Y611" s="4"/>
      <c r="Z611" s="4"/>
      <c r="AA611" s="4"/>
      <c r="AB611" s="4"/>
      <c r="AC611" s="69"/>
      <c r="AD611" s="69"/>
      <c r="AE611" s="91"/>
      <c r="AF611" s="91"/>
      <c r="AG611" s="69"/>
      <c r="AH611" s="69"/>
      <c r="AI611" s="69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7"/>
      <c r="P612" s="4"/>
      <c r="Q612" s="7"/>
      <c r="R612" s="3"/>
      <c r="S612" s="3"/>
      <c r="T612" s="4"/>
      <c r="U612" s="4"/>
      <c r="V612" s="5"/>
      <c r="W612" s="4"/>
      <c r="X612" s="5"/>
      <c r="Y612" s="4"/>
      <c r="Z612" s="4"/>
      <c r="AA612" s="4"/>
      <c r="AB612" s="4"/>
      <c r="AC612" s="69"/>
      <c r="AD612" s="69"/>
      <c r="AE612" s="91"/>
      <c r="AF612" s="91"/>
      <c r="AG612" s="69"/>
      <c r="AH612" s="69"/>
      <c r="AI612" s="69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7"/>
      <c r="P613" s="4"/>
      <c r="Q613" s="7"/>
      <c r="R613" s="3"/>
      <c r="S613" s="3"/>
      <c r="T613" s="4"/>
      <c r="U613" s="4"/>
      <c r="V613" s="5"/>
      <c r="W613" s="4"/>
      <c r="X613" s="5"/>
      <c r="Y613" s="4"/>
      <c r="Z613" s="4"/>
      <c r="AA613" s="4"/>
      <c r="AB613" s="4"/>
      <c r="AC613" s="69"/>
      <c r="AD613" s="69"/>
      <c r="AE613" s="91"/>
      <c r="AF613" s="91"/>
      <c r="AG613" s="69"/>
      <c r="AH613" s="69"/>
      <c r="AI613" s="69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7"/>
      <c r="P614" s="4"/>
      <c r="Q614" s="7"/>
      <c r="R614" s="3"/>
      <c r="S614" s="3"/>
      <c r="T614" s="4"/>
      <c r="U614" s="4"/>
      <c r="V614" s="5"/>
      <c r="W614" s="4"/>
      <c r="X614" s="5"/>
      <c r="Y614" s="4"/>
      <c r="Z614" s="4"/>
      <c r="AA614" s="4"/>
      <c r="AB614" s="4"/>
      <c r="AC614" s="69"/>
      <c r="AD614" s="69"/>
      <c r="AE614" s="91"/>
      <c r="AF614" s="91"/>
      <c r="AG614" s="69"/>
      <c r="AH614" s="69"/>
      <c r="AI614" s="69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7"/>
      <c r="P615" s="4"/>
      <c r="Q615" s="7"/>
      <c r="R615" s="3"/>
      <c r="S615" s="3"/>
      <c r="T615" s="4"/>
      <c r="U615" s="4"/>
      <c r="V615" s="5"/>
      <c r="W615" s="4"/>
      <c r="X615" s="5"/>
      <c r="Y615" s="4"/>
      <c r="Z615" s="4"/>
      <c r="AA615" s="4"/>
      <c r="AB615" s="4"/>
      <c r="AC615" s="69"/>
      <c r="AD615" s="69"/>
      <c r="AE615" s="91"/>
      <c r="AF615" s="91"/>
      <c r="AG615" s="69"/>
      <c r="AH615" s="69"/>
      <c r="AI615" s="69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7"/>
      <c r="P616" s="4"/>
      <c r="Q616" s="7"/>
      <c r="R616" s="3"/>
      <c r="S616" s="3"/>
      <c r="T616" s="4"/>
      <c r="U616" s="4"/>
      <c r="V616" s="5"/>
      <c r="W616" s="4"/>
      <c r="X616" s="5"/>
      <c r="Y616" s="4"/>
      <c r="Z616" s="4"/>
      <c r="AA616" s="4"/>
      <c r="AB616" s="4"/>
      <c r="AC616" s="69"/>
      <c r="AD616" s="69"/>
      <c r="AE616" s="91"/>
      <c r="AF616" s="91"/>
      <c r="AG616" s="69"/>
      <c r="AH616" s="69"/>
      <c r="AI616" s="69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7"/>
      <c r="P617" s="4"/>
      <c r="Q617" s="7"/>
      <c r="R617" s="3"/>
      <c r="S617" s="3"/>
      <c r="T617" s="4"/>
      <c r="U617" s="4"/>
      <c r="V617" s="5"/>
      <c r="W617" s="4"/>
      <c r="X617" s="5"/>
      <c r="Y617" s="4"/>
      <c r="Z617" s="4"/>
      <c r="AA617" s="4"/>
      <c r="AB617" s="4"/>
      <c r="AC617" s="69"/>
      <c r="AD617" s="69"/>
      <c r="AE617" s="91"/>
      <c r="AF617" s="91"/>
      <c r="AG617" s="69"/>
      <c r="AH617" s="69"/>
      <c r="AI617" s="69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7"/>
      <c r="P618" s="4"/>
      <c r="Q618" s="7"/>
      <c r="R618" s="3"/>
      <c r="S618" s="3"/>
      <c r="T618" s="4"/>
      <c r="U618" s="4"/>
      <c r="V618" s="5"/>
      <c r="W618" s="4"/>
      <c r="X618" s="5"/>
      <c r="Y618" s="4"/>
      <c r="Z618" s="4"/>
      <c r="AA618" s="4"/>
      <c r="AB618" s="4"/>
      <c r="AC618" s="69"/>
      <c r="AD618" s="69"/>
      <c r="AE618" s="91"/>
      <c r="AF618" s="91"/>
      <c r="AG618" s="69"/>
      <c r="AH618" s="69"/>
      <c r="AI618" s="69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7"/>
      <c r="P619" s="4"/>
      <c r="Q619" s="7"/>
      <c r="R619" s="3"/>
      <c r="S619" s="3"/>
      <c r="T619" s="4"/>
      <c r="U619" s="4"/>
      <c r="V619" s="5"/>
      <c r="W619" s="4"/>
      <c r="X619" s="5"/>
      <c r="Y619" s="4"/>
      <c r="Z619" s="4"/>
      <c r="AA619" s="4"/>
      <c r="AB619" s="4"/>
      <c r="AC619" s="69"/>
      <c r="AD619" s="69"/>
      <c r="AE619" s="91"/>
      <c r="AF619" s="91"/>
      <c r="AG619" s="69"/>
      <c r="AH619" s="69"/>
      <c r="AI619" s="69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7"/>
      <c r="P620" s="4"/>
      <c r="Q620" s="7"/>
      <c r="R620" s="3"/>
      <c r="S620" s="3"/>
      <c r="T620" s="4"/>
      <c r="U620" s="4"/>
      <c r="V620" s="5"/>
      <c r="W620" s="4"/>
      <c r="X620" s="5"/>
      <c r="Y620" s="4"/>
      <c r="Z620" s="4"/>
      <c r="AA620" s="4"/>
      <c r="AB620" s="4"/>
      <c r="AC620" s="69"/>
      <c r="AD620" s="69"/>
      <c r="AE620" s="91"/>
      <c r="AF620" s="91"/>
      <c r="AG620" s="69"/>
      <c r="AH620" s="69"/>
      <c r="AI620" s="69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7"/>
      <c r="P621" s="4"/>
      <c r="Q621" s="7"/>
      <c r="R621" s="3"/>
      <c r="S621" s="3"/>
      <c r="T621" s="4"/>
      <c r="U621" s="4"/>
      <c r="V621" s="5"/>
      <c r="W621" s="4"/>
      <c r="X621" s="5"/>
      <c r="Y621" s="4"/>
      <c r="Z621" s="4"/>
      <c r="AA621" s="4"/>
      <c r="AB621" s="4"/>
      <c r="AC621" s="69"/>
      <c r="AD621" s="69"/>
      <c r="AE621" s="91"/>
      <c r="AF621" s="91"/>
      <c r="AG621" s="69"/>
      <c r="AH621" s="69"/>
      <c r="AI621" s="69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7"/>
      <c r="P622" s="4"/>
      <c r="Q622" s="7"/>
      <c r="R622" s="3"/>
      <c r="S622" s="3"/>
      <c r="T622" s="4"/>
      <c r="U622" s="4"/>
      <c r="V622" s="5"/>
      <c r="W622" s="4"/>
      <c r="X622" s="5"/>
      <c r="Y622" s="4"/>
      <c r="Z622" s="4"/>
      <c r="AA622" s="4"/>
      <c r="AB622" s="4"/>
      <c r="AC622" s="69"/>
      <c r="AD622" s="69"/>
      <c r="AE622" s="91"/>
      <c r="AF622" s="91"/>
      <c r="AG622" s="69"/>
      <c r="AH622" s="69"/>
      <c r="AI622" s="69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7"/>
      <c r="P623" s="4"/>
      <c r="Q623" s="7"/>
      <c r="R623" s="3"/>
      <c r="S623" s="3"/>
      <c r="T623" s="4"/>
      <c r="U623" s="4"/>
      <c r="V623" s="5"/>
      <c r="W623" s="4"/>
      <c r="X623" s="5"/>
      <c r="Y623" s="4"/>
      <c r="Z623" s="4"/>
      <c r="AA623" s="4"/>
      <c r="AB623" s="4"/>
      <c r="AC623" s="69"/>
      <c r="AD623" s="69"/>
      <c r="AE623" s="91"/>
      <c r="AF623" s="91"/>
      <c r="AG623" s="69"/>
      <c r="AH623" s="69"/>
      <c r="AI623" s="69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7"/>
      <c r="P624" s="4"/>
      <c r="Q624" s="7"/>
      <c r="R624" s="3"/>
      <c r="S624" s="3"/>
      <c r="T624" s="4"/>
      <c r="U624" s="4"/>
      <c r="V624" s="5"/>
      <c r="W624" s="4"/>
      <c r="X624" s="5"/>
      <c r="Y624" s="4"/>
      <c r="Z624" s="4"/>
      <c r="AA624" s="4"/>
      <c r="AB624" s="4"/>
      <c r="AC624" s="69"/>
      <c r="AD624" s="69"/>
      <c r="AE624" s="91"/>
      <c r="AF624" s="91"/>
      <c r="AG624" s="69"/>
      <c r="AH624" s="69"/>
      <c r="AI624" s="69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7"/>
      <c r="P625" s="4"/>
      <c r="Q625" s="7"/>
      <c r="R625" s="3"/>
      <c r="S625" s="3"/>
      <c r="T625" s="4"/>
      <c r="U625" s="4"/>
      <c r="V625" s="5"/>
      <c r="W625" s="4"/>
      <c r="X625" s="5"/>
      <c r="Y625" s="4"/>
      <c r="Z625" s="4"/>
      <c r="AA625" s="4"/>
      <c r="AB625" s="4"/>
      <c r="AC625" s="69"/>
      <c r="AD625" s="69"/>
      <c r="AE625" s="91"/>
      <c r="AF625" s="91"/>
      <c r="AG625" s="69"/>
      <c r="AH625" s="69"/>
      <c r="AI625" s="69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7"/>
      <c r="P626" s="4"/>
      <c r="Q626" s="7"/>
      <c r="R626" s="3"/>
      <c r="S626" s="3"/>
      <c r="T626" s="4"/>
      <c r="U626" s="4"/>
      <c r="V626" s="5"/>
      <c r="W626" s="4"/>
      <c r="X626" s="5"/>
      <c r="Y626" s="4"/>
      <c r="Z626" s="4"/>
      <c r="AA626" s="4"/>
      <c r="AB626" s="4"/>
      <c r="AC626" s="69"/>
      <c r="AD626" s="69"/>
      <c r="AE626" s="91"/>
      <c r="AF626" s="91"/>
      <c r="AG626" s="69"/>
      <c r="AH626" s="69"/>
      <c r="AI626" s="69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7"/>
      <c r="P627" s="4"/>
      <c r="Q627" s="7"/>
      <c r="R627" s="3"/>
      <c r="S627" s="3"/>
      <c r="T627" s="4"/>
      <c r="U627" s="4"/>
      <c r="V627" s="5"/>
      <c r="W627" s="4"/>
      <c r="X627" s="5"/>
      <c r="Y627" s="4"/>
      <c r="Z627" s="4"/>
      <c r="AA627" s="4"/>
      <c r="AB627" s="4"/>
      <c r="AC627" s="69"/>
      <c r="AD627" s="69"/>
      <c r="AE627" s="91"/>
      <c r="AF627" s="91"/>
      <c r="AG627" s="69"/>
      <c r="AH627" s="69"/>
      <c r="AI627" s="69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7"/>
      <c r="P628" s="4"/>
      <c r="Q628" s="7"/>
      <c r="R628" s="3"/>
      <c r="S628" s="3"/>
      <c r="T628" s="4"/>
      <c r="U628" s="4"/>
      <c r="V628" s="5"/>
      <c r="W628" s="4"/>
      <c r="X628" s="5"/>
      <c r="Y628" s="4"/>
      <c r="Z628" s="4"/>
      <c r="AA628" s="4"/>
      <c r="AB628" s="4"/>
      <c r="AC628" s="69"/>
      <c r="AD628" s="69"/>
      <c r="AE628" s="91"/>
      <c r="AF628" s="91"/>
      <c r="AG628" s="69"/>
      <c r="AH628" s="69"/>
      <c r="AI628" s="69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7"/>
      <c r="P629" s="4"/>
      <c r="Q629" s="7"/>
      <c r="R629" s="3"/>
      <c r="S629" s="3"/>
      <c r="T629" s="4"/>
      <c r="U629" s="4"/>
      <c r="V629" s="5"/>
      <c r="W629" s="4"/>
      <c r="X629" s="5"/>
      <c r="Y629" s="4"/>
      <c r="Z629" s="4"/>
      <c r="AA629" s="4"/>
      <c r="AB629" s="4"/>
      <c r="AC629" s="69"/>
      <c r="AD629" s="69"/>
      <c r="AE629" s="91"/>
      <c r="AF629" s="91"/>
      <c r="AG629" s="69"/>
      <c r="AH629" s="69"/>
      <c r="AI629" s="69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7"/>
      <c r="P630" s="4"/>
      <c r="Q630" s="7"/>
      <c r="R630" s="3"/>
      <c r="S630" s="3"/>
      <c r="T630" s="4"/>
      <c r="U630" s="4"/>
      <c r="V630" s="5"/>
      <c r="W630" s="4"/>
      <c r="X630" s="5"/>
      <c r="Y630" s="4"/>
      <c r="Z630" s="4"/>
      <c r="AA630" s="4"/>
      <c r="AB630" s="4"/>
      <c r="AC630" s="69"/>
      <c r="AD630" s="69"/>
      <c r="AE630" s="91"/>
      <c r="AF630" s="91"/>
      <c r="AG630" s="69"/>
      <c r="AH630" s="69"/>
      <c r="AI630" s="69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7"/>
      <c r="P631" s="4"/>
      <c r="Q631" s="7"/>
      <c r="R631" s="3"/>
      <c r="S631" s="3"/>
      <c r="T631" s="4"/>
      <c r="U631" s="4"/>
      <c r="V631" s="5"/>
      <c r="W631" s="4"/>
      <c r="X631" s="5"/>
      <c r="Y631" s="4"/>
      <c r="Z631" s="4"/>
      <c r="AA631" s="4"/>
      <c r="AB631" s="4"/>
      <c r="AC631" s="69"/>
      <c r="AD631" s="69"/>
      <c r="AE631" s="91"/>
      <c r="AF631" s="91"/>
      <c r="AG631" s="69"/>
      <c r="AH631" s="69"/>
      <c r="AI631" s="69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7"/>
      <c r="P632" s="4"/>
      <c r="Q632" s="7"/>
      <c r="R632" s="3"/>
      <c r="S632" s="3"/>
      <c r="T632" s="4"/>
      <c r="U632" s="4"/>
      <c r="V632" s="5"/>
      <c r="W632" s="4"/>
      <c r="X632" s="5"/>
      <c r="Y632" s="4"/>
      <c r="Z632" s="4"/>
      <c r="AA632" s="4"/>
      <c r="AB632" s="4"/>
      <c r="AC632" s="69"/>
      <c r="AD632" s="69"/>
      <c r="AE632" s="91"/>
      <c r="AF632" s="91"/>
      <c r="AG632" s="69"/>
      <c r="AH632" s="69"/>
      <c r="AI632" s="69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7"/>
      <c r="P633" s="4"/>
      <c r="Q633" s="7"/>
      <c r="R633" s="3"/>
      <c r="S633" s="3"/>
      <c r="T633" s="4"/>
      <c r="U633" s="4"/>
      <c r="V633" s="5"/>
      <c r="W633" s="4"/>
      <c r="X633" s="5"/>
      <c r="Y633" s="4"/>
      <c r="Z633" s="4"/>
      <c r="AA633" s="4"/>
      <c r="AB633" s="4"/>
      <c r="AC633" s="69"/>
      <c r="AD633" s="69"/>
      <c r="AE633" s="91"/>
      <c r="AF633" s="91"/>
      <c r="AG633" s="69"/>
      <c r="AH633" s="69"/>
      <c r="AI633" s="69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7"/>
      <c r="P634" s="4"/>
      <c r="Q634" s="7"/>
      <c r="R634" s="3"/>
      <c r="S634" s="3"/>
      <c r="T634" s="4"/>
      <c r="U634" s="4"/>
      <c r="V634" s="5"/>
      <c r="W634" s="4"/>
      <c r="X634" s="5"/>
      <c r="Y634" s="4"/>
      <c r="Z634" s="4"/>
      <c r="AA634" s="4"/>
      <c r="AB634" s="4"/>
      <c r="AC634" s="69"/>
      <c r="AD634" s="69"/>
      <c r="AE634" s="91"/>
      <c r="AF634" s="91"/>
      <c r="AG634" s="69"/>
      <c r="AH634" s="69"/>
      <c r="AI634" s="69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7"/>
      <c r="P635" s="4"/>
      <c r="Q635" s="7"/>
      <c r="R635" s="3"/>
      <c r="S635" s="3"/>
      <c r="T635" s="4"/>
      <c r="U635" s="4"/>
      <c r="V635" s="5"/>
      <c r="W635" s="4"/>
      <c r="X635" s="5"/>
      <c r="Y635" s="4"/>
      <c r="Z635" s="4"/>
      <c r="AA635" s="4"/>
      <c r="AB635" s="4"/>
      <c r="AC635" s="69"/>
      <c r="AD635" s="69"/>
      <c r="AE635" s="91"/>
      <c r="AF635" s="91"/>
      <c r="AG635" s="69"/>
      <c r="AH635" s="69"/>
      <c r="AI635" s="69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7"/>
      <c r="P636" s="4"/>
      <c r="Q636" s="7"/>
      <c r="R636" s="3"/>
      <c r="S636" s="3"/>
      <c r="T636" s="4"/>
      <c r="U636" s="4"/>
      <c r="V636" s="5"/>
      <c r="W636" s="4"/>
      <c r="X636" s="5"/>
      <c r="Y636" s="4"/>
      <c r="Z636" s="4"/>
      <c r="AA636" s="4"/>
      <c r="AB636" s="4"/>
      <c r="AC636" s="69"/>
      <c r="AD636" s="69"/>
      <c r="AE636" s="91"/>
      <c r="AF636" s="91"/>
      <c r="AG636" s="69"/>
      <c r="AH636" s="69"/>
      <c r="AI636" s="69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7"/>
      <c r="P637" s="4"/>
      <c r="Q637" s="7"/>
      <c r="R637" s="3"/>
      <c r="S637" s="3"/>
      <c r="T637" s="4"/>
      <c r="U637" s="4"/>
      <c r="V637" s="5"/>
      <c r="W637" s="4"/>
      <c r="X637" s="5"/>
      <c r="Y637" s="4"/>
      <c r="Z637" s="4"/>
      <c r="AA637" s="4"/>
      <c r="AB637" s="4"/>
      <c r="AC637" s="69"/>
      <c r="AD637" s="69"/>
      <c r="AE637" s="91"/>
      <c r="AF637" s="91"/>
      <c r="AG637" s="69"/>
      <c r="AH637" s="69"/>
      <c r="AI637" s="69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7"/>
      <c r="P638" s="4"/>
      <c r="Q638" s="7"/>
      <c r="R638" s="3"/>
      <c r="S638" s="3"/>
      <c r="T638" s="4"/>
      <c r="U638" s="4"/>
      <c r="V638" s="5"/>
      <c r="W638" s="4"/>
      <c r="X638" s="5"/>
      <c r="Y638" s="4"/>
      <c r="Z638" s="4"/>
      <c r="AA638" s="4"/>
      <c r="AB638" s="4"/>
      <c r="AC638" s="69"/>
      <c r="AD638" s="69"/>
      <c r="AE638" s="91"/>
      <c r="AF638" s="91"/>
      <c r="AG638" s="69"/>
      <c r="AH638" s="69"/>
      <c r="AI638" s="69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7"/>
      <c r="P639" s="4"/>
      <c r="Q639" s="7"/>
      <c r="R639" s="3"/>
      <c r="S639" s="3"/>
      <c r="T639" s="4"/>
      <c r="U639" s="4"/>
      <c r="V639" s="5"/>
      <c r="W639" s="4"/>
      <c r="X639" s="5"/>
      <c r="Y639" s="4"/>
      <c r="Z639" s="4"/>
      <c r="AA639" s="4"/>
      <c r="AB639" s="4"/>
      <c r="AC639" s="69"/>
      <c r="AD639" s="69"/>
      <c r="AE639" s="91"/>
      <c r="AF639" s="91"/>
      <c r="AG639" s="69"/>
      <c r="AH639" s="69"/>
      <c r="AI639" s="69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7"/>
      <c r="P640" s="4"/>
      <c r="Q640" s="7"/>
      <c r="R640" s="3"/>
      <c r="S640" s="3"/>
      <c r="T640" s="4"/>
      <c r="U640" s="4"/>
      <c r="V640" s="5"/>
      <c r="W640" s="4"/>
      <c r="X640" s="5"/>
      <c r="Y640" s="4"/>
      <c r="Z640" s="4"/>
      <c r="AA640" s="4"/>
      <c r="AB640" s="4"/>
      <c r="AC640" s="69"/>
      <c r="AD640" s="69"/>
      <c r="AE640" s="91"/>
      <c r="AF640" s="91"/>
      <c r="AG640" s="69"/>
      <c r="AH640" s="69"/>
      <c r="AI640" s="69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7"/>
      <c r="P641" s="4"/>
      <c r="Q641" s="7"/>
      <c r="R641" s="3"/>
      <c r="S641" s="3"/>
      <c r="T641" s="4"/>
      <c r="U641" s="4"/>
      <c r="V641" s="5"/>
      <c r="W641" s="4"/>
      <c r="X641" s="5"/>
      <c r="Y641" s="4"/>
      <c r="Z641" s="4"/>
      <c r="AA641" s="4"/>
      <c r="AB641" s="4"/>
      <c r="AC641" s="69"/>
      <c r="AD641" s="69"/>
      <c r="AE641" s="91"/>
      <c r="AF641" s="91"/>
      <c r="AG641" s="69"/>
      <c r="AH641" s="69"/>
      <c r="AI641" s="69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7"/>
      <c r="P642" s="4"/>
      <c r="Q642" s="7"/>
      <c r="R642" s="3"/>
      <c r="S642" s="3"/>
      <c r="T642" s="4"/>
      <c r="U642" s="4"/>
      <c r="V642" s="5"/>
      <c r="W642" s="4"/>
      <c r="X642" s="5"/>
      <c r="Y642" s="4"/>
      <c r="Z642" s="4"/>
      <c r="AA642" s="4"/>
      <c r="AB642" s="4"/>
      <c r="AC642" s="69"/>
      <c r="AD642" s="69"/>
      <c r="AE642" s="91"/>
      <c r="AF642" s="91"/>
      <c r="AG642" s="69"/>
      <c r="AH642" s="69"/>
      <c r="AI642" s="69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7"/>
      <c r="P643" s="4"/>
      <c r="Q643" s="7"/>
      <c r="R643" s="3"/>
      <c r="S643" s="3"/>
      <c r="T643" s="4"/>
      <c r="U643" s="4"/>
      <c r="V643" s="5"/>
      <c r="W643" s="4"/>
      <c r="X643" s="5"/>
      <c r="Y643" s="4"/>
      <c r="Z643" s="4"/>
      <c r="AA643" s="4"/>
      <c r="AB643" s="4"/>
      <c r="AC643" s="69"/>
      <c r="AD643" s="69"/>
      <c r="AE643" s="91"/>
      <c r="AF643" s="91"/>
      <c r="AG643" s="69"/>
      <c r="AH643" s="69"/>
      <c r="AI643" s="69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7"/>
      <c r="P644" s="4"/>
      <c r="Q644" s="7"/>
      <c r="R644" s="3"/>
      <c r="S644" s="3"/>
      <c r="T644" s="4"/>
      <c r="U644" s="4"/>
      <c r="V644" s="5"/>
      <c r="W644" s="4"/>
      <c r="X644" s="5"/>
      <c r="Y644" s="4"/>
      <c r="Z644" s="4"/>
      <c r="AA644" s="4"/>
      <c r="AB644" s="4"/>
      <c r="AC644" s="69"/>
      <c r="AD644" s="69"/>
      <c r="AE644" s="91"/>
      <c r="AF644" s="91"/>
      <c r="AG644" s="69"/>
      <c r="AH644" s="69"/>
      <c r="AI644" s="69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7"/>
      <c r="P645" s="4"/>
      <c r="Q645" s="7"/>
      <c r="R645" s="3"/>
      <c r="S645" s="3"/>
      <c r="T645" s="4"/>
      <c r="U645" s="4"/>
      <c r="V645" s="5"/>
      <c r="W645" s="4"/>
      <c r="X645" s="5"/>
      <c r="Y645" s="4"/>
      <c r="Z645" s="4"/>
      <c r="AA645" s="4"/>
      <c r="AB645" s="4"/>
      <c r="AC645" s="69"/>
      <c r="AD645" s="69"/>
      <c r="AE645" s="91"/>
      <c r="AF645" s="91"/>
      <c r="AG645" s="69"/>
      <c r="AH645" s="69"/>
      <c r="AI645" s="69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7"/>
      <c r="P646" s="4"/>
      <c r="Q646" s="7"/>
      <c r="R646" s="3"/>
      <c r="S646" s="3"/>
      <c r="T646" s="4"/>
      <c r="U646" s="4"/>
      <c r="V646" s="5"/>
      <c r="W646" s="4"/>
      <c r="X646" s="5"/>
      <c r="Y646" s="4"/>
      <c r="Z646" s="4"/>
      <c r="AA646" s="4"/>
      <c r="AB646" s="4"/>
      <c r="AC646" s="69"/>
      <c r="AD646" s="69"/>
      <c r="AE646" s="91"/>
      <c r="AF646" s="91"/>
      <c r="AG646" s="69"/>
      <c r="AH646" s="69"/>
      <c r="AI646" s="69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7"/>
      <c r="P647" s="4"/>
      <c r="Q647" s="7"/>
      <c r="R647" s="3"/>
      <c r="S647" s="3"/>
      <c r="T647" s="4"/>
      <c r="U647" s="4"/>
      <c r="V647" s="5"/>
      <c r="W647" s="4"/>
      <c r="X647" s="5"/>
      <c r="Y647" s="4"/>
      <c r="Z647" s="4"/>
      <c r="AA647" s="4"/>
      <c r="AB647" s="4"/>
      <c r="AC647" s="69"/>
      <c r="AD647" s="69"/>
      <c r="AE647" s="91"/>
      <c r="AF647" s="91"/>
      <c r="AG647" s="69"/>
      <c r="AH647" s="69"/>
      <c r="AI647" s="69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7"/>
      <c r="P648" s="4"/>
      <c r="Q648" s="7"/>
      <c r="R648" s="3"/>
      <c r="S648" s="3"/>
      <c r="T648" s="4"/>
      <c r="U648" s="4"/>
      <c r="V648" s="5"/>
      <c r="W648" s="4"/>
      <c r="X648" s="5"/>
      <c r="Y648" s="4"/>
      <c r="Z648" s="4"/>
      <c r="AA648" s="4"/>
      <c r="AB648" s="4"/>
      <c r="AC648" s="69"/>
      <c r="AD648" s="69"/>
      <c r="AE648" s="91"/>
      <c r="AF648" s="91"/>
      <c r="AG648" s="69"/>
      <c r="AH648" s="69"/>
      <c r="AI648" s="69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7"/>
      <c r="P649" s="4"/>
      <c r="Q649" s="7"/>
      <c r="R649" s="3"/>
      <c r="S649" s="3"/>
      <c r="T649" s="4"/>
      <c r="U649" s="4"/>
      <c r="V649" s="5"/>
      <c r="W649" s="4"/>
      <c r="X649" s="5"/>
      <c r="Y649" s="4"/>
      <c r="Z649" s="4"/>
      <c r="AA649" s="4"/>
      <c r="AB649" s="4"/>
      <c r="AC649" s="69"/>
      <c r="AD649" s="69"/>
      <c r="AE649" s="91"/>
      <c r="AF649" s="91"/>
      <c r="AG649" s="69"/>
      <c r="AH649" s="69"/>
      <c r="AI649" s="69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7"/>
      <c r="P650" s="4"/>
      <c r="Q650" s="7"/>
      <c r="R650" s="3"/>
      <c r="S650" s="3"/>
      <c r="T650" s="4"/>
      <c r="U650" s="4"/>
      <c r="V650" s="5"/>
      <c r="W650" s="4"/>
      <c r="X650" s="5"/>
      <c r="Y650" s="4"/>
      <c r="Z650" s="4"/>
      <c r="AA650" s="4"/>
      <c r="AB650" s="4"/>
      <c r="AC650" s="69"/>
      <c r="AD650" s="69"/>
      <c r="AE650" s="91"/>
      <c r="AF650" s="91"/>
      <c r="AG650" s="69"/>
      <c r="AH650" s="69"/>
      <c r="AI650" s="69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7"/>
      <c r="P651" s="4"/>
      <c r="Q651" s="7"/>
      <c r="R651" s="3"/>
      <c r="S651" s="3"/>
      <c r="T651" s="4"/>
      <c r="U651" s="4"/>
      <c r="V651" s="5"/>
      <c r="W651" s="4"/>
      <c r="X651" s="5"/>
      <c r="Y651" s="4"/>
      <c r="Z651" s="4"/>
      <c r="AA651" s="4"/>
      <c r="AB651" s="4"/>
      <c r="AC651" s="69"/>
      <c r="AD651" s="69"/>
      <c r="AE651" s="91"/>
      <c r="AF651" s="91"/>
      <c r="AG651" s="69"/>
      <c r="AH651" s="69"/>
      <c r="AI651" s="69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7"/>
      <c r="P652" s="4"/>
      <c r="Q652" s="7"/>
      <c r="R652" s="3"/>
      <c r="S652" s="3"/>
      <c r="T652" s="4"/>
      <c r="U652" s="4"/>
      <c r="V652" s="5"/>
      <c r="W652" s="4"/>
      <c r="X652" s="5"/>
      <c r="Y652" s="4"/>
      <c r="Z652" s="4"/>
      <c r="AA652" s="4"/>
      <c r="AB652" s="4"/>
      <c r="AC652" s="69"/>
      <c r="AD652" s="69"/>
      <c r="AE652" s="91"/>
      <c r="AF652" s="91"/>
      <c r="AG652" s="69"/>
      <c r="AH652" s="69"/>
      <c r="AI652" s="69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7"/>
      <c r="P653" s="4"/>
      <c r="Q653" s="7"/>
      <c r="R653" s="3"/>
      <c r="S653" s="3"/>
      <c r="T653" s="4"/>
      <c r="U653" s="4"/>
      <c r="V653" s="5"/>
      <c r="W653" s="4"/>
      <c r="X653" s="5"/>
      <c r="Y653" s="4"/>
      <c r="Z653" s="4"/>
      <c r="AA653" s="4"/>
      <c r="AB653" s="4"/>
      <c r="AC653" s="69"/>
      <c r="AD653" s="69"/>
      <c r="AE653" s="91"/>
      <c r="AF653" s="91"/>
      <c r="AG653" s="69"/>
      <c r="AH653" s="69"/>
      <c r="AI653" s="69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7"/>
      <c r="P654" s="4"/>
      <c r="Q654" s="7"/>
      <c r="R654" s="3"/>
      <c r="S654" s="3"/>
      <c r="T654" s="4"/>
      <c r="U654" s="4"/>
      <c r="V654" s="5"/>
      <c r="W654" s="4"/>
      <c r="X654" s="5"/>
      <c r="Y654" s="4"/>
      <c r="Z654" s="4"/>
      <c r="AA654" s="4"/>
      <c r="AB654" s="4"/>
      <c r="AC654" s="69"/>
      <c r="AD654" s="69"/>
      <c r="AE654" s="91"/>
      <c r="AF654" s="91"/>
      <c r="AG654" s="69"/>
      <c r="AH654" s="69"/>
      <c r="AI654" s="69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7"/>
      <c r="P655" s="4"/>
      <c r="Q655" s="7"/>
      <c r="R655" s="3"/>
      <c r="S655" s="3"/>
      <c r="T655" s="4"/>
      <c r="U655" s="4"/>
      <c r="V655" s="5"/>
      <c r="W655" s="4"/>
      <c r="X655" s="5"/>
      <c r="Y655" s="4"/>
      <c r="Z655" s="4"/>
      <c r="AA655" s="4"/>
      <c r="AB655" s="4"/>
      <c r="AC655" s="69"/>
      <c r="AD655" s="69"/>
      <c r="AE655" s="91"/>
      <c r="AF655" s="91"/>
      <c r="AG655" s="69"/>
      <c r="AH655" s="69"/>
      <c r="AI655" s="69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7"/>
      <c r="P656" s="4"/>
      <c r="Q656" s="7"/>
      <c r="R656" s="3"/>
      <c r="S656" s="3"/>
      <c r="T656" s="4"/>
      <c r="U656" s="4"/>
      <c r="V656" s="5"/>
      <c r="W656" s="4"/>
      <c r="X656" s="5"/>
      <c r="Y656" s="4"/>
      <c r="Z656" s="4"/>
      <c r="AA656" s="4"/>
      <c r="AB656" s="4"/>
      <c r="AC656" s="69"/>
      <c r="AD656" s="69"/>
      <c r="AE656" s="91"/>
      <c r="AF656" s="91"/>
      <c r="AG656" s="69"/>
      <c r="AH656" s="69"/>
      <c r="AI656" s="69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7"/>
      <c r="P657" s="4"/>
      <c r="Q657" s="7"/>
      <c r="R657" s="3"/>
      <c r="S657" s="3"/>
      <c r="T657" s="4"/>
      <c r="U657" s="4"/>
      <c r="V657" s="5"/>
      <c r="W657" s="4"/>
      <c r="X657" s="5"/>
      <c r="Y657" s="4"/>
      <c r="Z657" s="4"/>
      <c r="AA657" s="4"/>
      <c r="AB657" s="4"/>
      <c r="AC657" s="69"/>
      <c r="AD657" s="69"/>
      <c r="AE657" s="91"/>
      <c r="AF657" s="91"/>
      <c r="AG657" s="69"/>
      <c r="AH657" s="69"/>
      <c r="AI657" s="69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7"/>
      <c r="P658" s="4"/>
      <c r="Q658" s="7"/>
      <c r="R658" s="3"/>
      <c r="S658" s="3"/>
      <c r="T658" s="4"/>
      <c r="U658" s="4"/>
      <c r="V658" s="5"/>
      <c r="W658" s="4"/>
      <c r="X658" s="5"/>
      <c r="Y658" s="4"/>
      <c r="Z658" s="4"/>
      <c r="AA658" s="4"/>
      <c r="AB658" s="4"/>
      <c r="AC658" s="69"/>
      <c r="AD658" s="69"/>
      <c r="AE658" s="91"/>
      <c r="AF658" s="91"/>
      <c r="AG658" s="69"/>
      <c r="AH658" s="69"/>
      <c r="AI658" s="69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7"/>
      <c r="P659" s="4"/>
      <c r="Q659" s="7"/>
      <c r="R659" s="3"/>
      <c r="S659" s="3"/>
      <c r="T659" s="4"/>
      <c r="U659" s="4"/>
      <c r="V659" s="5"/>
      <c r="W659" s="4"/>
      <c r="X659" s="5"/>
      <c r="Y659" s="4"/>
      <c r="Z659" s="4"/>
      <c r="AA659" s="4"/>
      <c r="AB659" s="4"/>
      <c r="AC659" s="69"/>
      <c r="AD659" s="69"/>
      <c r="AE659" s="91"/>
      <c r="AF659" s="91"/>
      <c r="AG659" s="69"/>
      <c r="AH659" s="69"/>
      <c r="AI659" s="69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7"/>
      <c r="P660" s="4"/>
      <c r="Q660" s="7"/>
      <c r="R660" s="3"/>
      <c r="S660" s="3"/>
      <c r="T660" s="4"/>
      <c r="U660" s="4"/>
      <c r="V660" s="5"/>
      <c r="W660" s="4"/>
      <c r="X660" s="5"/>
      <c r="Y660" s="4"/>
      <c r="Z660" s="4"/>
      <c r="AA660" s="4"/>
      <c r="AB660" s="4"/>
      <c r="AC660" s="69"/>
      <c r="AD660" s="69"/>
      <c r="AE660" s="91"/>
      <c r="AF660" s="91"/>
      <c r="AG660" s="69"/>
      <c r="AH660" s="69"/>
      <c r="AI660" s="69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7"/>
      <c r="P661" s="4"/>
      <c r="Q661" s="7"/>
      <c r="R661" s="3"/>
      <c r="S661" s="3"/>
      <c r="T661" s="4"/>
      <c r="U661" s="4"/>
      <c r="V661" s="5"/>
      <c r="W661" s="4"/>
      <c r="X661" s="5"/>
      <c r="Y661" s="4"/>
      <c r="Z661" s="4"/>
      <c r="AA661" s="4"/>
      <c r="AB661" s="4"/>
      <c r="AC661" s="69"/>
      <c r="AD661" s="69"/>
      <c r="AE661" s="91"/>
      <c r="AF661" s="91"/>
      <c r="AG661" s="69"/>
      <c r="AH661" s="69"/>
      <c r="AI661" s="69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7"/>
      <c r="P662" s="4"/>
      <c r="Q662" s="7"/>
      <c r="R662" s="3"/>
      <c r="S662" s="3"/>
      <c r="T662" s="4"/>
      <c r="U662" s="4"/>
      <c r="V662" s="5"/>
      <c r="W662" s="4"/>
      <c r="X662" s="5"/>
      <c r="Y662" s="4"/>
      <c r="Z662" s="4"/>
      <c r="AA662" s="4"/>
      <c r="AB662" s="4"/>
      <c r="AC662" s="69"/>
      <c r="AD662" s="69"/>
      <c r="AE662" s="91"/>
      <c r="AF662" s="91"/>
      <c r="AG662" s="69"/>
      <c r="AH662" s="69"/>
      <c r="AI662" s="69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7"/>
      <c r="P663" s="4"/>
      <c r="Q663" s="7"/>
      <c r="R663" s="3"/>
      <c r="S663" s="3"/>
      <c r="T663" s="4"/>
      <c r="U663" s="4"/>
      <c r="V663" s="5"/>
      <c r="W663" s="4"/>
      <c r="X663" s="5"/>
      <c r="Y663" s="4"/>
      <c r="Z663" s="4"/>
      <c r="AA663" s="4"/>
      <c r="AB663" s="4"/>
      <c r="AC663" s="69"/>
      <c r="AD663" s="69"/>
      <c r="AE663" s="91"/>
      <c r="AF663" s="91"/>
      <c r="AG663" s="69"/>
      <c r="AH663" s="69"/>
      <c r="AI663" s="69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7"/>
      <c r="P664" s="4"/>
      <c r="Q664" s="7"/>
      <c r="R664" s="3"/>
      <c r="S664" s="3"/>
      <c r="T664" s="4"/>
      <c r="U664" s="4"/>
      <c r="V664" s="5"/>
      <c r="W664" s="4"/>
      <c r="X664" s="5"/>
      <c r="Y664" s="4"/>
      <c r="Z664" s="4"/>
      <c r="AA664" s="4"/>
      <c r="AB664" s="4"/>
      <c r="AC664" s="69"/>
      <c r="AD664" s="69"/>
      <c r="AE664" s="91"/>
      <c r="AF664" s="91"/>
      <c r="AG664" s="69"/>
      <c r="AH664" s="69"/>
      <c r="AI664" s="69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7"/>
      <c r="P665" s="4"/>
      <c r="Q665" s="7"/>
      <c r="R665" s="3"/>
      <c r="S665" s="3"/>
      <c r="T665" s="4"/>
      <c r="U665" s="4"/>
      <c r="V665" s="5"/>
      <c r="W665" s="4"/>
      <c r="X665" s="5"/>
      <c r="Y665" s="4"/>
      <c r="Z665" s="4"/>
      <c r="AA665" s="4"/>
      <c r="AB665" s="4"/>
      <c r="AC665" s="69"/>
      <c r="AD665" s="69"/>
      <c r="AE665" s="91"/>
      <c r="AF665" s="91"/>
      <c r="AG665" s="69"/>
      <c r="AH665" s="69"/>
      <c r="AI665" s="69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7"/>
      <c r="P666" s="4"/>
      <c r="Q666" s="7"/>
      <c r="R666" s="3"/>
      <c r="S666" s="3"/>
      <c r="T666" s="4"/>
      <c r="U666" s="4"/>
      <c r="V666" s="5"/>
      <c r="W666" s="4"/>
      <c r="X666" s="5"/>
      <c r="Y666" s="4"/>
      <c r="Z666" s="4"/>
      <c r="AA666" s="4"/>
      <c r="AB666" s="4"/>
      <c r="AC666" s="69"/>
      <c r="AD666" s="69"/>
      <c r="AE666" s="91"/>
      <c r="AF666" s="91"/>
      <c r="AG666" s="69"/>
      <c r="AH666" s="69"/>
      <c r="AI666" s="69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7"/>
      <c r="P667" s="4"/>
      <c r="Q667" s="7"/>
      <c r="R667" s="3"/>
      <c r="S667" s="3"/>
      <c r="T667" s="4"/>
      <c r="U667" s="4"/>
      <c r="V667" s="5"/>
      <c r="W667" s="4"/>
      <c r="X667" s="5"/>
      <c r="Y667" s="4"/>
      <c r="Z667" s="4"/>
      <c r="AA667" s="4"/>
      <c r="AB667" s="4"/>
      <c r="AC667" s="69"/>
      <c r="AD667" s="69"/>
      <c r="AE667" s="91"/>
      <c r="AF667" s="91"/>
      <c r="AG667" s="69"/>
      <c r="AH667" s="69"/>
      <c r="AI667" s="69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7"/>
      <c r="P668" s="4"/>
      <c r="Q668" s="7"/>
      <c r="R668" s="3"/>
      <c r="S668" s="3"/>
      <c r="T668" s="4"/>
      <c r="U668" s="4"/>
      <c r="V668" s="5"/>
      <c r="W668" s="4"/>
      <c r="X668" s="5"/>
      <c r="Y668" s="4"/>
      <c r="Z668" s="4"/>
      <c r="AA668" s="4"/>
      <c r="AB668" s="4"/>
      <c r="AC668" s="69"/>
      <c r="AD668" s="69"/>
      <c r="AE668" s="91"/>
      <c r="AF668" s="91"/>
      <c r="AG668" s="69"/>
      <c r="AH668" s="69"/>
      <c r="AI668" s="69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7"/>
      <c r="P669" s="4"/>
      <c r="Q669" s="7"/>
      <c r="R669" s="3"/>
      <c r="S669" s="3"/>
      <c r="T669" s="4"/>
      <c r="U669" s="4"/>
      <c r="V669" s="5"/>
      <c r="W669" s="4"/>
      <c r="X669" s="5"/>
      <c r="Y669" s="4"/>
      <c r="Z669" s="4"/>
      <c r="AA669" s="4"/>
      <c r="AB669" s="4"/>
      <c r="AC669" s="69"/>
      <c r="AD669" s="69"/>
      <c r="AE669" s="91"/>
      <c r="AF669" s="91"/>
      <c r="AG669" s="69"/>
      <c r="AH669" s="69"/>
      <c r="AI669" s="69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7"/>
      <c r="P670" s="4"/>
      <c r="Q670" s="7"/>
      <c r="R670" s="3"/>
      <c r="S670" s="3"/>
      <c r="T670" s="4"/>
      <c r="U670" s="4"/>
      <c r="V670" s="5"/>
      <c r="W670" s="4"/>
      <c r="X670" s="5"/>
      <c r="Y670" s="4"/>
      <c r="Z670" s="4"/>
      <c r="AA670" s="4"/>
      <c r="AB670" s="4"/>
      <c r="AC670" s="69"/>
      <c r="AD670" s="69"/>
      <c r="AE670" s="91"/>
      <c r="AF670" s="91"/>
      <c r="AG670" s="69"/>
      <c r="AH670" s="69"/>
      <c r="AI670" s="69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7"/>
      <c r="P671" s="4"/>
      <c r="Q671" s="7"/>
      <c r="R671" s="3"/>
      <c r="S671" s="3"/>
      <c r="T671" s="4"/>
      <c r="U671" s="4"/>
      <c r="V671" s="5"/>
      <c r="W671" s="4"/>
      <c r="X671" s="5"/>
      <c r="Y671" s="4"/>
      <c r="Z671" s="4"/>
      <c r="AA671" s="4"/>
      <c r="AB671" s="4"/>
      <c r="AC671" s="69"/>
      <c r="AD671" s="69"/>
      <c r="AE671" s="91"/>
      <c r="AF671" s="91"/>
      <c r="AG671" s="69"/>
      <c r="AH671" s="69"/>
      <c r="AI671" s="69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7"/>
      <c r="P672" s="4"/>
      <c r="Q672" s="7"/>
      <c r="R672" s="3"/>
      <c r="S672" s="3"/>
      <c r="T672" s="4"/>
      <c r="U672" s="4"/>
      <c r="V672" s="5"/>
      <c r="W672" s="4"/>
      <c r="X672" s="5"/>
      <c r="Y672" s="4"/>
      <c r="Z672" s="4"/>
      <c r="AA672" s="4"/>
      <c r="AB672" s="4"/>
      <c r="AC672" s="69"/>
      <c r="AD672" s="69"/>
      <c r="AE672" s="91"/>
      <c r="AF672" s="91"/>
      <c r="AG672" s="69"/>
      <c r="AH672" s="69"/>
      <c r="AI672" s="69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7"/>
      <c r="P673" s="4"/>
      <c r="Q673" s="7"/>
      <c r="R673" s="3"/>
      <c r="S673" s="3"/>
      <c r="T673" s="4"/>
      <c r="U673" s="4"/>
      <c r="V673" s="5"/>
      <c r="W673" s="4"/>
      <c r="X673" s="5"/>
      <c r="Y673" s="4"/>
      <c r="Z673" s="4"/>
      <c r="AA673" s="4"/>
      <c r="AB673" s="4"/>
      <c r="AC673" s="69"/>
      <c r="AD673" s="69"/>
      <c r="AE673" s="91"/>
      <c r="AF673" s="91"/>
      <c r="AG673" s="69"/>
      <c r="AH673" s="69"/>
      <c r="AI673" s="69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7"/>
      <c r="P674" s="4"/>
      <c r="Q674" s="7"/>
      <c r="R674" s="3"/>
      <c r="S674" s="3"/>
      <c r="T674" s="4"/>
      <c r="U674" s="4"/>
      <c r="V674" s="5"/>
      <c r="W674" s="4"/>
      <c r="X674" s="5"/>
      <c r="Y674" s="4"/>
      <c r="Z674" s="4"/>
      <c r="AA674" s="4"/>
      <c r="AB674" s="4"/>
      <c r="AC674" s="69"/>
      <c r="AD674" s="69"/>
      <c r="AE674" s="91"/>
      <c r="AF674" s="91"/>
      <c r="AG674" s="69"/>
      <c r="AH674" s="69"/>
      <c r="AI674" s="69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7"/>
      <c r="P675" s="4"/>
      <c r="Q675" s="7"/>
      <c r="R675" s="3"/>
      <c r="S675" s="3"/>
      <c r="T675" s="4"/>
      <c r="U675" s="4"/>
      <c r="V675" s="5"/>
      <c r="W675" s="4"/>
      <c r="X675" s="5"/>
      <c r="Y675" s="4"/>
      <c r="Z675" s="4"/>
      <c r="AA675" s="4"/>
      <c r="AB675" s="4"/>
      <c r="AC675" s="69"/>
      <c r="AD675" s="69"/>
      <c r="AE675" s="91"/>
      <c r="AF675" s="91"/>
      <c r="AG675" s="69"/>
      <c r="AH675" s="69"/>
      <c r="AI675" s="69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7"/>
      <c r="P676" s="4"/>
      <c r="Q676" s="7"/>
      <c r="R676" s="3"/>
      <c r="S676" s="3"/>
      <c r="T676" s="4"/>
      <c r="U676" s="4"/>
      <c r="V676" s="5"/>
      <c r="W676" s="4"/>
      <c r="X676" s="5"/>
      <c r="Y676" s="4"/>
      <c r="Z676" s="4"/>
      <c r="AA676" s="4"/>
      <c r="AB676" s="4"/>
      <c r="AC676" s="69"/>
      <c r="AD676" s="69"/>
      <c r="AE676" s="91"/>
      <c r="AF676" s="91"/>
      <c r="AG676" s="69"/>
      <c r="AH676" s="69"/>
      <c r="AI676" s="69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7"/>
      <c r="P677" s="4"/>
      <c r="Q677" s="7"/>
      <c r="R677" s="3"/>
      <c r="S677" s="3"/>
      <c r="T677" s="4"/>
      <c r="U677" s="4"/>
      <c r="V677" s="5"/>
      <c r="W677" s="4"/>
      <c r="X677" s="5"/>
      <c r="Y677" s="4"/>
      <c r="Z677" s="4"/>
      <c r="AA677" s="4"/>
      <c r="AB677" s="4"/>
      <c r="AC677" s="69"/>
      <c r="AD677" s="69"/>
      <c r="AE677" s="91"/>
      <c r="AF677" s="91"/>
      <c r="AG677" s="69"/>
      <c r="AH677" s="69"/>
      <c r="AI677" s="69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7"/>
      <c r="P678" s="4"/>
      <c r="Q678" s="7"/>
      <c r="R678" s="3"/>
      <c r="S678" s="3"/>
      <c r="T678" s="4"/>
      <c r="U678" s="4"/>
      <c r="V678" s="5"/>
      <c r="W678" s="4"/>
      <c r="X678" s="5"/>
      <c r="Y678" s="4"/>
      <c r="Z678" s="4"/>
      <c r="AA678" s="4"/>
      <c r="AB678" s="4"/>
      <c r="AC678" s="69"/>
      <c r="AD678" s="69"/>
      <c r="AE678" s="91"/>
      <c r="AF678" s="91"/>
      <c r="AG678" s="69"/>
      <c r="AH678" s="69"/>
      <c r="AI678" s="69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7"/>
      <c r="P679" s="4"/>
      <c r="Q679" s="7"/>
      <c r="R679" s="3"/>
      <c r="S679" s="3"/>
      <c r="T679" s="4"/>
      <c r="U679" s="4"/>
      <c r="V679" s="5"/>
      <c r="W679" s="4"/>
      <c r="X679" s="5"/>
      <c r="Y679" s="4"/>
      <c r="Z679" s="4"/>
      <c r="AA679" s="4"/>
      <c r="AB679" s="4"/>
      <c r="AC679" s="69"/>
      <c r="AD679" s="69"/>
      <c r="AE679" s="91"/>
      <c r="AF679" s="91"/>
      <c r="AG679" s="69"/>
      <c r="AH679" s="69"/>
      <c r="AI679" s="69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7"/>
      <c r="P680" s="4"/>
      <c r="Q680" s="7"/>
      <c r="R680" s="3"/>
      <c r="S680" s="3"/>
      <c r="T680" s="4"/>
      <c r="U680" s="4"/>
      <c r="V680" s="5"/>
      <c r="W680" s="4"/>
      <c r="X680" s="5"/>
      <c r="Y680" s="4"/>
      <c r="Z680" s="4"/>
      <c r="AA680" s="4"/>
      <c r="AB680" s="4"/>
      <c r="AC680" s="69"/>
      <c r="AD680" s="69"/>
      <c r="AE680" s="91"/>
      <c r="AF680" s="91"/>
      <c r="AG680" s="69"/>
      <c r="AH680" s="69"/>
      <c r="AI680" s="69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7"/>
      <c r="P681" s="4"/>
      <c r="Q681" s="7"/>
      <c r="R681" s="3"/>
      <c r="S681" s="3"/>
      <c r="T681" s="4"/>
      <c r="U681" s="4"/>
      <c r="V681" s="5"/>
      <c r="W681" s="4"/>
      <c r="X681" s="5"/>
      <c r="Y681" s="4"/>
      <c r="Z681" s="4"/>
      <c r="AA681" s="4"/>
      <c r="AB681" s="4"/>
      <c r="AC681" s="69"/>
      <c r="AD681" s="69"/>
      <c r="AE681" s="91"/>
      <c r="AF681" s="91"/>
      <c r="AG681" s="69"/>
      <c r="AH681" s="69"/>
      <c r="AI681" s="69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7"/>
      <c r="P682" s="4"/>
      <c r="Q682" s="7"/>
      <c r="R682" s="3"/>
      <c r="S682" s="3"/>
      <c r="T682" s="4"/>
      <c r="U682" s="4"/>
      <c r="V682" s="5"/>
      <c r="W682" s="4"/>
      <c r="X682" s="5"/>
      <c r="Y682" s="4"/>
      <c r="Z682" s="4"/>
      <c r="AA682" s="4"/>
      <c r="AB682" s="4"/>
      <c r="AC682" s="69"/>
      <c r="AD682" s="69"/>
      <c r="AE682" s="91"/>
      <c r="AF682" s="91"/>
      <c r="AG682" s="69"/>
      <c r="AH682" s="69"/>
      <c r="AI682" s="69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7"/>
      <c r="P683" s="4"/>
      <c r="Q683" s="7"/>
      <c r="R683" s="3"/>
      <c r="S683" s="3"/>
      <c r="T683" s="4"/>
      <c r="U683" s="4"/>
      <c r="V683" s="5"/>
      <c r="W683" s="4"/>
      <c r="X683" s="5"/>
      <c r="Y683" s="4"/>
      <c r="Z683" s="4"/>
      <c r="AA683" s="4"/>
      <c r="AB683" s="4"/>
      <c r="AC683" s="69"/>
      <c r="AD683" s="69"/>
      <c r="AE683" s="91"/>
      <c r="AF683" s="91"/>
      <c r="AG683" s="69"/>
      <c r="AH683" s="69"/>
      <c r="AI683" s="69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7"/>
      <c r="P684" s="4"/>
      <c r="Q684" s="7"/>
      <c r="R684" s="3"/>
      <c r="S684" s="3"/>
      <c r="T684" s="4"/>
      <c r="U684" s="4"/>
      <c r="V684" s="5"/>
      <c r="W684" s="4"/>
      <c r="X684" s="5"/>
      <c r="Y684" s="4"/>
      <c r="Z684" s="4"/>
      <c r="AA684" s="4"/>
      <c r="AB684" s="4"/>
      <c r="AC684" s="69"/>
      <c r="AD684" s="69"/>
      <c r="AE684" s="91"/>
      <c r="AF684" s="91"/>
      <c r="AG684" s="69"/>
      <c r="AH684" s="69"/>
      <c r="AI684" s="69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7"/>
      <c r="P685" s="4"/>
      <c r="Q685" s="7"/>
      <c r="R685" s="3"/>
      <c r="S685" s="3"/>
      <c r="T685" s="4"/>
      <c r="U685" s="4"/>
      <c r="V685" s="5"/>
      <c r="W685" s="4"/>
      <c r="X685" s="5"/>
      <c r="Y685" s="4"/>
      <c r="Z685" s="4"/>
      <c r="AA685" s="4"/>
      <c r="AB685" s="4"/>
      <c r="AC685" s="69"/>
      <c r="AD685" s="69"/>
      <c r="AE685" s="91"/>
      <c r="AF685" s="91"/>
      <c r="AG685" s="69"/>
      <c r="AH685" s="69"/>
      <c r="AI685" s="69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7"/>
      <c r="P686" s="4"/>
      <c r="Q686" s="7"/>
      <c r="R686" s="3"/>
      <c r="S686" s="3"/>
      <c r="T686" s="4"/>
      <c r="U686" s="4"/>
      <c r="V686" s="5"/>
      <c r="W686" s="4"/>
      <c r="X686" s="5"/>
      <c r="Y686" s="4"/>
      <c r="Z686" s="4"/>
      <c r="AA686" s="4"/>
      <c r="AB686" s="4"/>
      <c r="AC686" s="69"/>
      <c r="AD686" s="69"/>
      <c r="AE686" s="91"/>
      <c r="AF686" s="91"/>
      <c r="AG686" s="69"/>
      <c r="AH686" s="69"/>
      <c r="AI686" s="69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7"/>
      <c r="P687" s="4"/>
      <c r="Q687" s="7"/>
      <c r="R687" s="3"/>
      <c r="S687" s="3"/>
      <c r="T687" s="4"/>
      <c r="U687" s="4"/>
      <c r="V687" s="5"/>
      <c r="W687" s="4"/>
      <c r="X687" s="5"/>
      <c r="Y687" s="4"/>
      <c r="Z687" s="4"/>
      <c r="AA687" s="4"/>
      <c r="AB687" s="4"/>
      <c r="AC687" s="69"/>
      <c r="AD687" s="69"/>
      <c r="AE687" s="91"/>
      <c r="AF687" s="91"/>
      <c r="AG687" s="69"/>
      <c r="AH687" s="69"/>
      <c r="AI687" s="69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7"/>
      <c r="P688" s="4"/>
      <c r="Q688" s="7"/>
      <c r="R688" s="3"/>
      <c r="S688" s="3"/>
      <c r="T688" s="4"/>
      <c r="U688" s="4"/>
      <c r="V688" s="5"/>
      <c r="W688" s="4"/>
      <c r="X688" s="5"/>
      <c r="Y688" s="4"/>
      <c r="Z688" s="4"/>
      <c r="AA688" s="4"/>
      <c r="AB688" s="4"/>
      <c r="AC688" s="69"/>
      <c r="AD688" s="69"/>
      <c r="AE688" s="91"/>
      <c r="AF688" s="91"/>
      <c r="AG688" s="69"/>
      <c r="AH688" s="69"/>
      <c r="AI688" s="69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7"/>
      <c r="P689" s="4"/>
      <c r="Q689" s="7"/>
      <c r="R689" s="3"/>
      <c r="S689" s="3"/>
      <c r="T689" s="4"/>
      <c r="U689" s="4"/>
      <c r="V689" s="5"/>
      <c r="W689" s="4"/>
      <c r="X689" s="5"/>
      <c r="Y689" s="4"/>
      <c r="Z689" s="4"/>
      <c r="AA689" s="4"/>
      <c r="AB689" s="4"/>
      <c r="AC689" s="69"/>
      <c r="AD689" s="69"/>
      <c r="AE689" s="91"/>
      <c r="AF689" s="91"/>
      <c r="AG689" s="69"/>
      <c r="AH689" s="69"/>
      <c r="AI689" s="69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7"/>
      <c r="P690" s="4"/>
      <c r="Q690" s="7"/>
      <c r="R690" s="3"/>
      <c r="S690" s="3"/>
      <c r="T690" s="4"/>
      <c r="U690" s="4"/>
      <c r="V690" s="5"/>
      <c r="W690" s="4"/>
      <c r="X690" s="5"/>
      <c r="Y690" s="4"/>
      <c r="Z690" s="4"/>
      <c r="AA690" s="4"/>
      <c r="AB690" s="4"/>
      <c r="AC690" s="69"/>
      <c r="AD690" s="69"/>
      <c r="AE690" s="91"/>
      <c r="AF690" s="91"/>
      <c r="AG690" s="69"/>
      <c r="AH690" s="69"/>
      <c r="AI690" s="69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7"/>
      <c r="P691" s="4"/>
      <c r="Q691" s="7"/>
      <c r="R691" s="3"/>
      <c r="S691" s="3"/>
      <c r="T691" s="4"/>
      <c r="U691" s="4"/>
      <c r="V691" s="5"/>
      <c r="W691" s="4"/>
      <c r="X691" s="5"/>
      <c r="Y691" s="4"/>
      <c r="Z691" s="4"/>
      <c r="AA691" s="4"/>
      <c r="AB691" s="4"/>
      <c r="AC691" s="69"/>
      <c r="AD691" s="69"/>
      <c r="AE691" s="91"/>
      <c r="AF691" s="91"/>
      <c r="AG691" s="69"/>
      <c r="AH691" s="69"/>
      <c r="AI691" s="69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7"/>
      <c r="P692" s="4"/>
      <c r="Q692" s="7"/>
      <c r="R692" s="3"/>
      <c r="S692" s="3"/>
      <c r="T692" s="4"/>
      <c r="U692" s="4"/>
      <c r="V692" s="5"/>
      <c r="W692" s="4"/>
      <c r="X692" s="5"/>
      <c r="Y692" s="4"/>
      <c r="Z692" s="4"/>
      <c r="AA692" s="4"/>
      <c r="AB692" s="4"/>
      <c r="AC692" s="69"/>
      <c r="AD692" s="69"/>
      <c r="AE692" s="91"/>
      <c r="AF692" s="91"/>
      <c r="AG692" s="69"/>
      <c r="AH692" s="69"/>
      <c r="AI692" s="69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7"/>
      <c r="P693" s="4"/>
      <c r="Q693" s="7"/>
      <c r="R693" s="3"/>
      <c r="S693" s="3"/>
      <c r="T693" s="4"/>
      <c r="U693" s="4"/>
      <c r="V693" s="5"/>
      <c r="W693" s="4"/>
      <c r="X693" s="5"/>
      <c r="Y693" s="4"/>
      <c r="Z693" s="4"/>
      <c r="AA693" s="4"/>
      <c r="AB693" s="4"/>
      <c r="AC693" s="69"/>
      <c r="AD693" s="69"/>
      <c r="AE693" s="91"/>
      <c r="AF693" s="91"/>
      <c r="AG693" s="69"/>
      <c r="AH693" s="69"/>
      <c r="AI693" s="69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7"/>
      <c r="P694" s="4"/>
      <c r="Q694" s="7"/>
      <c r="R694" s="3"/>
      <c r="S694" s="3"/>
      <c r="T694" s="4"/>
      <c r="U694" s="4"/>
      <c r="V694" s="5"/>
      <c r="W694" s="4"/>
      <c r="X694" s="5"/>
      <c r="Y694" s="4"/>
      <c r="Z694" s="4"/>
      <c r="AA694" s="4"/>
      <c r="AB694" s="4"/>
      <c r="AC694" s="69"/>
      <c r="AD694" s="69"/>
      <c r="AE694" s="91"/>
      <c r="AF694" s="91"/>
      <c r="AG694" s="69"/>
      <c r="AH694" s="69"/>
      <c r="AI694" s="69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7"/>
      <c r="P695" s="4"/>
      <c r="Q695" s="7"/>
      <c r="R695" s="3"/>
      <c r="S695" s="3"/>
      <c r="T695" s="4"/>
      <c r="U695" s="4"/>
      <c r="V695" s="5"/>
      <c r="W695" s="4"/>
      <c r="X695" s="5"/>
      <c r="Y695" s="4"/>
      <c r="Z695" s="4"/>
      <c r="AA695" s="4"/>
      <c r="AB695" s="4"/>
      <c r="AC695" s="69"/>
      <c r="AD695" s="69"/>
      <c r="AE695" s="91"/>
      <c r="AF695" s="91"/>
      <c r="AG695" s="69"/>
      <c r="AH695" s="69"/>
      <c r="AI695" s="69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7"/>
      <c r="P696" s="4"/>
      <c r="Q696" s="7"/>
      <c r="R696" s="3"/>
      <c r="S696" s="3"/>
      <c r="T696" s="4"/>
      <c r="U696" s="4"/>
      <c r="V696" s="5"/>
      <c r="W696" s="4"/>
      <c r="X696" s="5"/>
      <c r="Y696" s="4"/>
      <c r="Z696" s="4"/>
      <c r="AA696" s="4"/>
      <c r="AB696" s="4"/>
      <c r="AC696" s="69"/>
      <c r="AD696" s="69"/>
      <c r="AE696" s="91"/>
      <c r="AF696" s="91"/>
      <c r="AG696" s="69"/>
      <c r="AH696" s="69"/>
      <c r="AI696" s="69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7"/>
      <c r="P697" s="4"/>
      <c r="Q697" s="7"/>
      <c r="R697" s="3"/>
      <c r="S697" s="3"/>
      <c r="T697" s="4"/>
      <c r="U697" s="4"/>
      <c r="V697" s="5"/>
      <c r="W697" s="4"/>
      <c r="X697" s="5"/>
      <c r="Y697" s="4"/>
      <c r="Z697" s="4"/>
      <c r="AA697" s="4"/>
      <c r="AB697" s="4"/>
      <c r="AC697" s="69"/>
      <c r="AD697" s="69"/>
      <c r="AE697" s="91"/>
      <c r="AF697" s="91"/>
      <c r="AG697" s="69"/>
      <c r="AH697" s="69"/>
      <c r="AI697" s="69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7"/>
      <c r="P698" s="4"/>
      <c r="Q698" s="7"/>
      <c r="R698" s="3"/>
      <c r="S698" s="3"/>
      <c r="T698" s="4"/>
      <c r="U698" s="4"/>
      <c r="V698" s="5"/>
      <c r="W698" s="4"/>
      <c r="X698" s="5"/>
      <c r="Y698" s="4"/>
      <c r="Z698" s="4"/>
      <c r="AA698" s="4"/>
      <c r="AB698" s="4"/>
      <c r="AC698" s="69"/>
      <c r="AD698" s="69"/>
      <c r="AE698" s="91"/>
      <c r="AF698" s="91"/>
      <c r="AG698" s="69"/>
      <c r="AH698" s="69"/>
      <c r="AI698" s="69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7"/>
      <c r="P699" s="4"/>
      <c r="Q699" s="7"/>
      <c r="R699" s="3"/>
      <c r="S699" s="3"/>
      <c r="T699" s="4"/>
      <c r="U699" s="4"/>
      <c r="V699" s="5"/>
      <c r="W699" s="4"/>
      <c r="X699" s="5"/>
      <c r="Y699" s="4"/>
      <c r="Z699" s="4"/>
      <c r="AA699" s="4"/>
      <c r="AB699" s="4"/>
      <c r="AC699" s="69"/>
      <c r="AD699" s="69"/>
      <c r="AE699" s="91"/>
      <c r="AF699" s="91"/>
      <c r="AG699" s="69"/>
      <c r="AH699" s="69"/>
      <c r="AI699" s="69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7"/>
      <c r="P700" s="4"/>
      <c r="Q700" s="7"/>
      <c r="R700" s="3"/>
      <c r="S700" s="3"/>
      <c r="T700" s="4"/>
      <c r="U700" s="4"/>
      <c r="V700" s="5"/>
      <c r="W700" s="4"/>
      <c r="X700" s="5"/>
      <c r="Y700" s="4"/>
      <c r="Z700" s="4"/>
      <c r="AA700" s="4"/>
      <c r="AB700" s="4"/>
      <c r="AC700" s="69"/>
      <c r="AD700" s="69"/>
      <c r="AE700" s="91"/>
      <c r="AF700" s="91"/>
      <c r="AG700" s="69"/>
      <c r="AH700" s="69"/>
      <c r="AI700" s="69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7"/>
      <c r="P701" s="4"/>
      <c r="Q701" s="7"/>
      <c r="R701" s="3"/>
      <c r="S701" s="3"/>
      <c r="T701" s="4"/>
      <c r="U701" s="4"/>
      <c r="V701" s="5"/>
      <c r="W701" s="4"/>
      <c r="X701" s="5"/>
      <c r="Y701" s="4"/>
      <c r="Z701" s="4"/>
      <c r="AA701" s="4"/>
      <c r="AB701" s="4"/>
      <c r="AC701" s="69"/>
      <c r="AD701" s="69"/>
      <c r="AE701" s="91"/>
      <c r="AF701" s="91"/>
      <c r="AG701" s="69"/>
      <c r="AH701" s="69"/>
      <c r="AI701" s="69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7"/>
      <c r="P702" s="4"/>
      <c r="Q702" s="7"/>
      <c r="R702" s="3"/>
      <c r="S702" s="3"/>
      <c r="T702" s="4"/>
      <c r="U702" s="4"/>
      <c r="V702" s="5"/>
      <c r="W702" s="4"/>
      <c r="X702" s="5"/>
      <c r="Y702" s="4"/>
      <c r="Z702" s="4"/>
      <c r="AA702" s="4"/>
      <c r="AB702" s="4"/>
      <c r="AC702" s="69"/>
      <c r="AD702" s="69"/>
      <c r="AE702" s="91"/>
      <c r="AF702" s="91"/>
      <c r="AG702" s="69"/>
      <c r="AH702" s="69"/>
      <c r="AI702" s="69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7"/>
      <c r="P703" s="4"/>
      <c r="Q703" s="7"/>
      <c r="R703" s="3"/>
      <c r="S703" s="3"/>
      <c r="T703" s="4"/>
      <c r="U703" s="4"/>
      <c r="V703" s="5"/>
      <c r="W703" s="4"/>
      <c r="X703" s="5"/>
      <c r="Y703" s="4"/>
      <c r="Z703" s="4"/>
      <c r="AA703" s="4"/>
      <c r="AB703" s="4"/>
      <c r="AC703" s="69"/>
      <c r="AD703" s="69"/>
      <c r="AE703" s="91"/>
      <c r="AF703" s="91"/>
      <c r="AG703" s="69"/>
      <c r="AH703" s="69"/>
      <c r="AI703" s="69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7"/>
      <c r="P704" s="4"/>
      <c r="Q704" s="7"/>
      <c r="R704" s="3"/>
      <c r="S704" s="3"/>
      <c r="T704" s="4"/>
      <c r="U704" s="4"/>
      <c r="V704" s="5"/>
      <c r="W704" s="4"/>
      <c r="X704" s="5"/>
      <c r="Y704" s="4"/>
      <c r="Z704" s="4"/>
      <c r="AA704" s="4"/>
      <c r="AB704" s="4"/>
      <c r="AC704" s="69"/>
      <c r="AD704" s="69"/>
      <c r="AE704" s="91"/>
      <c r="AF704" s="91"/>
      <c r="AG704" s="69"/>
      <c r="AH704" s="69"/>
      <c r="AI704" s="69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7"/>
      <c r="P705" s="4"/>
      <c r="Q705" s="7"/>
      <c r="R705" s="3"/>
      <c r="S705" s="3"/>
      <c r="T705" s="4"/>
      <c r="U705" s="4"/>
      <c r="V705" s="5"/>
      <c r="W705" s="4"/>
      <c r="X705" s="5"/>
      <c r="Y705" s="4"/>
      <c r="Z705" s="4"/>
      <c r="AA705" s="4"/>
      <c r="AB705" s="4"/>
      <c r="AC705" s="69"/>
      <c r="AD705" s="69"/>
      <c r="AE705" s="91"/>
      <c r="AF705" s="91"/>
      <c r="AG705" s="69"/>
      <c r="AH705" s="69"/>
      <c r="AI705" s="69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7"/>
      <c r="P706" s="4"/>
      <c r="Q706" s="7"/>
      <c r="R706" s="3"/>
      <c r="S706" s="3"/>
      <c r="T706" s="4"/>
      <c r="U706" s="4"/>
      <c r="V706" s="5"/>
      <c r="W706" s="4"/>
      <c r="X706" s="5"/>
      <c r="Y706" s="4"/>
      <c r="Z706" s="4"/>
      <c r="AA706" s="4"/>
      <c r="AB706" s="4"/>
      <c r="AC706" s="69"/>
      <c r="AD706" s="69"/>
      <c r="AE706" s="91"/>
      <c r="AF706" s="91"/>
      <c r="AG706" s="69"/>
      <c r="AH706" s="69"/>
      <c r="AI706" s="69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7"/>
      <c r="P707" s="4"/>
      <c r="Q707" s="7"/>
      <c r="R707" s="3"/>
      <c r="S707" s="3"/>
      <c r="T707" s="4"/>
      <c r="U707" s="4"/>
      <c r="V707" s="5"/>
      <c r="W707" s="4"/>
      <c r="X707" s="5"/>
      <c r="Y707" s="4"/>
      <c r="Z707" s="4"/>
      <c r="AA707" s="4"/>
      <c r="AB707" s="4"/>
      <c r="AC707" s="69"/>
      <c r="AD707" s="69"/>
      <c r="AE707" s="91"/>
      <c r="AF707" s="91"/>
      <c r="AG707" s="69"/>
      <c r="AH707" s="69"/>
      <c r="AI707" s="69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7"/>
      <c r="P708" s="4"/>
      <c r="Q708" s="7"/>
      <c r="R708" s="3"/>
      <c r="S708" s="3"/>
      <c r="T708" s="4"/>
      <c r="U708" s="4"/>
      <c r="V708" s="5"/>
      <c r="W708" s="4"/>
      <c r="X708" s="5"/>
      <c r="Y708" s="4"/>
      <c r="Z708" s="4"/>
      <c r="AA708" s="4"/>
      <c r="AB708" s="4"/>
      <c r="AC708" s="69"/>
      <c r="AD708" s="69"/>
      <c r="AE708" s="91"/>
      <c r="AF708" s="91"/>
      <c r="AG708" s="69"/>
      <c r="AH708" s="69"/>
      <c r="AI708" s="69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7"/>
      <c r="P709" s="4"/>
      <c r="Q709" s="7"/>
      <c r="R709" s="3"/>
      <c r="S709" s="3"/>
      <c r="T709" s="4"/>
      <c r="U709" s="4"/>
      <c r="V709" s="5"/>
      <c r="W709" s="4"/>
      <c r="X709" s="5"/>
      <c r="Y709" s="4"/>
      <c r="Z709" s="4"/>
      <c r="AA709" s="4"/>
      <c r="AB709" s="4"/>
      <c r="AC709" s="69"/>
      <c r="AD709" s="69"/>
      <c r="AE709" s="91"/>
      <c r="AF709" s="91"/>
      <c r="AG709" s="69"/>
      <c r="AH709" s="69"/>
      <c r="AI709" s="69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7"/>
      <c r="P710" s="4"/>
      <c r="Q710" s="7"/>
      <c r="R710" s="3"/>
      <c r="S710" s="3"/>
      <c r="T710" s="4"/>
      <c r="U710" s="4"/>
      <c r="V710" s="5"/>
      <c r="W710" s="4"/>
      <c r="X710" s="5"/>
      <c r="Y710" s="4"/>
      <c r="Z710" s="4"/>
      <c r="AA710" s="4"/>
      <c r="AB710" s="4"/>
      <c r="AC710" s="69"/>
      <c r="AD710" s="69"/>
      <c r="AE710" s="91"/>
      <c r="AF710" s="91"/>
      <c r="AG710" s="69"/>
      <c r="AH710" s="69"/>
      <c r="AI710" s="69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7"/>
      <c r="P711" s="4"/>
      <c r="Q711" s="7"/>
      <c r="R711" s="3"/>
      <c r="S711" s="3"/>
      <c r="T711" s="4"/>
      <c r="U711" s="4"/>
      <c r="V711" s="5"/>
      <c r="W711" s="4"/>
      <c r="X711" s="5"/>
      <c r="Y711" s="4"/>
      <c r="Z711" s="4"/>
      <c r="AA711" s="4"/>
      <c r="AB711" s="4"/>
      <c r="AC711" s="69"/>
      <c r="AD711" s="69"/>
      <c r="AE711" s="91"/>
      <c r="AF711" s="91"/>
      <c r="AG711" s="69"/>
      <c r="AH711" s="69"/>
      <c r="AI711" s="69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7"/>
      <c r="P712" s="4"/>
      <c r="Q712" s="7"/>
      <c r="R712" s="3"/>
      <c r="S712" s="3"/>
      <c r="T712" s="4"/>
      <c r="U712" s="4"/>
      <c r="V712" s="5"/>
      <c r="W712" s="4"/>
      <c r="X712" s="5"/>
      <c r="Y712" s="4"/>
      <c r="Z712" s="4"/>
      <c r="AA712" s="4"/>
      <c r="AB712" s="4"/>
      <c r="AC712" s="69"/>
      <c r="AD712" s="69"/>
      <c r="AE712" s="91"/>
      <c r="AF712" s="91"/>
      <c r="AG712" s="69"/>
      <c r="AH712" s="69"/>
      <c r="AI712" s="69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7"/>
      <c r="P713" s="4"/>
      <c r="Q713" s="7"/>
      <c r="R713" s="3"/>
      <c r="S713" s="3"/>
      <c r="T713" s="4"/>
      <c r="U713" s="4"/>
      <c r="V713" s="5"/>
      <c r="W713" s="4"/>
      <c r="X713" s="5"/>
      <c r="Y713" s="4"/>
      <c r="Z713" s="4"/>
      <c r="AA713" s="4"/>
      <c r="AB713" s="4"/>
      <c r="AC713" s="69"/>
      <c r="AD713" s="69"/>
      <c r="AE713" s="91"/>
      <c r="AF713" s="91"/>
      <c r="AG713" s="69"/>
      <c r="AH713" s="69"/>
      <c r="AI713" s="69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7"/>
      <c r="P714" s="4"/>
      <c r="Q714" s="7"/>
      <c r="R714" s="3"/>
      <c r="S714" s="3"/>
      <c r="T714" s="4"/>
      <c r="U714" s="4"/>
      <c r="V714" s="5"/>
      <c r="W714" s="4"/>
      <c r="X714" s="5"/>
      <c r="Y714" s="4"/>
      <c r="Z714" s="4"/>
      <c r="AA714" s="4"/>
      <c r="AB714" s="4"/>
      <c r="AC714" s="69"/>
      <c r="AD714" s="69"/>
      <c r="AE714" s="91"/>
      <c r="AF714" s="91"/>
      <c r="AG714" s="69"/>
      <c r="AH714" s="69"/>
      <c r="AI714" s="69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7"/>
      <c r="P715" s="4"/>
      <c r="Q715" s="7"/>
      <c r="R715" s="3"/>
      <c r="S715" s="3"/>
      <c r="T715" s="4"/>
      <c r="U715" s="4"/>
      <c r="V715" s="5"/>
      <c r="W715" s="4"/>
      <c r="X715" s="5"/>
      <c r="Y715" s="4"/>
      <c r="Z715" s="4"/>
      <c r="AA715" s="4"/>
      <c r="AB715" s="4"/>
      <c r="AC715" s="69"/>
      <c r="AD715" s="69"/>
      <c r="AE715" s="91"/>
      <c r="AF715" s="91"/>
      <c r="AG715" s="69"/>
      <c r="AH715" s="69"/>
      <c r="AI715" s="69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7"/>
      <c r="P716" s="4"/>
      <c r="Q716" s="7"/>
      <c r="R716" s="3"/>
      <c r="S716" s="3"/>
      <c r="T716" s="4"/>
      <c r="U716" s="4"/>
      <c r="V716" s="5"/>
      <c r="W716" s="4"/>
      <c r="X716" s="5"/>
      <c r="Y716" s="4"/>
      <c r="Z716" s="4"/>
      <c r="AA716" s="4"/>
      <c r="AB716" s="4"/>
      <c r="AC716" s="69"/>
      <c r="AD716" s="69"/>
      <c r="AE716" s="91"/>
      <c r="AF716" s="91"/>
      <c r="AG716" s="69"/>
      <c r="AH716" s="69"/>
      <c r="AI716" s="69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7"/>
      <c r="P717" s="4"/>
      <c r="Q717" s="7"/>
      <c r="R717" s="3"/>
      <c r="S717" s="3"/>
      <c r="T717" s="4"/>
      <c r="U717" s="4"/>
      <c r="V717" s="5"/>
      <c r="W717" s="4"/>
      <c r="X717" s="5"/>
      <c r="Y717" s="4"/>
      <c r="Z717" s="4"/>
      <c r="AA717" s="4"/>
      <c r="AB717" s="4"/>
      <c r="AC717" s="69"/>
      <c r="AD717" s="69"/>
      <c r="AE717" s="91"/>
      <c r="AF717" s="91"/>
      <c r="AG717" s="69"/>
      <c r="AH717" s="69"/>
      <c r="AI717" s="69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7"/>
      <c r="P718" s="4"/>
      <c r="Q718" s="7"/>
      <c r="R718" s="3"/>
      <c r="S718" s="3"/>
      <c r="T718" s="4"/>
      <c r="U718" s="4"/>
      <c r="V718" s="5"/>
      <c r="W718" s="4"/>
      <c r="X718" s="5"/>
      <c r="Y718" s="4"/>
      <c r="Z718" s="4"/>
      <c r="AA718" s="4"/>
      <c r="AB718" s="4"/>
      <c r="AC718" s="69"/>
      <c r="AD718" s="69"/>
      <c r="AE718" s="91"/>
      <c r="AF718" s="91"/>
      <c r="AG718" s="69"/>
      <c r="AH718" s="69"/>
      <c r="AI718" s="69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7"/>
      <c r="P719" s="4"/>
      <c r="Q719" s="7"/>
      <c r="R719" s="3"/>
      <c r="S719" s="3"/>
      <c r="T719" s="4"/>
      <c r="U719" s="4"/>
      <c r="V719" s="5"/>
      <c r="W719" s="4"/>
      <c r="X719" s="5"/>
      <c r="Y719" s="4"/>
      <c r="Z719" s="4"/>
      <c r="AA719" s="4"/>
      <c r="AB719" s="4"/>
      <c r="AC719" s="69"/>
      <c r="AD719" s="69"/>
      <c r="AE719" s="91"/>
      <c r="AF719" s="91"/>
      <c r="AG719" s="69"/>
      <c r="AH719" s="69"/>
      <c r="AI719" s="69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7"/>
      <c r="P720" s="4"/>
      <c r="Q720" s="7"/>
      <c r="R720" s="3"/>
      <c r="S720" s="3"/>
      <c r="T720" s="4"/>
      <c r="U720" s="4"/>
      <c r="V720" s="5"/>
      <c r="W720" s="4"/>
      <c r="X720" s="5"/>
      <c r="Y720" s="4"/>
      <c r="Z720" s="4"/>
      <c r="AA720" s="4"/>
      <c r="AB720" s="4"/>
      <c r="AC720" s="69"/>
      <c r="AD720" s="69"/>
      <c r="AE720" s="91"/>
      <c r="AF720" s="91"/>
      <c r="AG720" s="69"/>
      <c r="AH720" s="69"/>
      <c r="AI720" s="69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7"/>
      <c r="P721" s="4"/>
      <c r="Q721" s="7"/>
      <c r="R721" s="3"/>
      <c r="S721" s="3"/>
      <c r="T721" s="4"/>
      <c r="U721" s="4"/>
      <c r="V721" s="5"/>
      <c r="W721" s="4"/>
      <c r="X721" s="5"/>
      <c r="Y721" s="4"/>
      <c r="Z721" s="4"/>
      <c r="AA721" s="4"/>
      <c r="AB721" s="4"/>
      <c r="AC721" s="69"/>
      <c r="AD721" s="69"/>
      <c r="AE721" s="91"/>
      <c r="AF721" s="91"/>
      <c r="AG721" s="69"/>
      <c r="AH721" s="69"/>
      <c r="AI721" s="69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7"/>
      <c r="P722" s="4"/>
      <c r="Q722" s="7"/>
      <c r="R722" s="3"/>
      <c r="S722" s="3"/>
      <c r="T722" s="4"/>
      <c r="U722" s="4"/>
      <c r="V722" s="5"/>
      <c r="W722" s="4"/>
      <c r="X722" s="5"/>
      <c r="Y722" s="4"/>
      <c r="Z722" s="4"/>
      <c r="AA722" s="4"/>
      <c r="AB722" s="4"/>
      <c r="AC722" s="69"/>
      <c r="AD722" s="69"/>
      <c r="AE722" s="91"/>
      <c r="AF722" s="91"/>
      <c r="AG722" s="69"/>
      <c r="AH722" s="69"/>
      <c r="AI722" s="69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7"/>
      <c r="P723" s="4"/>
      <c r="Q723" s="7"/>
      <c r="R723" s="3"/>
      <c r="S723" s="3"/>
      <c r="T723" s="4"/>
      <c r="U723" s="4"/>
      <c r="V723" s="5"/>
      <c r="W723" s="4"/>
      <c r="X723" s="5"/>
      <c r="Y723" s="4"/>
      <c r="Z723" s="4"/>
      <c r="AA723" s="4"/>
      <c r="AB723" s="4"/>
      <c r="AC723" s="69"/>
      <c r="AD723" s="69"/>
      <c r="AE723" s="91"/>
      <c r="AF723" s="91"/>
      <c r="AG723" s="69"/>
      <c r="AH723" s="69"/>
      <c r="AI723" s="69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7"/>
      <c r="P724" s="4"/>
      <c r="Q724" s="7"/>
      <c r="R724" s="3"/>
      <c r="S724" s="3"/>
      <c r="T724" s="4"/>
      <c r="U724" s="4"/>
      <c r="V724" s="5"/>
      <c r="W724" s="4"/>
      <c r="X724" s="5"/>
      <c r="Y724" s="4"/>
      <c r="Z724" s="4"/>
      <c r="AA724" s="4"/>
      <c r="AB724" s="4"/>
      <c r="AC724" s="69"/>
      <c r="AD724" s="69"/>
      <c r="AE724" s="91"/>
      <c r="AF724" s="91"/>
      <c r="AG724" s="69"/>
      <c r="AH724" s="69"/>
      <c r="AI724" s="69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7"/>
      <c r="P725" s="4"/>
      <c r="Q725" s="7"/>
      <c r="R725" s="3"/>
      <c r="S725" s="3"/>
      <c r="T725" s="4"/>
      <c r="U725" s="4"/>
      <c r="V725" s="5"/>
      <c r="W725" s="4"/>
      <c r="X725" s="5"/>
      <c r="Y725" s="4"/>
      <c r="Z725" s="4"/>
      <c r="AA725" s="4"/>
      <c r="AB725" s="4"/>
      <c r="AC725" s="69"/>
      <c r="AD725" s="69"/>
      <c r="AE725" s="91"/>
      <c r="AF725" s="91"/>
      <c r="AG725" s="69"/>
      <c r="AH725" s="69"/>
      <c r="AI725" s="69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7"/>
      <c r="P726" s="4"/>
      <c r="Q726" s="7"/>
      <c r="R726" s="3"/>
      <c r="S726" s="3"/>
      <c r="T726" s="4"/>
      <c r="U726" s="4"/>
      <c r="V726" s="5"/>
      <c r="W726" s="4"/>
      <c r="X726" s="5"/>
      <c r="Y726" s="4"/>
      <c r="Z726" s="4"/>
      <c r="AA726" s="4"/>
      <c r="AB726" s="4"/>
      <c r="AC726" s="69"/>
      <c r="AD726" s="69"/>
      <c r="AE726" s="91"/>
      <c r="AF726" s="91"/>
      <c r="AG726" s="69"/>
      <c r="AH726" s="69"/>
      <c r="AI726" s="69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7"/>
      <c r="P727" s="4"/>
      <c r="Q727" s="7"/>
      <c r="R727" s="3"/>
      <c r="S727" s="3"/>
      <c r="T727" s="4"/>
      <c r="U727" s="4"/>
      <c r="V727" s="5"/>
      <c r="W727" s="4"/>
      <c r="X727" s="5"/>
      <c r="Y727" s="4"/>
      <c r="Z727" s="4"/>
      <c r="AA727" s="4"/>
      <c r="AB727" s="4"/>
      <c r="AC727" s="69"/>
      <c r="AD727" s="69"/>
      <c r="AE727" s="91"/>
      <c r="AF727" s="91"/>
      <c r="AG727" s="69"/>
      <c r="AH727" s="69"/>
      <c r="AI727" s="69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7"/>
      <c r="P728" s="4"/>
      <c r="Q728" s="7"/>
      <c r="R728" s="3"/>
      <c r="S728" s="3"/>
      <c r="T728" s="4"/>
      <c r="U728" s="4"/>
      <c r="V728" s="5"/>
      <c r="W728" s="4"/>
      <c r="X728" s="5"/>
      <c r="Y728" s="4"/>
      <c r="Z728" s="4"/>
      <c r="AA728" s="4"/>
      <c r="AB728" s="4"/>
      <c r="AC728" s="69"/>
      <c r="AD728" s="69"/>
      <c r="AE728" s="91"/>
      <c r="AF728" s="91"/>
      <c r="AG728" s="69"/>
      <c r="AH728" s="69"/>
      <c r="AI728" s="69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7"/>
      <c r="P729" s="4"/>
      <c r="Q729" s="7"/>
      <c r="R729" s="3"/>
      <c r="S729" s="3"/>
      <c r="T729" s="4"/>
      <c r="U729" s="4"/>
      <c r="V729" s="5"/>
      <c r="W729" s="4"/>
      <c r="X729" s="5"/>
      <c r="Y729" s="4"/>
      <c r="Z729" s="4"/>
      <c r="AA729" s="4"/>
      <c r="AB729" s="4"/>
      <c r="AC729" s="69"/>
      <c r="AD729" s="69"/>
      <c r="AE729" s="91"/>
      <c r="AF729" s="91"/>
      <c r="AG729" s="69"/>
      <c r="AH729" s="69"/>
      <c r="AI729" s="69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7"/>
      <c r="P730" s="4"/>
      <c r="Q730" s="7"/>
      <c r="R730" s="3"/>
      <c r="S730" s="3"/>
      <c r="T730" s="4"/>
      <c r="U730" s="4"/>
      <c r="V730" s="5"/>
      <c r="W730" s="4"/>
      <c r="X730" s="5"/>
      <c r="Y730" s="4"/>
      <c r="Z730" s="4"/>
      <c r="AA730" s="4"/>
      <c r="AB730" s="4"/>
      <c r="AC730" s="69"/>
      <c r="AD730" s="69"/>
      <c r="AE730" s="91"/>
      <c r="AF730" s="91"/>
      <c r="AG730" s="69"/>
      <c r="AH730" s="69"/>
      <c r="AI730" s="69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7"/>
      <c r="P731" s="4"/>
      <c r="Q731" s="7"/>
      <c r="R731" s="3"/>
      <c r="S731" s="3"/>
      <c r="T731" s="4"/>
      <c r="U731" s="4"/>
      <c r="V731" s="5"/>
      <c r="W731" s="4"/>
      <c r="X731" s="5"/>
      <c r="Y731" s="4"/>
      <c r="Z731" s="4"/>
      <c r="AA731" s="4"/>
      <c r="AB731" s="4"/>
      <c r="AC731" s="69"/>
      <c r="AD731" s="69"/>
      <c r="AE731" s="91"/>
      <c r="AF731" s="91"/>
      <c r="AG731" s="69"/>
      <c r="AH731" s="69"/>
      <c r="AI731" s="69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7"/>
      <c r="P732" s="4"/>
      <c r="Q732" s="7"/>
      <c r="R732" s="3"/>
      <c r="S732" s="3"/>
      <c r="T732" s="4"/>
      <c r="U732" s="4"/>
      <c r="V732" s="5"/>
      <c r="W732" s="4"/>
      <c r="X732" s="5"/>
      <c r="Y732" s="4"/>
      <c r="Z732" s="4"/>
      <c r="AA732" s="4"/>
      <c r="AB732" s="4"/>
      <c r="AC732" s="69"/>
      <c r="AD732" s="69"/>
      <c r="AE732" s="91"/>
      <c r="AF732" s="91"/>
      <c r="AG732" s="69"/>
      <c r="AH732" s="69"/>
      <c r="AI732" s="69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7"/>
      <c r="P733" s="4"/>
      <c r="Q733" s="7"/>
      <c r="R733" s="3"/>
      <c r="S733" s="3"/>
      <c r="T733" s="4"/>
      <c r="U733" s="4"/>
      <c r="V733" s="5"/>
      <c r="W733" s="4"/>
      <c r="X733" s="5"/>
      <c r="Y733" s="4"/>
      <c r="Z733" s="4"/>
      <c r="AA733" s="4"/>
      <c r="AB733" s="4"/>
      <c r="AC733" s="69"/>
      <c r="AD733" s="69"/>
      <c r="AE733" s="91"/>
      <c r="AF733" s="91"/>
      <c r="AG733" s="69"/>
      <c r="AH733" s="69"/>
      <c r="AI733" s="69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7"/>
      <c r="P734" s="4"/>
      <c r="Q734" s="7"/>
      <c r="R734" s="3"/>
      <c r="S734" s="3"/>
      <c r="T734" s="4"/>
      <c r="U734" s="4"/>
      <c r="V734" s="5"/>
      <c r="W734" s="4"/>
      <c r="X734" s="5"/>
      <c r="Y734" s="4"/>
      <c r="Z734" s="4"/>
      <c r="AA734" s="4"/>
      <c r="AB734" s="4"/>
      <c r="AC734" s="69"/>
      <c r="AD734" s="69"/>
      <c r="AE734" s="91"/>
      <c r="AF734" s="91"/>
      <c r="AG734" s="69"/>
      <c r="AH734" s="69"/>
      <c r="AI734" s="69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7"/>
      <c r="P735" s="4"/>
      <c r="Q735" s="7"/>
      <c r="R735" s="3"/>
      <c r="S735" s="3"/>
      <c r="T735" s="4"/>
      <c r="U735" s="4"/>
      <c r="V735" s="5"/>
      <c r="W735" s="4"/>
      <c r="X735" s="5"/>
      <c r="Y735" s="4"/>
      <c r="Z735" s="4"/>
      <c r="AA735" s="4"/>
      <c r="AB735" s="4"/>
      <c r="AC735" s="69"/>
      <c r="AD735" s="69"/>
      <c r="AE735" s="91"/>
      <c r="AF735" s="91"/>
      <c r="AG735" s="69"/>
      <c r="AH735" s="69"/>
      <c r="AI735" s="69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7"/>
      <c r="P736" s="4"/>
      <c r="Q736" s="7"/>
      <c r="R736" s="3"/>
      <c r="S736" s="3"/>
      <c r="T736" s="4"/>
      <c r="U736" s="4"/>
      <c r="V736" s="5"/>
      <c r="W736" s="4"/>
      <c r="X736" s="5"/>
      <c r="Y736" s="4"/>
      <c r="Z736" s="4"/>
      <c r="AA736" s="4"/>
      <c r="AB736" s="4"/>
      <c r="AC736" s="69"/>
      <c r="AD736" s="69"/>
      <c r="AE736" s="91"/>
      <c r="AF736" s="91"/>
      <c r="AG736" s="69"/>
      <c r="AH736" s="69"/>
      <c r="AI736" s="69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7"/>
      <c r="P737" s="4"/>
      <c r="Q737" s="7"/>
      <c r="R737" s="3"/>
      <c r="S737" s="3"/>
      <c r="T737" s="4"/>
      <c r="U737" s="4"/>
      <c r="V737" s="5"/>
      <c r="W737" s="4"/>
      <c r="X737" s="5"/>
      <c r="Y737" s="4"/>
      <c r="Z737" s="4"/>
      <c r="AA737" s="4"/>
      <c r="AB737" s="4"/>
      <c r="AC737" s="69"/>
      <c r="AD737" s="69"/>
      <c r="AE737" s="91"/>
      <c r="AF737" s="91"/>
      <c r="AG737" s="69"/>
      <c r="AH737" s="69"/>
      <c r="AI737" s="69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7"/>
      <c r="P738" s="4"/>
      <c r="Q738" s="7"/>
      <c r="R738" s="3"/>
      <c r="S738" s="3"/>
      <c r="T738" s="4"/>
      <c r="U738" s="4"/>
      <c r="V738" s="5"/>
      <c r="W738" s="4"/>
      <c r="X738" s="5"/>
      <c r="Y738" s="4"/>
      <c r="Z738" s="4"/>
      <c r="AA738" s="4"/>
      <c r="AB738" s="4"/>
      <c r="AC738" s="69"/>
      <c r="AD738" s="69"/>
      <c r="AE738" s="91"/>
      <c r="AF738" s="91"/>
      <c r="AG738" s="69"/>
      <c r="AH738" s="69"/>
      <c r="AI738" s="69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7"/>
      <c r="P739" s="4"/>
      <c r="Q739" s="7"/>
      <c r="R739" s="3"/>
      <c r="S739" s="3"/>
      <c r="T739" s="4"/>
      <c r="U739" s="4"/>
      <c r="V739" s="5"/>
      <c r="W739" s="4"/>
      <c r="X739" s="5"/>
      <c r="Y739" s="4"/>
      <c r="Z739" s="4"/>
      <c r="AA739" s="4"/>
      <c r="AB739" s="4"/>
      <c r="AC739" s="69"/>
      <c r="AD739" s="69"/>
      <c r="AE739" s="91"/>
      <c r="AF739" s="91"/>
      <c r="AG739" s="69"/>
      <c r="AH739" s="69"/>
      <c r="AI739" s="69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7"/>
      <c r="P740" s="4"/>
      <c r="Q740" s="7"/>
      <c r="R740" s="3"/>
      <c r="S740" s="3"/>
      <c r="T740" s="4"/>
      <c r="U740" s="4"/>
      <c r="V740" s="5"/>
      <c r="W740" s="4"/>
      <c r="X740" s="5"/>
      <c r="Y740" s="4"/>
      <c r="Z740" s="4"/>
      <c r="AA740" s="4"/>
      <c r="AB740" s="4"/>
      <c r="AC740" s="69"/>
      <c r="AD740" s="69"/>
      <c r="AE740" s="91"/>
      <c r="AF740" s="91"/>
      <c r="AG740" s="69"/>
      <c r="AH740" s="69"/>
      <c r="AI740" s="69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7"/>
      <c r="P741" s="4"/>
      <c r="Q741" s="7"/>
      <c r="R741" s="3"/>
      <c r="S741" s="3"/>
      <c r="T741" s="4"/>
      <c r="U741" s="4"/>
      <c r="V741" s="5"/>
      <c r="W741" s="4"/>
      <c r="X741" s="5"/>
      <c r="Y741" s="4"/>
      <c r="Z741" s="4"/>
      <c r="AA741" s="4"/>
      <c r="AB741" s="4"/>
      <c r="AC741" s="69"/>
      <c r="AD741" s="69"/>
      <c r="AE741" s="91"/>
      <c r="AF741" s="91"/>
      <c r="AG741" s="69"/>
      <c r="AH741" s="69"/>
      <c r="AI741" s="69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7"/>
      <c r="P742" s="4"/>
      <c r="Q742" s="7"/>
      <c r="R742" s="3"/>
      <c r="S742" s="3"/>
      <c r="T742" s="4"/>
      <c r="U742" s="4"/>
      <c r="V742" s="5"/>
      <c r="W742" s="4"/>
      <c r="X742" s="5"/>
      <c r="Y742" s="4"/>
      <c r="Z742" s="4"/>
      <c r="AA742" s="4"/>
      <c r="AB742" s="4"/>
      <c r="AC742" s="69"/>
      <c r="AD742" s="69"/>
      <c r="AE742" s="91"/>
      <c r="AF742" s="91"/>
      <c r="AG742" s="69"/>
      <c r="AH742" s="69"/>
      <c r="AI742" s="69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7"/>
      <c r="P743" s="4"/>
      <c r="Q743" s="7"/>
      <c r="R743" s="3"/>
      <c r="S743" s="3"/>
      <c r="T743" s="4"/>
      <c r="U743" s="4"/>
      <c r="V743" s="5"/>
      <c r="W743" s="4"/>
      <c r="X743" s="5"/>
      <c r="Y743" s="4"/>
      <c r="Z743" s="4"/>
      <c r="AA743" s="4"/>
      <c r="AB743" s="4"/>
      <c r="AC743" s="69"/>
      <c r="AD743" s="69"/>
      <c r="AE743" s="91"/>
      <c r="AF743" s="91"/>
      <c r="AG743" s="69"/>
      <c r="AH743" s="69"/>
      <c r="AI743" s="69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7"/>
      <c r="P744" s="4"/>
      <c r="Q744" s="7"/>
      <c r="R744" s="3"/>
      <c r="S744" s="3"/>
      <c r="T744" s="4"/>
      <c r="U744" s="4"/>
      <c r="V744" s="5"/>
      <c r="W744" s="4"/>
      <c r="X744" s="5"/>
      <c r="Y744" s="4"/>
      <c r="Z744" s="4"/>
      <c r="AA744" s="4"/>
      <c r="AB744" s="4"/>
      <c r="AC744" s="69"/>
      <c r="AD744" s="69"/>
      <c r="AE744" s="91"/>
      <c r="AF744" s="91"/>
      <c r="AG744" s="69"/>
      <c r="AH744" s="69"/>
      <c r="AI744" s="69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7"/>
      <c r="P745" s="4"/>
      <c r="Q745" s="7"/>
      <c r="R745" s="3"/>
      <c r="S745" s="3"/>
      <c r="T745" s="4"/>
      <c r="U745" s="4"/>
      <c r="V745" s="5"/>
      <c r="W745" s="4"/>
      <c r="X745" s="5"/>
      <c r="Y745" s="4"/>
      <c r="Z745" s="4"/>
      <c r="AA745" s="4"/>
      <c r="AB745" s="4"/>
      <c r="AC745" s="69"/>
      <c r="AD745" s="69"/>
      <c r="AE745" s="91"/>
      <c r="AF745" s="91"/>
      <c r="AG745" s="69"/>
      <c r="AH745" s="69"/>
      <c r="AI745" s="69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7"/>
      <c r="P746" s="4"/>
      <c r="Q746" s="7"/>
      <c r="R746" s="3"/>
      <c r="S746" s="3"/>
      <c r="T746" s="4"/>
      <c r="U746" s="4"/>
      <c r="V746" s="5"/>
      <c r="W746" s="4"/>
      <c r="X746" s="5"/>
      <c r="Y746" s="4"/>
      <c r="Z746" s="4"/>
      <c r="AA746" s="4"/>
      <c r="AB746" s="4"/>
      <c r="AC746" s="69"/>
      <c r="AD746" s="69"/>
      <c r="AE746" s="91"/>
      <c r="AF746" s="91"/>
      <c r="AG746" s="69"/>
      <c r="AH746" s="69"/>
      <c r="AI746" s="69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7"/>
      <c r="P747" s="4"/>
      <c r="Q747" s="7"/>
      <c r="R747" s="3"/>
      <c r="S747" s="3"/>
      <c r="T747" s="4"/>
      <c r="U747" s="4"/>
      <c r="V747" s="5"/>
      <c r="W747" s="4"/>
      <c r="X747" s="5"/>
      <c r="Y747" s="4"/>
      <c r="Z747" s="4"/>
      <c r="AA747" s="4"/>
      <c r="AB747" s="4"/>
      <c r="AC747" s="69"/>
      <c r="AD747" s="69"/>
      <c r="AE747" s="91"/>
      <c r="AF747" s="91"/>
      <c r="AG747" s="69"/>
      <c r="AH747" s="69"/>
      <c r="AI747" s="69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7"/>
      <c r="P748" s="4"/>
      <c r="Q748" s="7"/>
      <c r="R748" s="3"/>
      <c r="S748" s="3"/>
      <c r="T748" s="4"/>
      <c r="U748" s="4"/>
      <c r="V748" s="5"/>
      <c r="W748" s="4"/>
      <c r="X748" s="5"/>
      <c r="Y748" s="4"/>
      <c r="Z748" s="4"/>
      <c r="AA748" s="4"/>
      <c r="AB748" s="4"/>
      <c r="AC748" s="69"/>
      <c r="AD748" s="69"/>
      <c r="AE748" s="91"/>
      <c r="AF748" s="91"/>
      <c r="AG748" s="69"/>
      <c r="AH748" s="69"/>
      <c r="AI748" s="69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7"/>
      <c r="P749" s="4"/>
      <c r="Q749" s="7"/>
      <c r="R749" s="3"/>
      <c r="S749" s="3"/>
      <c r="T749" s="4"/>
      <c r="U749" s="4"/>
      <c r="V749" s="5"/>
      <c r="W749" s="4"/>
      <c r="X749" s="5"/>
      <c r="Y749" s="4"/>
      <c r="Z749" s="4"/>
      <c r="AA749" s="4"/>
      <c r="AB749" s="4"/>
      <c r="AC749" s="69"/>
      <c r="AD749" s="69"/>
      <c r="AE749" s="91"/>
      <c r="AF749" s="91"/>
      <c r="AG749" s="69"/>
      <c r="AH749" s="69"/>
      <c r="AI749" s="69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7"/>
      <c r="P750" s="4"/>
      <c r="Q750" s="7"/>
      <c r="R750" s="3"/>
      <c r="S750" s="3"/>
      <c r="T750" s="4"/>
      <c r="U750" s="4"/>
      <c r="V750" s="5"/>
      <c r="W750" s="4"/>
      <c r="X750" s="5"/>
      <c r="Y750" s="4"/>
      <c r="Z750" s="4"/>
      <c r="AA750" s="4"/>
      <c r="AB750" s="4"/>
      <c r="AC750" s="69"/>
      <c r="AD750" s="69"/>
      <c r="AE750" s="91"/>
      <c r="AF750" s="91"/>
      <c r="AG750" s="69"/>
      <c r="AH750" s="69"/>
      <c r="AI750" s="69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7"/>
      <c r="P751" s="4"/>
      <c r="Q751" s="7"/>
      <c r="R751" s="3"/>
      <c r="S751" s="3"/>
      <c r="T751" s="4"/>
      <c r="U751" s="4"/>
      <c r="V751" s="5"/>
      <c r="W751" s="4"/>
      <c r="X751" s="5"/>
      <c r="Y751" s="4"/>
      <c r="Z751" s="4"/>
      <c r="AA751" s="4"/>
      <c r="AB751" s="4"/>
      <c r="AC751" s="69"/>
      <c r="AD751" s="69"/>
      <c r="AE751" s="91"/>
      <c r="AF751" s="91"/>
      <c r="AG751" s="69"/>
      <c r="AH751" s="69"/>
      <c r="AI751" s="69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7"/>
      <c r="P752" s="4"/>
      <c r="Q752" s="7"/>
      <c r="R752" s="3"/>
      <c r="S752" s="3"/>
      <c r="T752" s="4"/>
      <c r="U752" s="4"/>
      <c r="V752" s="5"/>
      <c r="W752" s="4"/>
      <c r="X752" s="5"/>
      <c r="Y752" s="4"/>
      <c r="Z752" s="4"/>
      <c r="AA752" s="4"/>
      <c r="AB752" s="4"/>
      <c r="AC752" s="69"/>
      <c r="AD752" s="69"/>
      <c r="AE752" s="91"/>
      <c r="AF752" s="91"/>
      <c r="AG752" s="69"/>
      <c r="AH752" s="69"/>
      <c r="AI752" s="69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7"/>
      <c r="P753" s="4"/>
      <c r="Q753" s="7"/>
      <c r="R753" s="3"/>
      <c r="S753" s="3"/>
      <c r="T753" s="4"/>
      <c r="U753" s="4"/>
      <c r="V753" s="5"/>
      <c r="W753" s="4"/>
      <c r="X753" s="5"/>
      <c r="Y753" s="4"/>
      <c r="Z753" s="4"/>
      <c r="AA753" s="4"/>
      <c r="AB753" s="4"/>
      <c r="AC753" s="69"/>
      <c r="AD753" s="69"/>
      <c r="AE753" s="91"/>
      <c r="AF753" s="91"/>
      <c r="AG753" s="69"/>
      <c r="AH753" s="69"/>
      <c r="AI753" s="69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7"/>
      <c r="P754" s="4"/>
      <c r="Q754" s="7"/>
      <c r="R754" s="3"/>
      <c r="S754" s="3"/>
      <c r="T754" s="4"/>
      <c r="U754" s="4"/>
      <c r="V754" s="5"/>
      <c r="W754" s="4"/>
      <c r="X754" s="5"/>
      <c r="Y754" s="4"/>
      <c r="Z754" s="4"/>
      <c r="AA754" s="4"/>
      <c r="AB754" s="4"/>
      <c r="AC754" s="69"/>
      <c r="AD754" s="69"/>
      <c r="AE754" s="91"/>
      <c r="AF754" s="91"/>
      <c r="AG754" s="69"/>
      <c r="AH754" s="69"/>
      <c r="AI754" s="69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7"/>
      <c r="P755" s="4"/>
      <c r="Q755" s="7"/>
      <c r="R755" s="3"/>
      <c r="S755" s="3"/>
      <c r="T755" s="4"/>
      <c r="U755" s="4"/>
      <c r="V755" s="5"/>
      <c r="W755" s="4"/>
      <c r="X755" s="5"/>
      <c r="Y755" s="4"/>
      <c r="Z755" s="4"/>
      <c r="AA755" s="4"/>
      <c r="AB755" s="4"/>
      <c r="AC755" s="69"/>
      <c r="AD755" s="69"/>
      <c r="AE755" s="91"/>
      <c r="AF755" s="91"/>
      <c r="AG755" s="69"/>
      <c r="AH755" s="69"/>
      <c r="AI755" s="69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7"/>
      <c r="P756" s="4"/>
      <c r="Q756" s="7"/>
      <c r="R756" s="3"/>
      <c r="S756" s="3"/>
      <c r="T756" s="4"/>
      <c r="U756" s="4"/>
      <c r="V756" s="5"/>
      <c r="W756" s="4"/>
      <c r="X756" s="5"/>
      <c r="Y756" s="4"/>
      <c r="Z756" s="4"/>
      <c r="AA756" s="4"/>
      <c r="AB756" s="4"/>
      <c r="AC756" s="69"/>
      <c r="AD756" s="69"/>
      <c r="AE756" s="91"/>
      <c r="AF756" s="91"/>
      <c r="AG756" s="69"/>
      <c r="AH756" s="69"/>
      <c r="AI756" s="69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7"/>
      <c r="P757" s="4"/>
      <c r="Q757" s="7"/>
      <c r="R757" s="3"/>
      <c r="S757" s="3"/>
      <c r="T757" s="4"/>
      <c r="U757" s="4"/>
      <c r="V757" s="5"/>
      <c r="W757" s="4"/>
      <c r="X757" s="5"/>
      <c r="Y757" s="4"/>
      <c r="Z757" s="4"/>
      <c r="AA757" s="4"/>
      <c r="AB757" s="4"/>
      <c r="AC757" s="69"/>
      <c r="AD757" s="69"/>
      <c r="AE757" s="91"/>
      <c r="AF757" s="91"/>
      <c r="AG757" s="69"/>
      <c r="AH757" s="69"/>
      <c r="AI757" s="69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7"/>
      <c r="P758" s="4"/>
      <c r="Q758" s="7"/>
      <c r="R758" s="3"/>
      <c r="S758" s="3"/>
      <c r="T758" s="4"/>
      <c r="U758" s="4"/>
      <c r="V758" s="5"/>
      <c r="W758" s="4"/>
      <c r="X758" s="5"/>
      <c r="Y758" s="4"/>
      <c r="Z758" s="4"/>
      <c r="AA758" s="4"/>
      <c r="AB758" s="4"/>
      <c r="AC758" s="69"/>
      <c r="AD758" s="69"/>
      <c r="AE758" s="91"/>
      <c r="AF758" s="91"/>
      <c r="AG758" s="69"/>
      <c r="AH758" s="69"/>
      <c r="AI758" s="69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7"/>
      <c r="P759" s="4"/>
      <c r="Q759" s="7"/>
      <c r="R759" s="3"/>
      <c r="S759" s="3"/>
      <c r="T759" s="4"/>
      <c r="U759" s="4"/>
      <c r="V759" s="5"/>
      <c r="W759" s="4"/>
      <c r="X759" s="5"/>
      <c r="Y759" s="4"/>
      <c r="Z759" s="4"/>
      <c r="AA759" s="4"/>
      <c r="AB759" s="4"/>
      <c r="AC759" s="69"/>
      <c r="AD759" s="69"/>
      <c r="AE759" s="91"/>
      <c r="AF759" s="91"/>
      <c r="AG759" s="69"/>
      <c r="AH759" s="69"/>
      <c r="AI759" s="69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7"/>
      <c r="P760" s="4"/>
      <c r="Q760" s="7"/>
      <c r="R760" s="3"/>
      <c r="S760" s="3"/>
      <c r="T760" s="4"/>
      <c r="U760" s="4"/>
      <c r="V760" s="5"/>
      <c r="W760" s="4"/>
      <c r="X760" s="5"/>
      <c r="Y760" s="4"/>
      <c r="Z760" s="4"/>
      <c r="AA760" s="4"/>
      <c r="AB760" s="4"/>
      <c r="AC760" s="69"/>
      <c r="AD760" s="69"/>
      <c r="AE760" s="91"/>
      <c r="AF760" s="91"/>
      <c r="AG760" s="69"/>
      <c r="AH760" s="69"/>
      <c r="AI760" s="69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7"/>
      <c r="P761" s="4"/>
      <c r="Q761" s="7"/>
      <c r="R761" s="3"/>
      <c r="S761" s="3"/>
      <c r="T761" s="4"/>
      <c r="U761" s="4"/>
      <c r="V761" s="5"/>
      <c r="W761" s="4"/>
      <c r="X761" s="5"/>
      <c r="Y761" s="4"/>
      <c r="Z761" s="4"/>
      <c r="AA761" s="4"/>
      <c r="AB761" s="4"/>
      <c r="AC761" s="69"/>
      <c r="AD761" s="69"/>
      <c r="AE761" s="91"/>
      <c r="AF761" s="91"/>
      <c r="AG761" s="69"/>
      <c r="AH761" s="69"/>
      <c r="AI761" s="69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7"/>
      <c r="P762" s="4"/>
      <c r="Q762" s="7"/>
      <c r="R762" s="3"/>
      <c r="S762" s="3"/>
      <c r="T762" s="4"/>
      <c r="U762" s="4"/>
      <c r="V762" s="5"/>
      <c r="W762" s="4"/>
      <c r="X762" s="5"/>
      <c r="Y762" s="4"/>
      <c r="Z762" s="4"/>
      <c r="AA762" s="4"/>
      <c r="AB762" s="4"/>
      <c r="AC762" s="69"/>
      <c r="AD762" s="69"/>
      <c r="AE762" s="91"/>
      <c r="AF762" s="91"/>
      <c r="AG762" s="69"/>
      <c r="AH762" s="69"/>
      <c r="AI762" s="69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7"/>
      <c r="P763" s="4"/>
      <c r="Q763" s="7"/>
      <c r="R763" s="3"/>
      <c r="S763" s="3"/>
      <c r="T763" s="4"/>
      <c r="U763" s="4"/>
      <c r="V763" s="5"/>
      <c r="W763" s="4"/>
      <c r="X763" s="5"/>
      <c r="Y763" s="4"/>
      <c r="Z763" s="4"/>
      <c r="AA763" s="4"/>
      <c r="AB763" s="4"/>
      <c r="AC763" s="69"/>
      <c r="AD763" s="69"/>
      <c r="AE763" s="91"/>
      <c r="AF763" s="91"/>
      <c r="AG763" s="69"/>
      <c r="AH763" s="69"/>
      <c r="AI763" s="69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7"/>
      <c r="P764" s="4"/>
      <c r="Q764" s="7"/>
      <c r="R764" s="3"/>
      <c r="S764" s="3"/>
      <c r="T764" s="4"/>
      <c r="U764" s="4"/>
      <c r="V764" s="5"/>
      <c r="W764" s="4"/>
      <c r="X764" s="5"/>
      <c r="Y764" s="4"/>
      <c r="Z764" s="4"/>
      <c r="AA764" s="4"/>
      <c r="AB764" s="4"/>
      <c r="AC764" s="69"/>
      <c r="AD764" s="69"/>
      <c r="AE764" s="91"/>
      <c r="AF764" s="91"/>
      <c r="AG764" s="69"/>
      <c r="AH764" s="69"/>
      <c r="AI764" s="69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7"/>
      <c r="P765" s="4"/>
      <c r="Q765" s="7"/>
      <c r="R765" s="3"/>
      <c r="S765" s="3"/>
      <c r="T765" s="4"/>
      <c r="U765" s="4"/>
      <c r="V765" s="5"/>
      <c r="W765" s="4"/>
      <c r="X765" s="5"/>
      <c r="Y765" s="4"/>
      <c r="Z765" s="4"/>
      <c r="AA765" s="4"/>
      <c r="AB765" s="4"/>
      <c r="AC765" s="69"/>
      <c r="AD765" s="69"/>
      <c r="AE765" s="91"/>
      <c r="AF765" s="91"/>
      <c r="AG765" s="69"/>
      <c r="AH765" s="69"/>
      <c r="AI765" s="69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7"/>
      <c r="P766" s="4"/>
      <c r="Q766" s="7"/>
      <c r="R766" s="3"/>
      <c r="S766" s="3"/>
      <c r="T766" s="4"/>
      <c r="U766" s="4"/>
      <c r="V766" s="5"/>
      <c r="W766" s="4"/>
      <c r="X766" s="5"/>
      <c r="Y766" s="4"/>
      <c r="Z766" s="4"/>
      <c r="AA766" s="4"/>
      <c r="AB766" s="4"/>
      <c r="AC766" s="69"/>
      <c r="AD766" s="69"/>
      <c r="AE766" s="91"/>
      <c r="AF766" s="91"/>
      <c r="AG766" s="69"/>
      <c r="AH766" s="69"/>
      <c r="AI766" s="69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7"/>
      <c r="P767" s="4"/>
      <c r="Q767" s="7"/>
      <c r="R767" s="3"/>
      <c r="S767" s="3"/>
      <c r="T767" s="4"/>
      <c r="U767" s="4"/>
      <c r="V767" s="5"/>
      <c r="W767" s="4"/>
      <c r="X767" s="5"/>
      <c r="Y767" s="4"/>
      <c r="Z767" s="4"/>
      <c r="AA767" s="4"/>
      <c r="AB767" s="4"/>
      <c r="AC767" s="69"/>
      <c r="AD767" s="69"/>
      <c r="AE767" s="91"/>
      <c r="AF767" s="91"/>
      <c r="AG767" s="69"/>
      <c r="AH767" s="69"/>
      <c r="AI767" s="69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7"/>
      <c r="P768" s="4"/>
      <c r="Q768" s="7"/>
      <c r="R768" s="3"/>
      <c r="S768" s="3"/>
      <c r="T768" s="4"/>
      <c r="U768" s="4"/>
      <c r="V768" s="5"/>
      <c r="W768" s="4"/>
      <c r="X768" s="5"/>
      <c r="Y768" s="4"/>
      <c r="Z768" s="4"/>
      <c r="AA768" s="4"/>
      <c r="AB768" s="4"/>
      <c r="AC768" s="69"/>
      <c r="AD768" s="69"/>
      <c r="AE768" s="91"/>
      <c r="AF768" s="91"/>
      <c r="AG768" s="69"/>
      <c r="AH768" s="69"/>
      <c r="AI768" s="69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7"/>
      <c r="P769" s="4"/>
      <c r="Q769" s="7"/>
      <c r="R769" s="3"/>
      <c r="S769" s="3"/>
      <c r="T769" s="4"/>
      <c r="U769" s="4"/>
      <c r="V769" s="5"/>
      <c r="W769" s="4"/>
      <c r="X769" s="5"/>
      <c r="Y769" s="4"/>
      <c r="Z769" s="4"/>
      <c r="AA769" s="4"/>
      <c r="AB769" s="4"/>
      <c r="AC769" s="69"/>
      <c r="AD769" s="69"/>
      <c r="AE769" s="91"/>
      <c r="AF769" s="91"/>
      <c r="AG769" s="69"/>
      <c r="AH769" s="69"/>
      <c r="AI769" s="69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7"/>
      <c r="P770" s="4"/>
      <c r="Q770" s="7"/>
      <c r="R770" s="3"/>
      <c r="S770" s="3"/>
      <c r="T770" s="4"/>
      <c r="U770" s="4"/>
      <c r="V770" s="5"/>
      <c r="W770" s="4"/>
      <c r="X770" s="5"/>
      <c r="Y770" s="4"/>
      <c r="Z770" s="4"/>
      <c r="AA770" s="4"/>
      <c r="AB770" s="4"/>
      <c r="AC770" s="69"/>
      <c r="AD770" s="69"/>
      <c r="AE770" s="91"/>
      <c r="AF770" s="91"/>
      <c r="AG770" s="69"/>
      <c r="AH770" s="69"/>
      <c r="AI770" s="69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7"/>
      <c r="P771" s="4"/>
      <c r="Q771" s="7"/>
      <c r="R771" s="3"/>
      <c r="S771" s="3"/>
      <c r="T771" s="4"/>
      <c r="U771" s="4"/>
      <c r="V771" s="5"/>
      <c r="W771" s="4"/>
      <c r="X771" s="5"/>
      <c r="Y771" s="4"/>
      <c r="Z771" s="4"/>
      <c r="AA771" s="4"/>
      <c r="AB771" s="4"/>
      <c r="AC771" s="69"/>
      <c r="AD771" s="69"/>
      <c r="AE771" s="91"/>
      <c r="AF771" s="91"/>
      <c r="AG771" s="69"/>
      <c r="AH771" s="69"/>
      <c r="AI771" s="69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7"/>
      <c r="P772" s="4"/>
      <c r="Q772" s="7"/>
      <c r="R772" s="3"/>
      <c r="S772" s="3"/>
      <c r="T772" s="4"/>
      <c r="U772" s="4"/>
      <c r="V772" s="5"/>
      <c r="W772" s="4"/>
      <c r="X772" s="5"/>
      <c r="Y772" s="4"/>
      <c r="Z772" s="4"/>
      <c r="AA772" s="4"/>
      <c r="AB772" s="4"/>
      <c r="AC772" s="69"/>
      <c r="AD772" s="69"/>
      <c r="AE772" s="91"/>
      <c r="AF772" s="91"/>
      <c r="AG772" s="69"/>
      <c r="AH772" s="69"/>
      <c r="AI772" s="69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7"/>
      <c r="P773" s="4"/>
      <c r="Q773" s="7"/>
      <c r="R773" s="3"/>
      <c r="S773" s="3"/>
      <c r="T773" s="4"/>
      <c r="U773" s="4"/>
      <c r="V773" s="5"/>
      <c r="W773" s="4"/>
      <c r="X773" s="5"/>
      <c r="Y773" s="4"/>
      <c r="Z773" s="4"/>
      <c r="AA773" s="4"/>
      <c r="AB773" s="4"/>
      <c r="AC773" s="69"/>
      <c r="AD773" s="69"/>
      <c r="AE773" s="91"/>
      <c r="AF773" s="91"/>
      <c r="AG773" s="69"/>
      <c r="AH773" s="69"/>
      <c r="AI773" s="69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7"/>
      <c r="P774" s="4"/>
      <c r="Q774" s="7"/>
      <c r="R774" s="3"/>
      <c r="S774" s="3"/>
      <c r="T774" s="4"/>
      <c r="U774" s="4"/>
      <c r="V774" s="5"/>
      <c r="W774" s="4"/>
      <c r="X774" s="5"/>
      <c r="Y774" s="4"/>
      <c r="Z774" s="4"/>
      <c r="AA774" s="4"/>
      <c r="AB774" s="4"/>
      <c r="AC774" s="69"/>
      <c r="AD774" s="69"/>
      <c r="AE774" s="91"/>
      <c r="AF774" s="91"/>
      <c r="AG774" s="69"/>
      <c r="AH774" s="69"/>
      <c r="AI774" s="69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7"/>
      <c r="P775" s="4"/>
      <c r="Q775" s="7"/>
      <c r="R775" s="3"/>
      <c r="S775" s="3"/>
      <c r="T775" s="4"/>
      <c r="U775" s="4"/>
      <c r="V775" s="5"/>
      <c r="W775" s="4"/>
      <c r="X775" s="5"/>
      <c r="Y775" s="4"/>
      <c r="Z775" s="4"/>
      <c r="AA775" s="4"/>
      <c r="AB775" s="4"/>
      <c r="AC775" s="69"/>
      <c r="AD775" s="69"/>
      <c r="AE775" s="91"/>
      <c r="AF775" s="91"/>
      <c r="AG775" s="69"/>
      <c r="AH775" s="69"/>
      <c r="AI775" s="69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7"/>
      <c r="P776" s="4"/>
      <c r="Q776" s="7"/>
      <c r="R776" s="3"/>
      <c r="S776" s="3"/>
      <c r="T776" s="4"/>
      <c r="U776" s="4"/>
      <c r="V776" s="5"/>
      <c r="W776" s="4"/>
      <c r="X776" s="5"/>
      <c r="Y776" s="4"/>
      <c r="Z776" s="4"/>
      <c r="AA776" s="4"/>
      <c r="AB776" s="4"/>
      <c r="AC776" s="69"/>
      <c r="AD776" s="69"/>
      <c r="AE776" s="91"/>
      <c r="AF776" s="91"/>
      <c r="AG776" s="69"/>
      <c r="AH776" s="69"/>
      <c r="AI776" s="69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7"/>
      <c r="P777" s="4"/>
      <c r="Q777" s="7"/>
      <c r="R777" s="3"/>
      <c r="S777" s="3"/>
      <c r="T777" s="4"/>
      <c r="U777" s="4"/>
      <c r="V777" s="5"/>
      <c r="W777" s="4"/>
      <c r="X777" s="5"/>
      <c r="Y777" s="4"/>
      <c r="Z777" s="4"/>
      <c r="AA777" s="4"/>
      <c r="AB777" s="4"/>
      <c r="AC777" s="69"/>
      <c r="AD777" s="69"/>
      <c r="AE777" s="91"/>
      <c r="AF777" s="91"/>
      <c r="AG777" s="69"/>
      <c r="AH777" s="69"/>
      <c r="AI777" s="69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7"/>
      <c r="P778" s="4"/>
      <c r="Q778" s="7"/>
      <c r="R778" s="3"/>
      <c r="S778" s="3"/>
      <c r="T778" s="4"/>
      <c r="U778" s="4"/>
      <c r="V778" s="5"/>
      <c r="W778" s="4"/>
      <c r="X778" s="5"/>
      <c r="Y778" s="4"/>
      <c r="Z778" s="4"/>
      <c r="AA778" s="4"/>
      <c r="AB778" s="4"/>
      <c r="AC778" s="69"/>
      <c r="AD778" s="69"/>
      <c r="AE778" s="91"/>
      <c r="AF778" s="91"/>
      <c r="AG778" s="69"/>
      <c r="AH778" s="69"/>
      <c r="AI778" s="69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7"/>
      <c r="P779" s="4"/>
      <c r="Q779" s="7"/>
      <c r="R779" s="3"/>
      <c r="S779" s="3"/>
      <c r="T779" s="4"/>
      <c r="U779" s="4"/>
      <c r="V779" s="5"/>
      <c r="W779" s="4"/>
      <c r="X779" s="5"/>
      <c r="Y779" s="4"/>
      <c r="Z779" s="4"/>
      <c r="AA779" s="4"/>
      <c r="AB779" s="4"/>
      <c r="AC779" s="69"/>
      <c r="AD779" s="69"/>
      <c r="AE779" s="91"/>
      <c r="AF779" s="91"/>
      <c r="AG779" s="69"/>
      <c r="AH779" s="69"/>
      <c r="AI779" s="69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7"/>
      <c r="P780" s="4"/>
      <c r="Q780" s="7"/>
      <c r="R780" s="3"/>
      <c r="S780" s="3"/>
      <c r="T780" s="4"/>
      <c r="U780" s="4"/>
      <c r="V780" s="5"/>
      <c r="W780" s="4"/>
      <c r="X780" s="5"/>
      <c r="Y780" s="4"/>
      <c r="Z780" s="4"/>
      <c r="AA780" s="4"/>
      <c r="AB780" s="4"/>
      <c r="AC780" s="69"/>
      <c r="AD780" s="69"/>
      <c r="AE780" s="91"/>
      <c r="AF780" s="91"/>
      <c r="AG780" s="69"/>
      <c r="AH780" s="69"/>
      <c r="AI780" s="69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7"/>
      <c r="P781" s="4"/>
      <c r="Q781" s="7"/>
      <c r="R781" s="3"/>
      <c r="S781" s="3"/>
      <c r="T781" s="4"/>
      <c r="U781" s="4"/>
      <c r="V781" s="5"/>
      <c r="W781" s="4"/>
      <c r="X781" s="5"/>
      <c r="Y781" s="4"/>
      <c r="Z781" s="4"/>
      <c r="AA781" s="4"/>
      <c r="AB781" s="4"/>
      <c r="AC781" s="69"/>
      <c r="AD781" s="69"/>
      <c r="AE781" s="91"/>
      <c r="AF781" s="91"/>
      <c r="AG781" s="69"/>
      <c r="AH781" s="69"/>
      <c r="AI781" s="69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7"/>
      <c r="P782" s="4"/>
      <c r="Q782" s="7"/>
      <c r="R782" s="3"/>
      <c r="S782" s="3"/>
      <c r="T782" s="4"/>
      <c r="U782" s="4"/>
      <c r="V782" s="5"/>
      <c r="W782" s="4"/>
      <c r="X782" s="5"/>
      <c r="Y782" s="4"/>
      <c r="Z782" s="4"/>
      <c r="AA782" s="4"/>
      <c r="AB782" s="4"/>
      <c r="AC782" s="69"/>
      <c r="AD782" s="69"/>
      <c r="AE782" s="91"/>
      <c r="AF782" s="91"/>
      <c r="AG782" s="69"/>
      <c r="AH782" s="69"/>
      <c r="AI782" s="69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7"/>
      <c r="P783" s="4"/>
      <c r="Q783" s="7"/>
      <c r="R783" s="3"/>
      <c r="S783" s="3"/>
      <c r="T783" s="4"/>
      <c r="U783" s="4"/>
      <c r="V783" s="5"/>
      <c r="W783" s="4"/>
      <c r="X783" s="5"/>
      <c r="Y783" s="4"/>
      <c r="Z783" s="4"/>
      <c r="AA783" s="4"/>
      <c r="AB783" s="4"/>
      <c r="AC783" s="69"/>
      <c r="AD783" s="69"/>
      <c r="AE783" s="91"/>
      <c r="AF783" s="91"/>
      <c r="AG783" s="69"/>
      <c r="AH783" s="69"/>
      <c r="AI783" s="69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7"/>
      <c r="P784" s="4"/>
      <c r="Q784" s="7"/>
      <c r="R784" s="3"/>
      <c r="S784" s="3"/>
      <c r="T784" s="4"/>
      <c r="U784" s="4"/>
      <c r="V784" s="5"/>
      <c r="W784" s="4"/>
      <c r="X784" s="5"/>
      <c r="Y784" s="4"/>
      <c r="Z784" s="4"/>
      <c r="AA784" s="4"/>
      <c r="AB784" s="4"/>
      <c r="AC784" s="69"/>
      <c r="AD784" s="69"/>
      <c r="AE784" s="91"/>
      <c r="AF784" s="91"/>
      <c r="AG784" s="69"/>
      <c r="AH784" s="69"/>
      <c r="AI784" s="69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7"/>
      <c r="P785" s="4"/>
      <c r="Q785" s="7"/>
      <c r="R785" s="3"/>
      <c r="S785" s="3"/>
      <c r="T785" s="4"/>
      <c r="U785" s="4"/>
      <c r="V785" s="5"/>
      <c r="W785" s="4"/>
      <c r="X785" s="5"/>
      <c r="Y785" s="4"/>
      <c r="Z785" s="4"/>
      <c r="AA785" s="4"/>
      <c r="AB785" s="4"/>
      <c r="AC785" s="69"/>
      <c r="AD785" s="69"/>
      <c r="AE785" s="91"/>
      <c r="AF785" s="91"/>
      <c r="AG785" s="69"/>
      <c r="AH785" s="69"/>
      <c r="AI785" s="69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7"/>
      <c r="P786" s="4"/>
      <c r="Q786" s="7"/>
      <c r="R786" s="3"/>
      <c r="S786" s="3"/>
      <c r="T786" s="4"/>
      <c r="U786" s="4"/>
      <c r="V786" s="5"/>
      <c r="W786" s="4"/>
      <c r="X786" s="5"/>
      <c r="Y786" s="4"/>
      <c r="Z786" s="4"/>
      <c r="AA786" s="4"/>
      <c r="AB786" s="4"/>
      <c r="AC786" s="69"/>
      <c r="AD786" s="69"/>
      <c r="AE786" s="91"/>
      <c r="AF786" s="91"/>
      <c r="AG786" s="69"/>
      <c r="AH786" s="69"/>
      <c r="AI786" s="69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7"/>
      <c r="P787" s="4"/>
      <c r="Q787" s="7"/>
      <c r="R787" s="3"/>
      <c r="S787" s="3"/>
      <c r="T787" s="4"/>
      <c r="U787" s="4"/>
      <c r="V787" s="5"/>
      <c r="W787" s="4"/>
      <c r="X787" s="5"/>
      <c r="Y787" s="4"/>
      <c r="Z787" s="4"/>
      <c r="AA787" s="4"/>
      <c r="AB787" s="4"/>
      <c r="AC787" s="69"/>
      <c r="AD787" s="69"/>
      <c r="AE787" s="91"/>
      <c r="AF787" s="91"/>
      <c r="AG787" s="69"/>
      <c r="AH787" s="69"/>
      <c r="AI787" s="69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7"/>
      <c r="P788" s="4"/>
      <c r="Q788" s="7"/>
      <c r="R788" s="3"/>
      <c r="S788" s="3"/>
      <c r="T788" s="4"/>
      <c r="U788" s="4"/>
      <c r="V788" s="5"/>
      <c r="W788" s="4"/>
      <c r="X788" s="5"/>
      <c r="Y788" s="4"/>
      <c r="Z788" s="4"/>
      <c r="AA788" s="4"/>
      <c r="AB788" s="4"/>
      <c r="AC788" s="69"/>
      <c r="AD788" s="69"/>
      <c r="AE788" s="91"/>
      <c r="AF788" s="91"/>
      <c r="AG788" s="69"/>
      <c r="AH788" s="69"/>
      <c r="AI788" s="69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7"/>
      <c r="P789" s="4"/>
      <c r="Q789" s="7"/>
      <c r="R789" s="3"/>
      <c r="S789" s="3"/>
      <c r="T789" s="4"/>
      <c r="U789" s="4"/>
      <c r="V789" s="5"/>
      <c r="W789" s="4"/>
      <c r="X789" s="5"/>
      <c r="Y789" s="4"/>
      <c r="Z789" s="4"/>
      <c r="AA789" s="4"/>
      <c r="AB789" s="4"/>
      <c r="AC789" s="69"/>
      <c r="AD789" s="69"/>
      <c r="AE789" s="91"/>
      <c r="AF789" s="91"/>
      <c r="AG789" s="69"/>
      <c r="AH789" s="69"/>
      <c r="AI789" s="69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7"/>
      <c r="P790" s="4"/>
      <c r="Q790" s="7"/>
      <c r="R790" s="3"/>
      <c r="S790" s="3"/>
      <c r="T790" s="4"/>
      <c r="U790" s="4"/>
      <c r="V790" s="5"/>
      <c r="W790" s="4"/>
      <c r="X790" s="5"/>
      <c r="Y790" s="4"/>
      <c r="Z790" s="4"/>
      <c r="AA790" s="4"/>
      <c r="AB790" s="4"/>
      <c r="AC790" s="69"/>
      <c r="AD790" s="69"/>
      <c r="AE790" s="91"/>
      <c r="AF790" s="91"/>
      <c r="AG790" s="69"/>
      <c r="AH790" s="69"/>
      <c r="AI790" s="69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7"/>
      <c r="P791" s="4"/>
      <c r="Q791" s="7"/>
      <c r="R791" s="3"/>
      <c r="S791" s="3"/>
      <c r="T791" s="4"/>
      <c r="U791" s="4"/>
      <c r="V791" s="5"/>
      <c r="W791" s="4"/>
      <c r="X791" s="5"/>
      <c r="Y791" s="4"/>
      <c r="Z791" s="4"/>
      <c r="AA791" s="4"/>
      <c r="AB791" s="4"/>
      <c r="AC791" s="69"/>
      <c r="AD791" s="69"/>
      <c r="AE791" s="91"/>
      <c r="AF791" s="91"/>
      <c r="AG791" s="69"/>
      <c r="AH791" s="69"/>
      <c r="AI791" s="69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7"/>
      <c r="P792" s="4"/>
      <c r="Q792" s="7"/>
      <c r="R792" s="3"/>
      <c r="S792" s="3"/>
      <c r="T792" s="4"/>
      <c r="U792" s="4"/>
      <c r="V792" s="5"/>
      <c r="W792" s="4"/>
      <c r="X792" s="5"/>
      <c r="Y792" s="4"/>
      <c r="Z792" s="4"/>
      <c r="AA792" s="4"/>
      <c r="AB792" s="4"/>
      <c r="AC792" s="69"/>
      <c r="AD792" s="69"/>
      <c r="AE792" s="91"/>
      <c r="AF792" s="91"/>
      <c r="AG792" s="69"/>
      <c r="AH792" s="69"/>
      <c r="AI792" s="69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7"/>
      <c r="P793" s="4"/>
      <c r="Q793" s="7"/>
      <c r="R793" s="3"/>
      <c r="S793" s="3"/>
      <c r="T793" s="4"/>
      <c r="U793" s="4"/>
      <c r="V793" s="5"/>
      <c r="W793" s="4"/>
      <c r="X793" s="5"/>
      <c r="Y793" s="4"/>
      <c r="Z793" s="4"/>
      <c r="AA793" s="4"/>
      <c r="AB793" s="4"/>
      <c r="AC793" s="69"/>
      <c r="AD793" s="69"/>
      <c r="AE793" s="91"/>
      <c r="AF793" s="91"/>
      <c r="AG793" s="69"/>
      <c r="AH793" s="69"/>
      <c r="AI793" s="69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7"/>
      <c r="P794" s="4"/>
      <c r="Q794" s="7"/>
      <c r="R794" s="3"/>
      <c r="S794" s="3"/>
      <c r="T794" s="4"/>
      <c r="U794" s="4"/>
      <c r="V794" s="5"/>
      <c r="W794" s="4"/>
      <c r="X794" s="5"/>
      <c r="Y794" s="4"/>
      <c r="Z794" s="4"/>
      <c r="AA794" s="4"/>
      <c r="AB794" s="4"/>
      <c r="AC794" s="69"/>
      <c r="AD794" s="69"/>
      <c r="AE794" s="91"/>
      <c r="AF794" s="91"/>
      <c r="AG794" s="69"/>
      <c r="AH794" s="69"/>
      <c r="AI794" s="69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7"/>
      <c r="P795" s="4"/>
      <c r="Q795" s="7"/>
      <c r="R795" s="3"/>
      <c r="S795" s="3"/>
      <c r="T795" s="4"/>
      <c r="U795" s="4"/>
      <c r="V795" s="5"/>
      <c r="W795" s="4"/>
      <c r="X795" s="5"/>
      <c r="Y795" s="4"/>
      <c r="Z795" s="4"/>
      <c r="AA795" s="4"/>
      <c r="AB795" s="4"/>
      <c r="AC795" s="69"/>
      <c r="AD795" s="69"/>
      <c r="AE795" s="91"/>
      <c r="AF795" s="91"/>
      <c r="AG795" s="69"/>
      <c r="AH795" s="69"/>
      <c r="AI795" s="69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7"/>
      <c r="P796" s="4"/>
      <c r="Q796" s="7"/>
      <c r="R796" s="3"/>
      <c r="S796" s="3"/>
      <c r="T796" s="4"/>
      <c r="U796" s="4"/>
      <c r="V796" s="5"/>
      <c r="W796" s="4"/>
      <c r="X796" s="5"/>
      <c r="Y796" s="4"/>
      <c r="Z796" s="4"/>
      <c r="AA796" s="4"/>
      <c r="AB796" s="4"/>
      <c r="AC796" s="69"/>
      <c r="AD796" s="69"/>
      <c r="AE796" s="91"/>
      <c r="AF796" s="91"/>
      <c r="AG796" s="69"/>
      <c r="AH796" s="69"/>
      <c r="AI796" s="69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7"/>
      <c r="P797" s="4"/>
      <c r="Q797" s="7"/>
      <c r="R797" s="3"/>
      <c r="S797" s="3"/>
      <c r="T797" s="4"/>
      <c r="U797" s="4"/>
      <c r="V797" s="5"/>
      <c r="W797" s="4"/>
      <c r="X797" s="5"/>
      <c r="Y797" s="4"/>
      <c r="Z797" s="4"/>
      <c r="AA797" s="4"/>
      <c r="AB797" s="4"/>
      <c r="AC797" s="69"/>
      <c r="AD797" s="69"/>
      <c r="AE797" s="91"/>
      <c r="AF797" s="91"/>
      <c r="AG797" s="69"/>
      <c r="AH797" s="69"/>
      <c r="AI797" s="69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7"/>
      <c r="P798" s="4"/>
      <c r="Q798" s="7"/>
      <c r="R798" s="3"/>
      <c r="S798" s="3"/>
      <c r="T798" s="4"/>
      <c r="U798" s="4"/>
      <c r="V798" s="5"/>
      <c r="W798" s="4"/>
      <c r="X798" s="5"/>
      <c r="Y798" s="4"/>
      <c r="Z798" s="4"/>
      <c r="AA798" s="4"/>
      <c r="AB798" s="4"/>
      <c r="AC798" s="69"/>
      <c r="AD798" s="69"/>
      <c r="AE798" s="91"/>
      <c r="AF798" s="91"/>
      <c r="AG798" s="69"/>
      <c r="AH798" s="69"/>
      <c r="AI798" s="69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7"/>
      <c r="P799" s="4"/>
      <c r="Q799" s="7"/>
      <c r="R799" s="3"/>
      <c r="S799" s="3"/>
      <c r="T799" s="4"/>
      <c r="U799" s="4"/>
      <c r="V799" s="5"/>
      <c r="W799" s="4"/>
      <c r="X799" s="5"/>
      <c r="Y799" s="4"/>
      <c r="Z799" s="4"/>
      <c r="AA799" s="4"/>
      <c r="AB799" s="4"/>
      <c r="AC799" s="69"/>
      <c r="AD799" s="69"/>
      <c r="AE799" s="91"/>
      <c r="AF799" s="91"/>
      <c r="AG799" s="69"/>
      <c r="AH799" s="69"/>
      <c r="AI799" s="69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7"/>
      <c r="P800" s="4"/>
      <c r="Q800" s="7"/>
      <c r="R800" s="3"/>
      <c r="S800" s="3"/>
      <c r="T800" s="4"/>
      <c r="U800" s="4"/>
      <c r="V800" s="5"/>
      <c r="W800" s="4"/>
      <c r="X800" s="5"/>
      <c r="Y800" s="4"/>
      <c r="Z800" s="4"/>
      <c r="AA800" s="4"/>
      <c r="AB800" s="4"/>
      <c r="AC800" s="69"/>
      <c r="AD800" s="69"/>
      <c r="AE800" s="91"/>
      <c r="AF800" s="91"/>
      <c r="AG800" s="69"/>
      <c r="AH800" s="69"/>
      <c r="AI800" s="69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7"/>
      <c r="P801" s="4"/>
      <c r="Q801" s="7"/>
      <c r="R801" s="3"/>
      <c r="S801" s="3"/>
      <c r="T801" s="4"/>
      <c r="U801" s="4"/>
      <c r="V801" s="5"/>
      <c r="W801" s="4"/>
      <c r="X801" s="5"/>
      <c r="Y801" s="4"/>
      <c r="Z801" s="4"/>
      <c r="AA801" s="4"/>
      <c r="AB801" s="4"/>
      <c r="AC801" s="69"/>
      <c r="AD801" s="69"/>
      <c r="AE801" s="91"/>
      <c r="AF801" s="91"/>
      <c r="AG801" s="69"/>
      <c r="AH801" s="69"/>
      <c r="AI801" s="69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7"/>
      <c r="P802" s="4"/>
      <c r="Q802" s="7"/>
      <c r="R802" s="3"/>
      <c r="S802" s="3"/>
      <c r="T802" s="4"/>
      <c r="U802" s="4"/>
      <c r="V802" s="5"/>
      <c r="W802" s="4"/>
      <c r="X802" s="5"/>
      <c r="Y802" s="4"/>
      <c r="Z802" s="4"/>
      <c r="AA802" s="4"/>
      <c r="AB802" s="4"/>
      <c r="AC802" s="69"/>
      <c r="AD802" s="69"/>
      <c r="AE802" s="91"/>
      <c r="AF802" s="91"/>
      <c r="AG802" s="69"/>
      <c r="AH802" s="69"/>
      <c r="AI802" s="69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7"/>
      <c r="P803" s="4"/>
      <c r="Q803" s="7"/>
      <c r="R803" s="3"/>
      <c r="S803" s="3"/>
      <c r="T803" s="4"/>
      <c r="U803" s="4"/>
      <c r="V803" s="5"/>
      <c r="W803" s="4"/>
      <c r="X803" s="5"/>
      <c r="Y803" s="4"/>
      <c r="Z803" s="4"/>
      <c r="AA803" s="4"/>
      <c r="AB803" s="4"/>
      <c r="AC803" s="69"/>
      <c r="AD803" s="69"/>
      <c r="AE803" s="91"/>
      <c r="AF803" s="91"/>
      <c r="AG803" s="69"/>
      <c r="AH803" s="69"/>
      <c r="AI803" s="69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7"/>
      <c r="P804" s="4"/>
      <c r="Q804" s="7"/>
      <c r="R804" s="3"/>
      <c r="S804" s="3"/>
      <c r="T804" s="4"/>
      <c r="U804" s="4"/>
      <c r="V804" s="5"/>
      <c r="W804" s="4"/>
      <c r="X804" s="5"/>
      <c r="Y804" s="4"/>
      <c r="Z804" s="4"/>
      <c r="AA804" s="4"/>
      <c r="AB804" s="4"/>
      <c r="AC804" s="69"/>
      <c r="AD804" s="69"/>
      <c r="AE804" s="91"/>
      <c r="AF804" s="91"/>
      <c r="AG804" s="69"/>
      <c r="AH804" s="69"/>
      <c r="AI804" s="69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7"/>
      <c r="P805" s="4"/>
      <c r="Q805" s="7"/>
      <c r="R805" s="3"/>
      <c r="S805" s="3"/>
      <c r="T805" s="4"/>
      <c r="U805" s="4"/>
      <c r="V805" s="5"/>
      <c r="W805" s="4"/>
      <c r="X805" s="5"/>
      <c r="Y805" s="4"/>
      <c r="Z805" s="4"/>
      <c r="AA805" s="4"/>
      <c r="AB805" s="4"/>
      <c r="AC805" s="69"/>
      <c r="AD805" s="69"/>
      <c r="AE805" s="91"/>
      <c r="AF805" s="91"/>
      <c r="AG805" s="69"/>
      <c r="AH805" s="69"/>
      <c r="AI805" s="69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7"/>
      <c r="P806" s="4"/>
      <c r="Q806" s="7"/>
      <c r="R806" s="3"/>
      <c r="S806" s="3"/>
      <c r="T806" s="4"/>
      <c r="U806" s="4"/>
      <c r="V806" s="5"/>
      <c r="W806" s="4"/>
      <c r="X806" s="5"/>
      <c r="Y806" s="4"/>
      <c r="Z806" s="4"/>
      <c r="AA806" s="4"/>
      <c r="AB806" s="4"/>
      <c r="AC806" s="69"/>
      <c r="AD806" s="69"/>
      <c r="AE806" s="91"/>
      <c r="AF806" s="91"/>
      <c r="AG806" s="69"/>
      <c r="AH806" s="69"/>
      <c r="AI806" s="69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7"/>
      <c r="P807" s="4"/>
      <c r="Q807" s="7"/>
      <c r="R807" s="3"/>
      <c r="S807" s="3"/>
      <c r="T807" s="4"/>
      <c r="U807" s="4"/>
      <c r="V807" s="5"/>
      <c r="W807" s="4"/>
      <c r="X807" s="5"/>
      <c r="Y807" s="4"/>
      <c r="Z807" s="4"/>
      <c r="AA807" s="4"/>
      <c r="AB807" s="4"/>
      <c r="AC807" s="69"/>
      <c r="AD807" s="69"/>
      <c r="AE807" s="91"/>
      <c r="AF807" s="91"/>
      <c r="AG807" s="69"/>
      <c r="AH807" s="69"/>
      <c r="AI807" s="69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7"/>
      <c r="P808" s="4"/>
      <c r="Q808" s="7"/>
      <c r="R808" s="3"/>
      <c r="S808" s="3"/>
      <c r="T808" s="4"/>
      <c r="U808" s="4"/>
      <c r="V808" s="5"/>
      <c r="W808" s="4"/>
      <c r="X808" s="5"/>
      <c r="Y808" s="4"/>
      <c r="Z808" s="4"/>
      <c r="AA808" s="4"/>
      <c r="AB808" s="4"/>
      <c r="AC808" s="69"/>
      <c r="AD808" s="69"/>
      <c r="AE808" s="91"/>
      <c r="AF808" s="91"/>
      <c r="AG808" s="69"/>
      <c r="AH808" s="69"/>
      <c r="AI808" s="69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7"/>
      <c r="P809" s="4"/>
      <c r="Q809" s="7"/>
      <c r="R809" s="3"/>
      <c r="S809" s="3"/>
      <c r="T809" s="4"/>
      <c r="U809" s="4"/>
      <c r="V809" s="5"/>
      <c r="W809" s="4"/>
      <c r="X809" s="5"/>
      <c r="Y809" s="4"/>
      <c r="Z809" s="4"/>
      <c r="AA809" s="4"/>
      <c r="AB809" s="4"/>
      <c r="AC809" s="69"/>
      <c r="AD809" s="69"/>
      <c r="AE809" s="91"/>
      <c r="AF809" s="91"/>
      <c r="AG809" s="69"/>
      <c r="AH809" s="69"/>
      <c r="AI809" s="69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7"/>
      <c r="P810" s="4"/>
      <c r="Q810" s="7"/>
      <c r="R810" s="3"/>
      <c r="S810" s="3"/>
      <c r="T810" s="4"/>
      <c r="U810" s="4"/>
      <c r="V810" s="5"/>
      <c r="W810" s="4"/>
      <c r="X810" s="5"/>
      <c r="Y810" s="4"/>
      <c r="Z810" s="4"/>
      <c r="AA810" s="4"/>
      <c r="AB810" s="4"/>
      <c r="AC810" s="69"/>
      <c r="AD810" s="69"/>
      <c r="AE810" s="91"/>
      <c r="AF810" s="91"/>
      <c r="AG810" s="69"/>
      <c r="AH810" s="69"/>
      <c r="AI810" s="69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7"/>
      <c r="P811" s="4"/>
      <c r="Q811" s="7"/>
      <c r="R811" s="3"/>
      <c r="S811" s="3"/>
      <c r="T811" s="4"/>
      <c r="U811" s="4"/>
      <c r="V811" s="5"/>
      <c r="W811" s="4"/>
      <c r="X811" s="5"/>
      <c r="Y811" s="4"/>
      <c r="Z811" s="4"/>
      <c r="AA811" s="4"/>
      <c r="AB811" s="4"/>
      <c r="AC811" s="69"/>
      <c r="AD811" s="69"/>
      <c r="AE811" s="91"/>
      <c r="AF811" s="91"/>
      <c r="AG811" s="69"/>
      <c r="AH811" s="69"/>
      <c r="AI811" s="69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7"/>
      <c r="P812" s="4"/>
      <c r="Q812" s="7"/>
      <c r="R812" s="3"/>
      <c r="S812" s="3"/>
      <c r="T812" s="4"/>
      <c r="U812" s="4"/>
      <c r="V812" s="5"/>
      <c r="W812" s="4"/>
      <c r="X812" s="5"/>
      <c r="Y812" s="4"/>
      <c r="Z812" s="4"/>
      <c r="AA812" s="4"/>
      <c r="AB812" s="4"/>
      <c r="AC812" s="69"/>
      <c r="AD812" s="69"/>
      <c r="AE812" s="91"/>
      <c r="AF812" s="91"/>
      <c r="AG812" s="69"/>
      <c r="AH812" s="69"/>
      <c r="AI812" s="69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7"/>
      <c r="P813" s="4"/>
      <c r="Q813" s="7"/>
      <c r="R813" s="3"/>
      <c r="S813" s="3"/>
      <c r="T813" s="4"/>
      <c r="U813" s="4"/>
      <c r="V813" s="5"/>
      <c r="W813" s="4"/>
      <c r="X813" s="5"/>
      <c r="Y813" s="4"/>
      <c r="Z813" s="4"/>
      <c r="AA813" s="4"/>
      <c r="AB813" s="4"/>
      <c r="AC813" s="69"/>
      <c r="AD813" s="69"/>
      <c r="AE813" s="91"/>
      <c r="AF813" s="91"/>
      <c r="AG813" s="69"/>
      <c r="AH813" s="69"/>
      <c r="AI813" s="69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7"/>
      <c r="P814" s="4"/>
      <c r="Q814" s="7"/>
      <c r="R814" s="3"/>
      <c r="S814" s="3"/>
      <c r="T814" s="4"/>
      <c r="U814" s="4"/>
      <c r="V814" s="5"/>
      <c r="W814" s="4"/>
      <c r="X814" s="5"/>
      <c r="Y814" s="4"/>
      <c r="Z814" s="4"/>
      <c r="AA814" s="4"/>
      <c r="AB814" s="4"/>
      <c r="AC814" s="69"/>
      <c r="AD814" s="69"/>
      <c r="AE814" s="91"/>
      <c r="AF814" s="91"/>
      <c r="AG814" s="69"/>
      <c r="AH814" s="69"/>
      <c r="AI814" s="69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7"/>
      <c r="P815" s="4"/>
      <c r="Q815" s="7"/>
      <c r="R815" s="3"/>
      <c r="S815" s="3"/>
      <c r="T815" s="4"/>
      <c r="U815" s="4"/>
      <c r="V815" s="5"/>
      <c r="W815" s="4"/>
      <c r="X815" s="5"/>
      <c r="Y815" s="4"/>
      <c r="Z815" s="4"/>
      <c r="AA815" s="4"/>
      <c r="AB815" s="4"/>
      <c r="AC815" s="69"/>
      <c r="AD815" s="69"/>
      <c r="AE815" s="91"/>
      <c r="AF815" s="91"/>
      <c r="AG815" s="69"/>
      <c r="AH815" s="69"/>
      <c r="AI815" s="69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7"/>
      <c r="P816" s="4"/>
      <c r="Q816" s="7"/>
      <c r="R816" s="3"/>
      <c r="S816" s="3"/>
      <c r="T816" s="4"/>
      <c r="U816" s="4"/>
      <c r="V816" s="5"/>
      <c r="W816" s="4"/>
      <c r="X816" s="5"/>
      <c r="Y816" s="4"/>
      <c r="Z816" s="4"/>
      <c r="AA816" s="4"/>
      <c r="AB816" s="4"/>
      <c r="AC816" s="69"/>
      <c r="AD816" s="69"/>
      <c r="AE816" s="91"/>
      <c r="AF816" s="91"/>
      <c r="AG816" s="69"/>
      <c r="AH816" s="69"/>
      <c r="AI816" s="69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7"/>
      <c r="P817" s="4"/>
      <c r="Q817" s="7"/>
      <c r="R817" s="3"/>
      <c r="S817" s="3"/>
      <c r="T817" s="4"/>
      <c r="U817" s="4"/>
      <c r="V817" s="5"/>
      <c r="W817" s="4"/>
      <c r="X817" s="5"/>
      <c r="Y817" s="4"/>
      <c r="Z817" s="4"/>
      <c r="AA817" s="4"/>
      <c r="AB817" s="4"/>
      <c r="AC817" s="69"/>
      <c r="AD817" s="69"/>
      <c r="AE817" s="91"/>
      <c r="AF817" s="91"/>
      <c r="AG817" s="69"/>
      <c r="AH817" s="69"/>
      <c r="AI817" s="69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7"/>
      <c r="P818" s="4"/>
      <c r="Q818" s="7"/>
      <c r="R818" s="3"/>
      <c r="S818" s="3"/>
      <c r="T818" s="4"/>
      <c r="U818" s="4"/>
      <c r="V818" s="5"/>
      <c r="W818" s="4"/>
      <c r="X818" s="5"/>
      <c r="Y818" s="4"/>
      <c r="Z818" s="4"/>
      <c r="AA818" s="4"/>
      <c r="AB818" s="4"/>
      <c r="AC818" s="69"/>
      <c r="AD818" s="69"/>
      <c r="AE818" s="91"/>
      <c r="AF818" s="91"/>
      <c r="AG818" s="69"/>
      <c r="AH818" s="69"/>
      <c r="AI818" s="69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7"/>
      <c r="P819" s="4"/>
      <c r="Q819" s="7"/>
      <c r="R819" s="3"/>
      <c r="S819" s="3"/>
      <c r="T819" s="4"/>
      <c r="U819" s="4"/>
      <c r="V819" s="5"/>
      <c r="W819" s="4"/>
      <c r="X819" s="5"/>
      <c r="Y819" s="4"/>
      <c r="Z819" s="4"/>
      <c r="AA819" s="4"/>
      <c r="AB819" s="4"/>
      <c r="AC819" s="69"/>
      <c r="AD819" s="69"/>
      <c r="AE819" s="91"/>
      <c r="AF819" s="91"/>
      <c r="AG819" s="69"/>
      <c r="AH819" s="69"/>
      <c r="AI819" s="69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7"/>
      <c r="P820" s="4"/>
      <c r="Q820" s="7"/>
      <c r="R820" s="3"/>
      <c r="S820" s="3"/>
      <c r="T820" s="4"/>
      <c r="U820" s="4"/>
      <c r="V820" s="5"/>
      <c r="W820" s="4"/>
      <c r="X820" s="5"/>
      <c r="Y820" s="4"/>
      <c r="Z820" s="4"/>
      <c r="AA820" s="4"/>
      <c r="AB820" s="4"/>
      <c r="AC820" s="69"/>
      <c r="AD820" s="69"/>
      <c r="AE820" s="91"/>
      <c r="AF820" s="91"/>
      <c r="AG820" s="69"/>
      <c r="AH820" s="69"/>
      <c r="AI820" s="69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7"/>
      <c r="P821" s="4"/>
      <c r="Q821" s="7"/>
      <c r="R821" s="3"/>
      <c r="S821" s="3"/>
      <c r="T821" s="4"/>
      <c r="U821" s="4"/>
      <c r="V821" s="5"/>
      <c r="W821" s="4"/>
      <c r="X821" s="5"/>
      <c r="Y821" s="4"/>
      <c r="Z821" s="4"/>
      <c r="AA821" s="4"/>
      <c r="AB821" s="4"/>
      <c r="AC821" s="69"/>
      <c r="AD821" s="69"/>
      <c r="AE821" s="91"/>
      <c r="AF821" s="91"/>
      <c r="AG821" s="69"/>
      <c r="AH821" s="69"/>
      <c r="AI821" s="69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7"/>
      <c r="P822" s="4"/>
      <c r="Q822" s="7"/>
      <c r="R822" s="3"/>
      <c r="S822" s="3"/>
      <c r="T822" s="4"/>
      <c r="U822" s="4"/>
      <c r="V822" s="5"/>
      <c r="W822" s="4"/>
      <c r="X822" s="5"/>
      <c r="Y822" s="4"/>
      <c r="Z822" s="4"/>
      <c r="AA822" s="4"/>
      <c r="AB822" s="4"/>
      <c r="AC822" s="69"/>
      <c r="AD822" s="69"/>
      <c r="AE822" s="91"/>
      <c r="AF822" s="91"/>
      <c r="AG822" s="69"/>
      <c r="AH822" s="69"/>
      <c r="AI822" s="69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7"/>
      <c r="P823" s="4"/>
      <c r="Q823" s="7"/>
      <c r="R823" s="3"/>
      <c r="S823" s="3"/>
      <c r="T823" s="4"/>
      <c r="U823" s="4"/>
      <c r="V823" s="5"/>
      <c r="W823" s="4"/>
      <c r="X823" s="5"/>
      <c r="Y823" s="4"/>
      <c r="Z823" s="4"/>
      <c r="AA823" s="4"/>
      <c r="AB823" s="4"/>
      <c r="AC823" s="69"/>
      <c r="AD823" s="69"/>
      <c r="AE823" s="91"/>
      <c r="AF823" s="91"/>
      <c r="AG823" s="69"/>
      <c r="AH823" s="69"/>
      <c r="AI823" s="69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7"/>
      <c r="P824" s="4"/>
      <c r="Q824" s="7"/>
      <c r="R824" s="3"/>
      <c r="S824" s="3"/>
      <c r="T824" s="4"/>
      <c r="U824" s="4"/>
      <c r="V824" s="5"/>
      <c r="W824" s="4"/>
      <c r="X824" s="5"/>
      <c r="Y824" s="4"/>
      <c r="Z824" s="4"/>
      <c r="AA824" s="4"/>
      <c r="AB824" s="4"/>
      <c r="AC824" s="69"/>
      <c r="AD824" s="69"/>
      <c r="AE824" s="91"/>
      <c r="AF824" s="91"/>
      <c r="AG824" s="69"/>
      <c r="AH824" s="69"/>
      <c r="AI824" s="69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7"/>
      <c r="P825" s="4"/>
      <c r="Q825" s="7"/>
      <c r="R825" s="3"/>
      <c r="S825" s="3"/>
      <c r="T825" s="4"/>
      <c r="U825" s="4"/>
      <c r="V825" s="5"/>
      <c r="W825" s="4"/>
      <c r="X825" s="5"/>
      <c r="Y825" s="4"/>
      <c r="Z825" s="4"/>
      <c r="AA825" s="4"/>
      <c r="AB825" s="4"/>
      <c r="AC825" s="69"/>
      <c r="AD825" s="69"/>
      <c r="AE825" s="91"/>
      <c r="AF825" s="91"/>
      <c r="AG825" s="69"/>
      <c r="AH825" s="69"/>
      <c r="AI825" s="69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7"/>
      <c r="P826" s="4"/>
      <c r="Q826" s="7"/>
      <c r="R826" s="3"/>
      <c r="S826" s="3"/>
      <c r="T826" s="4"/>
      <c r="U826" s="4"/>
      <c r="V826" s="5"/>
      <c r="W826" s="4"/>
      <c r="X826" s="5"/>
      <c r="Y826" s="4"/>
      <c r="Z826" s="4"/>
      <c r="AA826" s="4"/>
      <c r="AB826" s="4"/>
      <c r="AC826" s="69"/>
      <c r="AD826" s="69"/>
      <c r="AE826" s="91"/>
      <c r="AF826" s="91"/>
      <c r="AG826" s="69"/>
      <c r="AH826" s="69"/>
      <c r="AI826" s="69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7"/>
      <c r="P827" s="4"/>
      <c r="Q827" s="7"/>
      <c r="R827" s="3"/>
      <c r="S827" s="3"/>
      <c r="T827" s="4"/>
      <c r="U827" s="4"/>
      <c r="V827" s="5"/>
      <c r="W827" s="4"/>
      <c r="X827" s="5"/>
      <c r="Y827" s="4"/>
      <c r="Z827" s="4"/>
      <c r="AA827" s="4"/>
      <c r="AB827" s="4"/>
      <c r="AC827" s="69"/>
      <c r="AD827" s="69"/>
      <c r="AE827" s="91"/>
      <c r="AF827" s="91"/>
      <c r="AG827" s="69"/>
      <c r="AH827" s="69"/>
      <c r="AI827" s="69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7"/>
      <c r="P828" s="4"/>
      <c r="Q828" s="7"/>
      <c r="R828" s="3"/>
      <c r="S828" s="3"/>
      <c r="T828" s="4"/>
      <c r="U828" s="4"/>
      <c r="V828" s="5"/>
      <c r="W828" s="4"/>
      <c r="X828" s="5"/>
      <c r="Y828" s="4"/>
      <c r="Z828" s="4"/>
      <c r="AA828" s="4"/>
      <c r="AB828" s="4"/>
      <c r="AC828" s="69"/>
      <c r="AD828" s="69"/>
      <c r="AE828" s="91"/>
      <c r="AF828" s="91"/>
      <c r="AG828" s="69"/>
      <c r="AH828" s="69"/>
      <c r="AI828" s="69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7"/>
      <c r="P829" s="4"/>
      <c r="Q829" s="7"/>
      <c r="R829" s="3"/>
      <c r="S829" s="3"/>
      <c r="T829" s="4"/>
      <c r="U829" s="4"/>
      <c r="V829" s="5"/>
      <c r="W829" s="4"/>
      <c r="X829" s="5"/>
      <c r="Y829" s="4"/>
      <c r="Z829" s="4"/>
      <c r="AA829" s="4"/>
      <c r="AB829" s="4"/>
      <c r="AC829" s="69"/>
      <c r="AD829" s="69"/>
      <c r="AE829" s="91"/>
      <c r="AF829" s="91"/>
      <c r="AG829" s="69"/>
      <c r="AH829" s="69"/>
      <c r="AI829" s="69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7"/>
      <c r="P830" s="4"/>
      <c r="Q830" s="7"/>
      <c r="R830" s="3"/>
      <c r="S830" s="3"/>
      <c r="T830" s="4"/>
      <c r="U830" s="4"/>
      <c r="V830" s="5"/>
      <c r="W830" s="4"/>
      <c r="X830" s="5"/>
      <c r="Y830" s="4"/>
      <c r="Z830" s="4"/>
      <c r="AA830" s="4"/>
      <c r="AB830" s="4"/>
      <c r="AC830" s="69"/>
      <c r="AD830" s="69"/>
      <c r="AE830" s="91"/>
      <c r="AF830" s="91"/>
      <c r="AG830" s="69"/>
      <c r="AH830" s="69"/>
      <c r="AI830" s="69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7"/>
      <c r="P831" s="4"/>
      <c r="Q831" s="7"/>
      <c r="R831" s="3"/>
      <c r="S831" s="3"/>
      <c r="T831" s="4"/>
      <c r="U831" s="4"/>
      <c r="V831" s="5"/>
      <c r="W831" s="4"/>
      <c r="X831" s="5"/>
      <c r="Y831" s="4"/>
      <c r="Z831" s="4"/>
      <c r="AA831" s="4"/>
      <c r="AB831" s="4"/>
      <c r="AC831" s="69"/>
      <c r="AD831" s="69"/>
      <c r="AE831" s="91"/>
      <c r="AF831" s="91"/>
      <c r="AG831" s="69"/>
      <c r="AH831" s="69"/>
      <c r="AI831" s="69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7"/>
      <c r="P832" s="4"/>
      <c r="Q832" s="7"/>
      <c r="R832" s="3"/>
      <c r="S832" s="3"/>
      <c r="T832" s="4"/>
      <c r="U832" s="4"/>
      <c r="V832" s="5"/>
      <c r="W832" s="4"/>
      <c r="X832" s="5"/>
      <c r="Y832" s="4"/>
      <c r="Z832" s="4"/>
      <c r="AA832" s="4"/>
      <c r="AB832" s="4"/>
      <c r="AC832" s="69"/>
      <c r="AD832" s="69"/>
      <c r="AE832" s="91"/>
      <c r="AF832" s="91"/>
      <c r="AG832" s="69"/>
      <c r="AH832" s="69"/>
      <c r="AI832" s="69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7"/>
      <c r="P833" s="4"/>
      <c r="Q833" s="7"/>
      <c r="R833" s="3"/>
      <c r="S833" s="3"/>
      <c r="T833" s="4"/>
      <c r="U833" s="4"/>
      <c r="V833" s="5"/>
      <c r="W833" s="4"/>
      <c r="X833" s="5"/>
      <c r="Y833" s="4"/>
      <c r="Z833" s="4"/>
      <c r="AA833" s="4"/>
      <c r="AB833" s="4"/>
      <c r="AC833" s="69"/>
      <c r="AD833" s="69"/>
      <c r="AE833" s="91"/>
      <c r="AF833" s="91"/>
      <c r="AG833" s="69"/>
      <c r="AH833" s="69"/>
      <c r="AI833" s="69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7"/>
      <c r="P834" s="4"/>
      <c r="Q834" s="7"/>
      <c r="R834" s="3"/>
      <c r="S834" s="3"/>
      <c r="T834" s="4"/>
      <c r="U834" s="4"/>
      <c r="V834" s="5"/>
      <c r="W834" s="4"/>
      <c r="X834" s="5"/>
      <c r="Y834" s="4"/>
      <c r="Z834" s="4"/>
      <c r="AA834" s="4"/>
      <c r="AB834" s="4"/>
      <c r="AC834" s="69"/>
      <c r="AD834" s="69"/>
      <c r="AE834" s="91"/>
      <c r="AF834" s="91"/>
      <c r="AG834" s="69"/>
      <c r="AH834" s="69"/>
      <c r="AI834" s="69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7"/>
      <c r="P835" s="4"/>
      <c r="Q835" s="7"/>
      <c r="R835" s="3"/>
      <c r="S835" s="3"/>
      <c r="T835" s="4"/>
      <c r="U835" s="4"/>
      <c r="V835" s="5"/>
      <c r="W835" s="4"/>
      <c r="X835" s="5"/>
      <c r="Y835" s="4"/>
      <c r="Z835" s="4"/>
      <c r="AA835" s="4"/>
      <c r="AB835" s="4"/>
      <c r="AC835" s="69"/>
      <c r="AD835" s="69"/>
      <c r="AE835" s="91"/>
      <c r="AF835" s="91"/>
      <c r="AG835" s="69"/>
      <c r="AH835" s="69"/>
      <c r="AI835" s="69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7"/>
      <c r="P836" s="4"/>
      <c r="Q836" s="7"/>
      <c r="R836" s="3"/>
      <c r="S836" s="3"/>
      <c r="T836" s="4"/>
      <c r="U836" s="4"/>
      <c r="V836" s="5"/>
      <c r="W836" s="4"/>
      <c r="X836" s="5"/>
      <c r="Y836" s="4"/>
      <c r="Z836" s="4"/>
      <c r="AA836" s="4"/>
      <c r="AB836" s="4"/>
      <c r="AC836" s="69"/>
      <c r="AD836" s="69"/>
      <c r="AE836" s="91"/>
      <c r="AF836" s="91"/>
      <c r="AG836" s="69"/>
      <c r="AH836" s="69"/>
      <c r="AI836" s="69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7"/>
      <c r="P837" s="4"/>
      <c r="Q837" s="7"/>
      <c r="R837" s="3"/>
      <c r="S837" s="3"/>
      <c r="T837" s="4"/>
      <c r="U837" s="4"/>
      <c r="V837" s="5"/>
      <c r="W837" s="4"/>
      <c r="X837" s="5"/>
      <c r="Y837" s="4"/>
      <c r="Z837" s="4"/>
      <c r="AA837" s="4"/>
      <c r="AB837" s="4"/>
      <c r="AC837" s="69"/>
      <c r="AD837" s="69"/>
      <c r="AE837" s="91"/>
      <c r="AF837" s="91"/>
      <c r="AG837" s="69"/>
      <c r="AH837" s="69"/>
      <c r="AI837" s="69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7"/>
      <c r="P838" s="4"/>
      <c r="Q838" s="7"/>
      <c r="R838" s="3"/>
      <c r="S838" s="3"/>
      <c r="T838" s="4"/>
      <c r="U838" s="4"/>
      <c r="V838" s="5"/>
      <c r="W838" s="4"/>
      <c r="X838" s="5"/>
      <c r="Y838" s="4"/>
      <c r="Z838" s="4"/>
      <c r="AA838" s="4"/>
      <c r="AB838" s="4"/>
      <c r="AC838" s="69"/>
      <c r="AD838" s="69"/>
      <c r="AE838" s="91"/>
      <c r="AF838" s="91"/>
      <c r="AG838" s="69"/>
      <c r="AH838" s="69"/>
      <c r="AI838" s="69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7"/>
      <c r="P839" s="4"/>
      <c r="Q839" s="7"/>
      <c r="R839" s="3"/>
      <c r="S839" s="3"/>
      <c r="T839" s="4"/>
      <c r="U839" s="4"/>
      <c r="V839" s="5"/>
      <c r="W839" s="4"/>
      <c r="X839" s="5"/>
      <c r="Y839" s="4"/>
      <c r="Z839" s="4"/>
      <c r="AA839" s="4"/>
      <c r="AB839" s="4"/>
      <c r="AC839" s="69"/>
      <c r="AD839" s="69"/>
      <c r="AE839" s="91"/>
      <c r="AF839" s="91"/>
      <c r="AG839" s="69"/>
      <c r="AH839" s="69"/>
      <c r="AI839" s="69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7"/>
      <c r="P840" s="4"/>
      <c r="Q840" s="7"/>
      <c r="R840" s="3"/>
      <c r="S840" s="3"/>
      <c r="T840" s="4"/>
      <c r="U840" s="4"/>
      <c r="V840" s="5"/>
      <c r="W840" s="4"/>
      <c r="X840" s="5"/>
      <c r="Y840" s="4"/>
      <c r="Z840" s="4"/>
      <c r="AA840" s="4"/>
      <c r="AB840" s="4"/>
      <c r="AC840" s="69"/>
      <c r="AD840" s="69"/>
      <c r="AE840" s="91"/>
      <c r="AF840" s="91"/>
      <c r="AG840" s="69"/>
      <c r="AH840" s="69"/>
      <c r="AI840" s="69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7"/>
      <c r="P841" s="4"/>
      <c r="Q841" s="7"/>
      <c r="R841" s="3"/>
      <c r="S841" s="3"/>
      <c r="T841" s="4"/>
      <c r="U841" s="4"/>
      <c r="V841" s="5"/>
      <c r="W841" s="4"/>
      <c r="X841" s="5"/>
      <c r="Y841" s="4"/>
      <c r="Z841" s="4"/>
      <c r="AA841" s="4"/>
      <c r="AB841" s="4"/>
      <c r="AC841" s="69"/>
      <c r="AD841" s="69"/>
      <c r="AE841" s="91"/>
      <c r="AF841" s="91"/>
      <c r="AG841" s="69"/>
      <c r="AH841" s="69"/>
      <c r="AI841" s="69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7"/>
      <c r="P842" s="4"/>
      <c r="Q842" s="7"/>
      <c r="R842" s="3"/>
      <c r="S842" s="3"/>
      <c r="T842" s="4"/>
      <c r="U842" s="4"/>
      <c r="V842" s="5"/>
      <c r="W842" s="4"/>
      <c r="X842" s="5"/>
      <c r="Y842" s="4"/>
      <c r="Z842" s="4"/>
      <c r="AA842" s="4"/>
      <c r="AB842" s="4"/>
      <c r="AC842" s="69"/>
      <c r="AD842" s="69"/>
      <c r="AE842" s="91"/>
      <c r="AF842" s="91"/>
      <c r="AG842" s="69"/>
      <c r="AH842" s="69"/>
      <c r="AI842" s="69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7"/>
      <c r="P843" s="4"/>
      <c r="Q843" s="7"/>
      <c r="R843" s="3"/>
      <c r="S843" s="3"/>
      <c r="T843" s="4"/>
      <c r="U843" s="4"/>
      <c r="V843" s="5"/>
      <c r="W843" s="4"/>
      <c r="X843" s="5"/>
      <c r="Y843" s="4"/>
      <c r="Z843" s="4"/>
      <c r="AA843" s="4"/>
      <c r="AB843" s="4"/>
      <c r="AC843" s="69"/>
      <c r="AD843" s="69"/>
      <c r="AE843" s="91"/>
      <c r="AF843" s="91"/>
      <c r="AG843" s="69"/>
      <c r="AH843" s="69"/>
      <c r="AI843" s="69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7"/>
      <c r="P844" s="4"/>
      <c r="Q844" s="7"/>
      <c r="R844" s="3"/>
      <c r="S844" s="3"/>
      <c r="T844" s="4"/>
      <c r="U844" s="4"/>
      <c r="V844" s="5"/>
      <c r="W844" s="4"/>
      <c r="X844" s="5"/>
      <c r="Y844" s="4"/>
      <c r="Z844" s="4"/>
      <c r="AA844" s="4"/>
      <c r="AB844" s="4"/>
      <c r="AC844" s="69"/>
      <c r="AD844" s="69"/>
      <c r="AE844" s="91"/>
      <c r="AF844" s="91"/>
      <c r="AG844" s="69"/>
      <c r="AH844" s="69"/>
      <c r="AI844" s="69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7"/>
      <c r="P845" s="4"/>
      <c r="Q845" s="7"/>
      <c r="R845" s="3"/>
      <c r="S845" s="3"/>
      <c r="T845" s="4"/>
      <c r="U845" s="4"/>
      <c r="V845" s="5"/>
      <c r="W845" s="4"/>
      <c r="X845" s="5"/>
      <c r="Y845" s="4"/>
      <c r="Z845" s="4"/>
      <c r="AA845" s="4"/>
      <c r="AB845" s="4"/>
      <c r="AC845" s="69"/>
      <c r="AD845" s="69"/>
      <c r="AE845" s="91"/>
      <c r="AF845" s="91"/>
      <c r="AG845" s="69"/>
      <c r="AH845" s="69"/>
      <c r="AI845" s="69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7"/>
      <c r="P846" s="4"/>
      <c r="Q846" s="7"/>
      <c r="R846" s="3"/>
      <c r="S846" s="3"/>
      <c r="T846" s="4"/>
      <c r="U846" s="4"/>
      <c r="V846" s="5"/>
      <c r="W846" s="4"/>
      <c r="X846" s="5"/>
      <c r="Y846" s="4"/>
      <c r="Z846" s="4"/>
      <c r="AA846" s="4"/>
      <c r="AB846" s="4"/>
      <c r="AC846" s="69"/>
      <c r="AD846" s="69"/>
      <c r="AE846" s="91"/>
      <c r="AF846" s="91"/>
      <c r="AG846" s="69"/>
      <c r="AH846" s="69"/>
      <c r="AI846" s="69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7"/>
      <c r="P847" s="4"/>
      <c r="Q847" s="7"/>
      <c r="R847" s="3"/>
      <c r="S847" s="3"/>
      <c r="T847" s="4"/>
      <c r="U847" s="4"/>
      <c r="V847" s="5"/>
      <c r="W847" s="4"/>
      <c r="X847" s="5"/>
      <c r="Y847" s="4"/>
      <c r="Z847" s="4"/>
      <c r="AA847" s="4"/>
      <c r="AB847" s="4"/>
      <c r="AC847" s="69"/>
      <c r="AD847" s="69"/>
      <c r="AE847" s="91"/>
      <c r="AF847" s="91"/>
      <c r="AG847" s="69"/>
      <c r="AH847" s="69"/>
      <c r="AI847" s="69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7"/>
      <c r="P848" s="4"/>
      <c r="Q848" s="7"/>
      <c r="R848" s="3"/>
      <c r="S848" s="3"/>
      <c r="T848" s="4"/>
      <c r="U848" s="4"/>
      <c r="V848" s="5"/>
      <c r="W848" s="4"/>
      <c r="X848" s="5"/>
      <c r="Y848" s="4"/>
      <c r="Z848" s="4"/>
      <c r="AA848" s="4"/>
      <c r="AB848" s="4"/>
      <c r="AC848" s="69"/>
      <c r="AD848" s="69"/>
      <c r="AE848" s="91"/>
      <c r="AF848" s="91"/>
      <c r="AG848" s="69"/>
      <c r="AH848" s="69"/>
      <c r="AI848" s="69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7"/>
      <c r="P849" s="4"/>
      <c r="Q849" s="7"/>
      <c r="R849" s="3"/>
      <c r="S849" s="3"/>
      <c r="T849" s="4"/>
      <c r="U849" s="4"/>
      <c r="V849" s="5"/>
      <c r="W849" s="4"/>
      <c r="X849" s="5"/>
      <c r="Y849" s="4"/>
      <c r="Z849" s="4"/>
      <c r="AA849" s="4"/>
      <c r="AB849" s="4"/>
      <c r="AC849" s="69"/>
      <c r="AD849" s="69"/>
      <c r="AE849" s="91"/>
      <c r="AF849" s="91"/>
      <c r="AG849" s="69"/>
      <c r="AH849" s="69"/>
      <c r="AI849" s="69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7"/>
      <c r="P850" s="4"/>
      <c r="Q850" s="7"/>
      <c r="R850" s="3"/>
      <c r="S850" s="3"/>
      <c r="T850" s="4"/>
      <c r="U850" s="4"/>
      <c r="V850" s="5"/>
      <c r="W850" s="4"/>
      <c r="X850" s="5"/>
      <c r="Y850" s="4"/>
      <c r="Z850" s="4"/>
      <c r="AA850" s="4"/>
      <c r="AB850" s="4"/>
      <c r="AC850" s="69"/>
      <c r="AD850" s="69"/>
      <c r="AE850" s="91"/>
      <c r="AF850" s="91"/>
      <c r="AG850" s="69"/>
      <c r="AH850" s="69"/>
      <c r="AI850" s="69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7"/>
      <c r="P851" s="4"/>
      <c r="Q851" s="7"/>
      <c r="R851" s="3"/>
      <c r="S851" s="3"/>
      <c r="T851" s="4"/>
      <c r="U851" s="4"/>
      <c r="V851" s="5"/>
      <c r="W851" s="4"/>
      <c r="X851" s="5"/>
      <c r="Y851" s="4"/>
      <c r="Z851" s="4"/>
      <c r="AA851" s="4"/>
      <c r="AB851" s="4"/>
      <c r="AC851" s="69"/>
      <c r="AD851" s="69"/>
      <c r="AE851" s="91"/>
      <c r="AF851" s="91"/>
      <c r="AG851" s="69"/>
      <c r="AH851" s="69"/>
      <c r="AI851" s="69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7"/>
      <c r="P852" s="4"/>
      <c r="Q852" s="7"/>
      <c r="R852" s="3"/>
      <c r="S852" s="3"/>
      <c r="T852" s="4"/>
      <c r="U852" s="4"/>
      <c r="V852" s="5"/>
      <c r="W852" s="4"/>
      <c r="X852" s="5"/>
      <c r="Y852" s="4"/>
      <c r="Z852" s="4"/>
      <c r="AA852" s="4"/>
      <c r="AB852" s="4"/>
      <c r="AC852" s="69"/>
      <c r="AD852" s="69"/>
      <c r="AE852" s="91"/>
      <c r="AF852" s="91"/>
      <c r="AG852" s="69"/>
      <c r="AH852" s="69"/>
      <c r="AI852" s="69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7"/>
      <c r="P853" s="4"/>
      <c r="Q853" s="7"/>
      <c r="R853" s="3"/>
      <c r="S853" s="3"/>
      <c r="T853" s="4"/>
      <c r="U853" s="4"/>
      <c r="V853" s="5"/>
      <c r="W853" s="4"/>
      <c r="X853" s="5"/>
      <c r="Y853" s="4"/>
      <c r="Z853" s="4"/>
      <c r="AA853" s="4"/>
      <c r="AB853" s="4"/>
      <c r="AC853" s="69"/>
      <c r="AD853" s="69"/>
      <c r="AE853" s="91"/>
      <c r="AF853" s="91"/>
      <c r="AG853" s="69"/>
      <c r="AH853" s="69"/>
      <c r="AI853" s="69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7"/>
      <c r="P854" s="4"/>
      <c r="Q854" s="7"/>
      <c r="R854" s="3"/>
      <c r="S854" s="3"/>
      <c r="T854" s="4"/>
      <c r="U854" s="4"/>
      <c r="V854" s="5"/>
      <c r="W854" s="4"/>
      <c r="X854" s="5"/>
      <c r="Y854" s="4"/>
      <c r="Z854" s="4"/>
      <c r="AA854" s="4"/>
      <c r="AB854" s="4"/>
      <c r="AC854" s="69"/>
      <c r="AD854" s="69"/>
      <c r="AE854" s="91"/>
      <c r="AF854" s="91"/>
      <c r="AG854" s="69"/>
      <c r="AH854" s="69"/>
      <c r="AI854" s="69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7"/>
      <c r="P855" s="4"/>
      <c r="Q855" s="7"/>
      <c r="R855" s="3"/>
      <c r="S855" s="3"/>
      <c r="T855" s="4"/>
      <c r="U855" s="4"/>
      <c r="V855" s="5"/>
      <c r="W855" s="4"/>
      <c r="X855" s="5"/>
      <c r="Y855" s="4"/>
      <c r="Z855" s="4"/>
      <c r="AA855" s="4"/>
      <c r="AB855" s="4"/>
      <c r="AC855" s="69"/>
      <c r="AD855" s="69"/>
      <c r="AE855" s="91"/>
      <c r="AF855" s="91"/>
      <c r="AG855" s="69"/>
      <c r="AH855" s="69"/>
      <c r="AI855" s="69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7"/>
      <c r="P856" s="4"/>
      <c r="Q856" s="7"/>
      <c r="R856" s="3"/>
      <c r="S856" s="3"/>
      <c r="T856" s="4"/>
      <c r="U856" s="4"/>
      <c r="V856" s="5"/>
      <c r="W856" s="4"/>
      <c r="X856" s="5"/>
      <c r="Y856" s="4"/>
      <c r="Z856" s="4"/>
      <c r="AA856" s="4"/>
      <c r="AB856" s="4"/>
      <c r="AC856" s="69"/>
      <c r="AD856" s="69"/>
      <c r="AE856" s="91"/>
      <c r="AF856" s="91"/>
      <c r="AG856" s="69"/>
      <c r="AH856" s="69"/>
      <c r="AI856" s="69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7"/>
      <c r="P857" s="4"/>
      <c r="Q857" s="7"/>
      <c r="R857" s="3"/>
      <c r="S857" s="3"/>
      <c r="T857" s="4"/>
      <c r="U857" s="4"/>
      <c r="V857" s="5"/>
      <c r="W857" s="4"/>
      <c r="X857" s="5"/>
      <c r="Y857" s="4"/>
      <c r="Z857" s="4"/>
      <c r="AA857" s="4"/>
      <c r="AB857" s="4"/>
      <c r="AC857" s="69"/>
      <c r="AD857" s="69"/>
      <c r="AE857" s="91"/>
      <c r="AF857" s="91"/>
      <c r="AG857" s="69"/>
      <c r="AH857" s="69"/>
      <c r="AI857" s="69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7"/>
      <c r="P858" s="4"/>
      <c r="Q858" s="7"/>
      <c r="R858" s="3"/>
      <c r="S858" s="3"/>
      <c r="T858" s="4"/>
      <c r="U858" s="4"/>
      <c r="V858" s="5"/>
      <c r="W858" s="4"/>
      <c r="X858" s="5"/>
      <c r="Y858" s="4"/>
      <c r="Z858" s="4"/>
      <c r="AA858" s="4"/>
      <c r="AB858" s="4"/>
      <c r="AC858" s="69"/>
      <c r="AD858" s="69"/>
      <c r="AE858" s="91"/>
      <c r="AF858" s="91"/>
      <c r="AG858" s="69"/>
      <c r="AH858" s="69"/>
      <c r="AI858" s="69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7"/>
      <c r="P859" s="4"/>
      <c r="Q859" s="7"/>
      <c r="R859" s="3"/>
      <c r="S859" s="3"/>
      <c r="T859" s="4"/>
      <c r="U859" s="4"/>
      <c r="V859" s="5"/>
      <c r="W859" s="4"/>
      <c r="X859" s="5"/>
      <c r="Y859" s="4"/>
      <c r="Z859" s="4"/>
      <c r="AA859" s="4"/>
      <c r="AB859" s="4"/>
      <c r="AC859" s="69"/>
      <c r="AD859" s="69"/>
      <c r="AE859" s="91"/>
      <c r="AF859" s="91"/>
      <c r="AG859" s="69"/>
      <c r="AH859" s="69"/>
      <c r="AI859" s="69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7"/>
      <c r="P860" s="4"/>
      <c r="Q860" s="7"/>
      <c r="R860" s="3"/>
      <c r="S860" s="3"/>
      <c r="T860" s="4"/>
      <c r="U860" s="4"/>
      <c r="V860" s="5"/>
      <c r="W860" s="4"/>
      <c r="X860" s="5"/>
      <c r="Y860" s="4"/>
      <c r="Z860" s="4"/>
      <c r="AA860" s="4"/>
      <c r="AB860" s="4"/>
      <c r="AC860" s="69"/>
      <c r="AD860" s="69"/>
      <c r="AE860" s="91"/>
      <c r="AF860" s="91"/>
      <c r="AG860" s="69"/>
      <c r="AH860" s="69"/>
      <c r="AI860" s="69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7"/>
      <c r="P861" s="4"/>
      <c r="Q861" s="7"/>
      <c r="R861" s="3"/>
      <c r="S861" s="3"/>
      <c r="T861" s="4"/>
      <c r="U861" s="4"/>
      <c r="V861" s="5"/>
      <c r="W861" s="4"/>
      <c r="X861" s="5"/>
      <c r="Y861" s="4"/>
      <c r="Z861" s="4"/>
      <c r="AA861" s="4"/>
      <c r="AB861" s="4"/>
      <c r="AC861" s="69"/>
      <c r="AD861" s="69"/>
      <c r="AE861" s="91"/>
      <c r="AF861" s="91"/>
      <c r="AG861" s="69"/>
      <c r="AH861" s="69"/>
      <c r="AI861" s="69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7"/>
      <c r="P862" s="4"/>
      <c r="Q862" s="7"/>
      <c r="R862" s="3"/>
      <c r="S862" s="3"/>
      <c r="T862" s="4"/>
      <c r="U862" s="4"/>
      <c r="V862" s="5"/>
      <c r="W862" s="4"/>
      <c r="X862" s="5"/>
      <c r="Y862" s="4"/>
      <c r="Z862" s="4"/>
      <c r="AA862" s="4"/>
      <c r="AB862" s="4"/>
      <c r="AC862" s="69"/>
      <c r="AD862" s="69"/>
      <c r="AE862" s="91"/>
      <c r="AF862" s="91"/>
      <c r="AG862" s="69"/>
      <c r="AH862" s="69"/>
      <c r="AI862" s="69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7"/>
      <c r="P863" s="4"/>
      <c r="Q863" s="7"/>
      <c r="R863" s="3"/>
      <c r="S863" s="3"/>
      <c r="T863" s="4"/>
      <c r="U863" s="4"/>
      <c r="V863" s="5"/>
      <c r="W863" s="4"/>
      <c r="X863" s="5"/>
      <c r="Y863" s="4"/>
      <c r="Z863" s="4"/>
      <c r="AA863" s="4"/>
      <c r="AB863" s="4"/>
      <c r="AC863" s="69"/>
      <c r="AD863" s="69"/>
      <c r="AE863" s="91"/>
      <c r="AF863" s="91"/>
      <c r="AG863" s="69"/>
      <c r="AH863" s="69"/>
      <c r="AI863" s="69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7"/>
      <c r="P864" s="4"/>
      <c r="Q864" s="7"/>
      <c r="R864" s="3"/>
      <c r="S864" s="3"/>
      <c r="T864" s="4"/>
      <c r="U864" s="4"/>
      <c r="V864" s="5"/>
      <c r="W864" s="4"/>
      <c r="X864" s="5"/>
      <c r="Y864" s="4"/>
      <c r="Z864" s="4"/>
      <c r="AA864" s="4"/>
      <c r="AB864" s="4"/>
      <c r="AC864" s="69"/>
      <c r="AD864" s="69"/>
      <c r="AE864" s="91"/>
      <c r="AF864" s="91"/>
      <c r="AG864" s="69"/>
      <c r="AH864" s="69"/>
      <c r="AI864" s="69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7"/>
      <c r="P865" s="4"/>
      <c r="Q865" s="7"/>
      <c r="R865" s="3"/>
      <c r="S865" s="3"/>
      <c r="T865" s="4"/>
      <c r="U865" s="4"/>
      <c r="V865" s="5"/>
      <c r="W865" s="4"/>
      <c r="X865" s="5"/>
      <c r="Y865" s="4"/>
      <c r="Z865" s="4"/>
      <c r="AA865" s="4"/>
      <c r="AB865" s="4"/>
      <c r="AC865" s="69"/>
      <c r="AD865" s="69"/>
      <c r="AE865" s="91"/>
      <c r="AF865" s="91"/>
      <c r="AG865" s="69"/>
      <c r="AH865" s="69"/>
      <c r="AI865" s="69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7"/>
      <c r="P866" s="4"/>
      <c r="Q866" s="7"/>
      <c r="R866" s="3"/>
      <c r="S866" s="3"/>
      <c r="T866" s="4"/>
      <c r="U866" s="4"/>
      <c r="V866" s="5"/>
      <c r="W866" s="4"/>
      <c r="X866" s="5"/>
      <c r="Y866" s="4"/>
      <c r="Z866" s="4"/>
      <c r="AA866" s="4"/>
      <c r="AB866" s="4"/>
      <c r="AC866" s="69"/>
      <c r="AD866" s="69"/>
      <c r="AE866" s="91"/>
      <c r="AF866" s="91"/>
      <c r="AG866" s="69"/>
      <c r="AH866" s="69"/>
      <c r="AI866" s="69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7"/>
      <c r="P867" s="4"/>
      <c r="Q867" s="7"/>
      <c r="R867" s="3"/>
      <c r="S867" s="3"/>
      <c r="T867" s="4"/>
      <c r="U867" s="4"/>
      <c r="V867" s="5"/>
      <c r="W867" s="4"/>
      <c r="X867" s="5"/>
      <c r="Y867" s="4"/>
      <c r="Z867" s="4"/>
      <c r="AA867" s="4"/>
      <c r="AB867" s="4"/>
      <c r="AC867" s="69"/>
      <c r="AD867" s="69"/>
      <c r="AE867" s="91"/>
      <c r="AF867" s="91"/>
      <c r="AG867" s="69"/>
      <c r="AH867" s="69"/>
      <c r="AI867" s="69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7"/>
      <c r="P868" s="4"/>
      <c r="Q868" s="7"/>
      <c r="R868" s="3"/>
      <c r="S868" s="3"/>
      <c r="T868" s="4"/>
      <c r="U868" s="4"/>
      <c r="V868" s="5"/>
      <c r="W868" s="4"/>
      <c r="X868" s="5"/>
      <c r="Y868" s="4"/>
      <c r="Z868" s="4"/>
      <c r="AA868" s="4"/>
      <c r="AB868" s="4"/>
      <c r="AC868" s="69"/>
      <c r="AD868" s="69"/>
      <c r="AE868" s="91"/>
      <c r="AF868" s="91"/>
      <c r="AG868" s="69"/>
      <c r="AH868" s="69"/>
      <c r="AI868" s="69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7"/>
      <c r="P869" s="4"/>
      <c r="Q869" s="7"/>
      <c r="R869" s="3"/>
      <c r="S869" s="3"/>
      <c r="T869" s="4"/>
      <c r="U869" s="4"/>
      <c r="V869" s="5"/>
      <c r="W869" s="4"/>
      <c r="X869" s="5"/>
      <c r="Y869" s="4"/>
      <c r="Z869" s="4"/>
      <c r="AA869" s="4"/>
      <c r="AB869" s="4"/>
      <c r="AC869" s="69"/>
      <c r="AD869" s="69"/>
      <c r="AE869" s="91"/>
      <c r="AF869" s="91"/>
      <c r="AG869" s="69"/>
      <c r="AH869" s="69"/>
      <c r="AI869" s="69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7"/>
      <c r="P870" s="4"/>
      <c r="Q870" s="7"/>
      <c r="R870" s="3"/>
      <c r="S870" s="3"/>
      <c r="T870" s="4"/>
      <c r="U870" s="4"/>
      <c r="V870" s="5"/>
      <c r="W870" s="4"/>
      <c r="X870" s="5"/>
      <c r="Y870" s="4"/>
      <c r="Z870" s="4"/>
      <c r="AA870" s="4"/>
      <c r="AB870" s="4"/>
      <c r="AC870" s="69"/>
      <c r="AD870" s="69"/>
      <c r="AE870" s="91"/>
      <c r="AF870" s="91"/>
      <c r="AG870" s="69"/>
      <c r="AH870" s="69"/>
      <c r="AI870" s="69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7"/>
      <c r="P871" s="4"/>
      <c r="Q871" s="7"/>
      <c r="R871" s="3"/>
      <c r="S871" s="3"/>
      <c r="T871" s="4"/>
      <c r="U871" s="4"/>
      <c r="V871" s="5"/>
      <c r="W871" s="4"/>
      <c r="X871" s="5"/>
      <c r="Y871" s="4"/>
      <c r="Z871" s="4"/>
      <c r="AA871" s="4"/>
      <c r="AB871" s="4"/>
      <c r="AC871" s="69"/>
      <c r="AD871" s="69"/>
      <c r="AE871" s="91"/>
      <c r="AF871" s="91"/>
      <c r="AG871" s="69"/>
      <c r="AH871" s="69"/>
      <c r="AI871" s="69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7"/>
      <c r="P872" s="4"/>
      <c r="Q872" s="7"/>
      <c r="R872" s="3"/>
      <c r="S872" s="3"/>
      <c r="T872" s="4"/>
      <c r="U872" s="4"/>
      <c r="V872" s="5"/>
      <c r="W872" s="4"/>
      <c r="X872" s="5"/>
      <c r="Y872" s="4"/>
      <c r="Z872" s="4"/>
      <c r="AA872" s="4"/>
      <c r="AB872" s="4"/>
      <c r="AC872" s="69"/>
      <c r="AD872" s="69"/>
      <c r="AE872" s="91"/>
      <c r="AF872" s="91"/>
      <c r="AG872" s="69"/>
      <c r="AH872" s="69"/>
      <c r="AI872" s="69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7"/>
      <c r="P873" s="4"/>
      <c r="Q873" s="7"/>
      <c r="R873" s="3"/>
      <c r="S873" s="3"/>
      <c r="T873" s="4"/>
      <c r="U873" s="4"/>
      <c r="V873" s="5"/>
      <c r="W873" s="4"/>
      <c r="X873" s="5"/>
      <c r="Y873" s="4"/>
      <c r="Z873" s="4"/>
      <c r="AA873" s="4"/>
      <c r="AB873" s="4"/>
      <c r="AC873" s="69"/>
      <c r="AD873" s="69"/>
      <c r="AE873" s="91"/>
      <c r="AF873" s="91"/>
      <c r="AG873" s="69"/>
      <c r="AH873" s="69"/>
      <c r="AI873" s="69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7"/>
      <c r="P874" s="4"/>
      <c r="Q874" s="7"/>
      <c r="R874" s="3"/>
      <c r="S874" s="3"/>
      <c r="T874" s="4"/>
      <c r="U874" s="4"/>
      <c r="V874" s="5"/>
      <c r="W874" s="4"/>
      <c r="X874" s="5"/>
      <c r="Y874" s="4"/>
      <c r="Z874" s="4"/>
      <c r="AA874" s="4"/>
      <c r="AB874" s="4"/>
      <c r="AC874" s="69"/>
      <c r="AD874" s="69"/>
      <c r="AE874" s="91"/>
      <c r="AF874" s="91"/>
      <c r="AG874" s="69"/>
      <c r="AH874" s="69"/>
      <c r="AI874" s="69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7"/>
      <c r="P875" s="4"/>
      <c r="Q875" s="7"/>
      <c r="R875" s="3"/>
      <c r="S875" s="3"/>
      <c r="T875" s="4"/>
      <c r="U875" s="4"/>
      <c r="V875" s="5"/>
      <c r="W875" s="4"/>
      <c r="X875" s="5"/>
      <c r="Y875" s="4"/>
      <c r="Z875" s="4"/>
      <c r="AA875" s="4"/>
      <c r="AB875" s="4"/>
      <c r="AC875" s="69"/>
      <c r="AD875" s="69"/>
      <c r="AE875" s="91"/>
      <c r="AF875" s="91"/>
      <c r="AG875" s="69"/>
      <c r="AH875" s="69"/>
      <c r="AI875" s="69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7"/>
      <c r="P876" s="4"/>
      <c r="Q876" s="7"/>
      <c r="R876" s="3"/>
      <c r="S876" s="3"/>
      <c r="T876" s="4"/>
      <c r="U876" s="4"/>
      <c r="V876" s="5"/>
      <c r="W876" s="4"/>
      <c r="X876" s="5"/>
      <c r="Y876" s="4"/>
      <c r="Z876" s="4"/>
      <c r="AA876" s="4"/>
      <c r="AB876" s="4"/>
      <c r="AC876" s="69"/>
      <c r="AD876" s="69"/>
      <c r="AE876" s="91"/>
      <c r="AF876" s="91"/>
      <c r="AG876" s="69"/>
      <c r="AH876" s="69"/>
      <c r="AI876" s="69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7"/>
      <c r="P877" s="4"/>
      <c r="Q877" s="7"/>
      <c r="R877" s="3"/>
      <c r="S877" s="3"/>
      <c r="T877" s="4"/>
      <c r="U877" s="4"/>
      <c r="V877" s="5"/>
      <c r="W877" s="4"/>
      <c r="X877" s="5"/>
      <c r="Y877" s="4"/>
      <c r="Z877" s="4"/>
      <c r="AA877" s="4"/>
      <c r="AB877" s="4"/>
      <c r="AC877" s="69"/>
      <c r="AD877" s="69"/>
      <c r="AE877" s="91"/>
      <c r="AF877" s="91"/>
      <c r="AG877" s="69"/>
      <c r="AH877" s="69"/>
      <c r="AI877" s="69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7"/>
      <c r="P878" s="4"/>
      <c r="Q878" s="7"/>
      <c r="R878" s="3"/>
      <c r="S878" s="3"/>
      <c r="T878" s="4"/>
      <c r="U878" s="4"/>
      <c r="V878" s="5"/>
      <c r="W878" s="4"/>
      <c r="X878" s="5"/>
      <c r="Y878" s="4"/>
      <c r="Z878" s="4"/>
      <c r="AA878" s="4"/>
      <c r="AB878" s="4"/>
      <c r="AC878" s="69"/>
      <c r="AD878" s="69"/>
      <c r="AE878" s="91"/>
      <c r="AF878" s="91"/>
      <c r="AG878" s="69"/>
      <c r="AH878" s="69"/>
      <c r="AI878" s="69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7"/>
      <c r="P879" s="4"/>
      <c r="Q879" s="7"/>
      <c r="R879" s="3"/>
      <c r="S879" s="3"/>
      <c r="T879" s="4"/>
      <c r="U879" s="4"/>
      <c r="V879" s="5"/>
      <c r="W879" s="4"/>
      <c r="X879" s="5"/>
      <c r="Y879" s="4"/>
      <c r="Z879" s="4"/>
      <c r="AA879" s="4"/>
      <c r="AB879" s="4"/>
      <c r="AC879" s="69"/>
      <c r="AD879" s="69"/>
      <c r="AE879" s="91"/>
      <c r="AF879" s="91"/>
      <c r="AG879" s="69"/>
      <c r="AH879" s="69"/>
      <c r="AI879" s="69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7"/>
      <c r="P880" s="4"/>
      <c r="Q880" s="7"/>
      <c r="R880" s="3"/>
      <c r="S880" s="3"/>
      <c r="T880" s="4"/>
      <c r="U880" s="4"/>
      <c r="V880" s="5"/>
      <c r="W880" s="4"/>
      <c r="X880" s="5"/>
      <c r="Y880" s="4"/>
      <c r="Z880" s="4"/>
      <c r="AA880" s="4"/>
      <c r="AB880" s="4"/>
      <c r="AC880" s="69"/>
      <c r="AD880" s="69"/>
      <c r="AE880" s="91"/>
      <c r="AF880" s="91"/>
      <c r="AG880" s="69"/>
      <c r="AH880" s="69"/>
      <c r="AI880" s="69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7"/>
      <c r="P881" s="4"/>
      <c r="Q881" s="7"/>
      <c r="R881" s="3"/>
      <c r="S881" s="3"/>
      <c r="T881" s="4"/>
      <c r="U881" s="4"/>
      <c r="V881" s="5"/>
      <c r="W881" s="4"/>
      <c r="X881" s="5"/>
      <c r="Y881" s="4"/>
      <c r="Z881" s="4"/>
      <c r="AA881" s="4"/>
      <c r="AB881" s="4"/>
      <c r="AC881" s="69"/>
      <c r="AD881" s="69"/>
      <c r="AE881" s="91"/>
      <c r="AF881" s="91"/>
      <c r="AG881" s="69"/>
      <c r="AH881" s="69"/>
      <c r="AI881" s="69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7"/>
      <c r="P882" s="4"/>
      <c r="Q882" s="7"/>
      <c r="R882" s="3"/>
      <c r="S882" s="3"/>
      <c r="T882" s="4"/>
      <c r="U882" s="4"/>
      <c r="V882" s="5"/>
      <c r="W882" s="4"/>
      <c r="X882" s="5"/>
      <c r="Y882" s="4"/>
      <c r="Z882" s="4"/>
      <c r="AA882" s="4"/>
      <c r="AB882" s="4"/>
      <c r="AC882" s="69"/>
      <c r="AD882" s="69"/>
      <c r="AE882" s="91"/>
      <c r="AF882" s="91"/>
      <c r="AG882" s="69"/>
      <c r="AH882" s="69"/>
      <c r="AI882" s="69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7"/>
      <c r="P883" s="4"/>
      <c r="Q883" s="7"/>
      <c r="R883" s="3"/>
      <c r="S883" s="3"/>
      <c r="T883" s="4"/>
      <c r="U883" s="4"/>
      <c r="V883" s="5"/>
      <c r="W883" s="4"/>
      <c r="X883" s="5"/>
      <c r="Y883" s="4"/>
      <c r="Z883" s="4"/>
      <c r="AA883" s="4"/>
      <c r="AB883" s="4"/>
      <c r="AC883" s="69"/>
      <c r="AD883" s="69"/>
      <c r="AE883" s="91"/>
      <c r="AF883" s="91"/>
      <c r="AG883" s="69"/>
      <c r="AH883" s="69"/>
      <c r="AI883" s="69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7"/>
      <c r="P884" s="4"/>
      <c r="Q884" s="7"/>
      <c r="R884" s="3"/>
      <c r="S884" s="3"/>
      <c r="T884" s="4"/>
      <c r="U884" s="4"/>
      <c r="V884" s="5"/>
      <c r="W884" s="4"/>
      <c r="X884" s="5"/>
      <c r="Y884" s="4"/>
      <c r="Z884" s="4"/>
      <c r="AA884" s="4"/>
      <c r="AB884" s="4"/>
      <c r="AC884" s="69"/>
      <c r="AD884" s="69"/>
      <c r="AE884" s="91"/>
      <c r="AF884" s="91"/>
      <c r="AG884" s="69"/>
      <c r="AH884" s="69"/>
      <c r="AI884" s="69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7"/>
      <c r="P885" s="4"/>
      <c r="Q885" s="7"/>
      <c r="R885" s="3"/>
      <c r="S885" s="3"/>
      <c r="T885" s="4"/>
      <c r="U885" s="4"/>
      <c r="V885" s="5"/>
      <c r="W885" s="4"/>
      <c r="X885" s="5"/>
      <c r="Y885" s="4"/>
      <c r="Z885" s="4"/>
      <c r="AA885" s="4"/>
      <c r="AB885" s="4"/>
      <c r="AC885" s="69"/>
      <c r="AD885" s="69"/>
      <c r="AE885" s="91"/>
      <c r="AF885" s="91"/>
      <c r="AG885" s="69"/>
      <c r="AH885" s="69"/>
      <c r="AI885" s="69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7"/>
      <c r="P886" s="4"/>
      <c r="Q886" s="7"/>
      <c r="R886" s="3"/>
      <c r="S886" s="3"/>
      <c r="T886" s="4"/>
      <c r="U886" s="4"/>
      <c r="V886" s="5"/>
      <c r="W886" s="4"/>
      <c r="X886" s="5"/>
      <c r="Y886" s="4"/>
      <c r="Z886" s="4"/>
      <c r="AA886" s="4"/>
      <c r="AB886" s="4"/>
      <c r="AC886" s="69"/>
      <c r="AD886" s="69"/>
      <c r="AE886" s="91"/>
      <c r="AF886" s="91"/>
      <c r="AG886" s="69"/>
      <c r="AH886" s="69"/>
      <c r="AI886" s="69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7"/>
      <c r="P887" s="4"/>
      <c r="Q887" s="7"/>
      <c r="R887" s="3"/>
      <c r="S887" s="3"/>
      <c r="T887" s="4"/>
      <c r="U887" s="4"/>
      <c r="V887" s="5"/>
      <c r="W887" s="4"/>
      <c r="X887" s="5"/>
      <c r="Y887" s="4"/>
      <c r="Z887" s="4"/>
      <c r="AA887" s="4"/>
      <c r="AB887" s="4"/>
      <c r="AC887" s="69"/>
      <c r="AD887" s="69"/>
      <c r="AE887" s="91"/>
      <c r="AF887" s="91"/>
      <c r="AG887" s="69"/>
      <c r="AH887" s="69"/>
      <c r="AI887" s="69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7"/>
      <c r="P888" s="4"/>
      <c r="Q888" s="7"/>
      <c r="R888" s="3"/>
      <c r="S888" s="3"/>
      <c r="T888" s="4"/>
      <c r="U888" s="4"/>
      <c r="V888" s="5"/>
      <c r="W888" s="4"/>
      <c r="X888" s="5"/>
      <c r="Y888" s="4"/>
      <c r="Z888" s="4"/>
      <c r="AA888" s="4"/>
      <c r="AB888" s="4"/>
      <c r="AC888" s="69"/>
      <c r="AD888" s="69"/>
      <c r="AE888" s="91"/>
      <c r="AF888" s="91"/>
      <c r="AG888" s="69"/>
      <c r="AH888" s="69"/>
      <c r="AI888" s="69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7"/>
      <c r="P889" s="4"/>
      <c r="Q889" s="7"/>
      <c r="R889" s="3"/>
      <c r="S889" s="3"/>
      <c r="T889" s="4"/>
      <c r="U889" s="4"/>
      <c r="V889" s="5"/>
      <c r="W889" s="4"/>
      <c r="X889" s="5"/>
      <c r="Y889" s="4"/>
      <c r="Z889" s="4"/>
      <c r="AA889" s="4"/>
      <c r="AB889" s="4"/>
      <c r="AC889" s="69"/>
      <c r="AD889" s="69"/>
      <c r="AE889" s="91"/>
      <c r="AF889" s="91"/>
      <c r="AG889" s="69"/>
      <c r="AH889" s="69"/>
      <c r="AI889" s="69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7"/>
      <c r="P890" s="4"/>
      <c r="Q890" s="7"/>
      <c r="R890" s="3"/>
      <c r="S890" s="3"/>
      <c r="T890" s="4"/>
      <c r="U890" s="4"/>
      <c r="V890" s="5"/>
      <c r="W890" s="4"/>
      <c r="X890" s="5"/>
      <c r="Y890" s="4"/>
      <c r="Z890" s="4"/>
      <c r="AA890" s="4"/>
      <c r="AB890" s="4"/>
      <c r="AC890" s="69"/>
      <c r="AD890" s="69"/>
      <c r="AE890" s="91"/>
      <c r="AF890" s="91"/>
      <c r="AG890" s="69"/>
      <c r="AH890" s="69"/>
      <c r="AI890" s="69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7"/>
      <c r="P891" s="4"/>
      <c r="Q891" s="7"/>
      <c r="R891" s="3"/>
      <c r="S891" s="3"/>
      <c r="T891" s="4"/>
      <c r="U891" s="4"/>
      <c r="V891" s="5"/>
      <c r="W891" s="4"/>
      <c r="X891" s="5"/>
      <c r="Y891" s="4"/>
      <c r="Z891" s="4"/>
      <c r="AA891" s="4"/>
      <c r="AB891" s="4"/>
      <c r="AC891" s="69"/>
      <c r="AD891" s="69"/>
      <c r="AE891" s="91"/>
      <c r="AF891" s="91"/>
      <c r="AG891" s="69"/>
      <c r="AH891" s="69"/>
      <c r="AI891" s="69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7"/>
      <c r="P892" s="4"/>
      <c r="Q892" s="7"/>
      <c r="R892" s="3"/>
      <c r="S892" s="3"/>
      <c r="T892" s="4"/>
      <c r="U892" s="4"/>
      <c r="V892" s="5"/>
      <c r="W892" s="4"/>
      <c r="X892" s="5"/>
      <c r="Y892" s="4"/>
      <c r="Z892" s="4"/>
      <c r="AA892" s="4"/>
      <c r="AB892" s="4"/>
      <c r="AC892" s="69"/>
      <c r="AD892" s="69"/>
      <c r="AE892" s="91"/>
      <c r="AF892" s="91"/>
      <c r="AG892" s="69"/>
      <c r="AH892" s="69"/>
      <c r="AI892" s="69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7"/>
      <c r="P893" s="4"/>
      <c r="Q893" s="7"/>
      <c r="R893" s="3"/>
      <c r="S893" s="3"/>
      <c r="T893" s="4"/>
      <c r="U893" s="4"/>
      <c r="V893" s="5"/>
      <c r="W893" s="4"/>
      <c r="X893" s="5"/>
      <c r="Y893" s="4"/>
      <c r="Z893" s="4"/>
      <c r="AA893" s="4"/>
      <c r="AB893" s="4"/>
      <c r="AC893" s="69"/>
      <c r="AD893" s="69"/>
      <c r="AE893" s="91"/>
      <c r="AF893" s="91"/>
      <c r="AG893" s="69"/>
      <c r="AH893" s="69"/>
      <c r="AI893" s="69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7"/>
      <c r="P894" s="4"/>
      <c r="Q894" s="7"/>
      <c r="R894" s="3"/>
      <c r="S894" s="3"/>
      <c r="T894" s="4"/>
      <c r="U894" s="4"/>
      <c r="V894" s="5"/>
      <c r="W894" s="4"/>
      <c r="X894" s="5"/>
      <c r="Y894" s="4"/>
      <c r="Z894" s="4"/>
      <c r="AA894" s="4"/>
      <c r="AB894" s="4"/>
      <c r="AC894" s="69"/>
      <c r="AD894" s="69"/>
      <c r="AE894" s="91"/>
      <c r="AF894" s="91"/>
      <c r="AG894" s="69"/>
      <c r="AH894" s="69"/>
      <c r="AI894" s="69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7"/>
      <c r="P895" s="4"/>
      <c r="Q895" s="7"/>
      <c r="R895" s="3"/>
      <c r="S895" s="3"/>
      <c r="T895" s="4"/>
      <c r="U895" s="4"/>
      <c r="V895" s="5"/>
      <c r="W895" s="4"/>
      <c r="X895" s="5"/>
      <c r="Y895" s="4"/>
      <c r="Z895" s="4"/>
      <c r="AA895" s="4"/>
      <c r="AB895" s="4"/>
      <c r="AC895" s="69"/>
      <c r="AD895" s="69"/>
      <c r="AE895" s="91"/>
      <c r="AF895" s="91"/>
      <c r="AG895" s="69"/>
      <c r="AH895" s="69"/>
      <c r="AI895" s="69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7"/>
      <c r="P896" s="4"/>
      <c r="Q896" s="7"/>
      <c r="R896" s="3"/>
      <c r="S896" s="3"/>
      <c r="T896" s="4"/>
      <c r="U896" s="4"/>
      <c r="V896" s="5"/>
      <c r="W896" s="4"/>
      <c r="X896" s="5"/>
      <c r="Y896" s="4"/>
      <c r="Z896" s="4"/>
      <c r="AA896" s="4"/>
      <c r="AB896" s="4"/>
      <c r="AC896" s="69"/>
      <c r="AD896" s="69"/>
      <c r="AE896" s="91"/>
      <c r="AF896" s="91"/>
      <c r="AG896" s="69"/>
      <c r="AH896" s="69"/>
      <c r="AI896" s="69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7"/>
      <c r="P897" s="4"/>
      <c r="Q897" s="7"/>
      <c r="R897" s="3"/>
      <c r="S897" s="3"/>
      <c r="T897" s="4"/>
      <c r="U897" s="4"/>
      <c r="V897" s="5"/>
      <c r="W897" s="4"/>
      <c r="X897" s="5"/>
      <c r="Y897" s="4"/>
      <c r="Z897" s="4"/>
      <c r="AA897" s="4"/>
      <c r="AB897" s="4"/>
      <c r="AC897" s="69"/>
      <c r="AD897" s="69"/>
      <c r="AE897" s="91"/>
      <c r="AF897" s="91"/>
      <c r="AG897" s="69"/>
      <c r="AH897" s="69"/>
      <c r="AI897" s="69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7"/>
      <c r="P898" s="4"/>
      <c r="Q898" s="7"/>
      <c r="R898" s="3"/>
      <c r="S898" s="3"/>
      <c r="T898" s="4"/>
      <c r="U898" s="4"/>
      <c r="V898" s="5"/>
      <c r="W898" s="4"/>
      <c r="X898" s="5"/>
      <c r="Y898" s="4"/>
      <c r="Z898" s="4"/>
      <c r="AA898" s="4"/>
      <c r="AB898" s="4"/>
      <c r="AC898" s="69"/>
      <c r="AD898" s="69"/>
      <c r="AE898" s="91"/>
      <c r="AF898" s="91"/>
      <c r="AG898" s="69"/>
      <c r="AH898" s="69"/>
      <c r="AI898" s="69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7"/>
      <c r="P899" s="4"/>
      <c r="Q899" s="7"/>
      <c r="R899" s="3"/>
      <c r="S899" s="3"/>
      <c r="T899" s="4"/>
      <c r="U899" s="4"/>
      <c r="V899" s="5"/>
      <c r="W899" s="4"/>
      <c r="X899" s="5"/>
      <c r="Y899" s="4"/>
      <c r="Z899" s="4"/>
      <c r="AA899" s="4"/>
      <c r="AB899" s="4"/>
      <c r="AC899" s="69"/>
      <c r="AD899" s="69"/>
      <c r="AE899" s="91"/>
      <c r="AF899" s="91"/>
      <c r="AG899" s="69"/>
      <c r="AH899" s="69"/>
      <c r="AI899" s="69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7"/>
      <c r="P900" s="4"/>
      <c r="Q900" s="7"/>
      <c r="R900" s="3"/>
      <c r="S900" s="3"/>
      <c r="T900" s="4"/>
      <c r="U900" s="4"/>
      <c r="V900" s="5"/>
      <c r="W900" s="4"/>
      <c r="X900" s="5"/>
      <c r="Y900" s="4"/>
      <c r="Z900" s="4"/>
      <c r="AA900" s="4"/>
      <c r="AB900" s="4"/>
      <c r="AC900" s="69"/>
      <c r="AD900" s="69"/>
      <c r="AE900" s="91"/>
      <c r="AF900" s="91"/>
      <c r="AG900" s="69"/>
      <c r="AH900" s="69"/>
      <c r="AI900" s="69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7"/>
      <c r="P901" s="4"/>
      <c r="Q901" s="7"/>
      <c r="R901" s="3"/>
      <c r="S901" s="3"/>
      <c r="T901" s="4"/>
      <c r="U901" s="4"/>
      <c r="V901" s="5"/>
      <c r="W901" s="4"/>
      <c r="X901" s="5"/>
      <c r="Y901" s="4"/>
      <c r="Z901" s="4"/>
      <c r="AA901" s="4"/>
      <c r="AB901" s="4"/>
      <c r="AC901" s="69"/>
      <c r="AD901" s="69"/>
      <c r="AE901" s="91"/>
      <c r="AF901" s="91"/>
      <c r="AG901" s="69"/>
      <c r="AH901" s="69"/>
      <c r="AI901" s="69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7"/>
      <c r="P902" s="4"/>
      <c r="Q902" s="7"/>
      <c r="R902" s="3"/>
      <c r="S902" s="3"/>
      <c r="T902" s="4"/>
      <c r="U902" s="4"/>
      <c r="V902" s="5"/>
      <c r="W902" s="4"/>
      <c r="X902" s="5"/>
      <c r="Y902" s="4"/>
      <c r="Z902" s="4"/>
      <c r="AA902" s="4"/>
      <c r="AB902" s="4"/>
      <c r="AC902" s="69"/>
      <c r="AD902" s="69"/>
      <c r="AE902" s="91"/>
      <c r="AF902" s="91"/>
      <c r="AG902" s="69"/>
      <c r="AH902" s="69"/>
      <c r="AI902" s="69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7"/>
      <c r="P903" s="4"/>
      <c r="Q903" s="7"/>
      <c r="R903" s="3"/>
      <c r="S903" s="3"/>
      <c r="T903" s="4"/>
      <c r="U903" s="4"/>
      <c r="V903" s="5"/>
      <c r="W903" s="4"/>
      <c r="X903" s="5"/>
      <c r="Y903" s="4"/>
      <c r="Z903" s="4"/>
      <c r="AA903" s="4"/>
      <c r="AB903" s="4"/>
      <c r="AC903" s="69"/>
      <c r="AD903" s="69"/>
      <c r="AE903" s="91"/>
      <c r="AF903" s="91"/>
      <c r="AG903" s="69"/>
      <c r="AH903" s="69"/>
      <c r="AI903" s="69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7"/>
      <c r="P904" s="4"/>
      <c r="Q904" s="7"/>
      <c r="R904" s="3"/>
      <c r="S904" s="3"/>
      <c r="T904" s="4"/>
      <c r="U904" s="4"/>
      <c r="V904" s="5"/>
      <c r="W904" s="4"/>
      <c r="X904" s="5"/>
      <c r="Y904" s="4"/>
      <c r="Z904" s="4"/>
      <c r="AA904" s="4"/>
      <c r="AB904" s="4"/>
      <c r="AC904" s="69"/>
      <c r="AD904" s="69"/>
      <c r="AE904" s="91"/>
      <c r="AF904" s="91"/>
      <c r="AG904" s="69"/>
      <c r="AH904" s="69"/>
      <c r="AI904" s="69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7"/>
      <c r="P905" s="4"/>
      <c r="Q905" s="7"/>
      <c r="R905" s="3"/>
      <c r="S905" s="3"/>
      <c r="T905" s="4"/>
      <c r="U905" s="4"/>
      <c r="V905" s="5"/>
      <c r="W905" s="4"/>
      <c r="X905" s="5"/>
      <c r="Y905" s="4"/>
      <c r="Z905" s="4"/>
      <c r="AA905" s="4"/>
      <c r="AB905" s="4"/>
      <c r="AC905" s="69"/>
      <c r="AD905" s="69"/>
      <c r="AE905" s="91"/>
      <c r="AF905" s="91"/>
      <c r="AG905" s="69"/>
      <c r="AH905" s="69"/>
      <c r="AI905" s="69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7"/>
      <c r="P906" s="4"/>
      <c r="Q906" s="7"/>
      <c r="R906" s="3"/>
      <c r="S906" s="3"/>
      <c r="T906" s="4"/>
      <c r="U906" s="4"/>
      <c r="V906" s="5"/>
      <c r="W906" s="4"/>
      <c r="X906" s="5"/>
      <c r="Y906" s="4"/>
      <c r="Z906" s="4"/>
      <c r="AA906" s="4"/>
      <c r="AB906" s="4"/>
      <c r="AC906" s="69"/>
      <c r="AD906" s="69"/>
      <c r="AE906" s="91"/>
      <c r="AF906" s="91"/>
      <c r="AG906" s="69"/>
      <c r="AH906" s="69"/>
      <c r="AI906" s="69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7"/>
      <c r="P907" s="4"/>
      <c r="Q907" s="7"/>
      <c r="R907" s="3"/>
      <c r="S907" s="3"/>
      <c r="T907" s="4"/>
      <c r="U907" s="4"/>
      <c r="V907" s="5"/>
      <c r="W907" s="4"/>
      <c r="X907" s="5"/>
      <c r="Y907" s="4"/>
      <c r="Z907" s="4"/>
      <c r="AA907" s="4"/>
      <c r="AB907" s="4"/>
      <c r="AC907" s="69"/>
      <c r="AD907" s="69"/>
      <c r="AE907" s="91"/>
      <c r="AF907" s="91"/>
      <c r="AG907" s="69"/>
      <c r="AH907" s="69"/>
      <c r="AI907" s="69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7"/>
      <c r="P908" s="4"/>
      <c r="Q908" s="7"/>
      <c r="R908" s="3"/>
      <c r="S908" s="3"/>
      <c r="T908" s="4"/>
      <c r="U908" s="4"/>
      <c r="V908" s="5"/>
      <c r="W908" s="4"/>
      <c r="X908" s="5"/>
      <c r="Y908" s="4"/>
      <c r="Z908" s="4"/>
      <c r="AA908" s="4"/>
      <c r="AB908" s="4"/>
      <c r="AC908" s="69"/>
      <c r="AD908" s="69"/>
      <c r="AE908" s="91"/>
      <c r="AF908" s="91"/>
      <c r="AG908" s="69"/>
      <c r="AH908" s="69"/>
      <c r="AI908" s="69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7"/>
      <c r="P909" s="4"/>
      <c r="Q909" s="7"/>
      <c r="R909" s="3"/>
      <c r="S909" s="3"/>
      <c r="T909" s="4"/>
      <c r="U909" s="4"/>
      <c r="V909" s="5"/>
      <c r="W909" s="4"/>
      <c r="X909" s="5"/>
      <c r="Y909" s="4"/>
      <c r="Z909" s="4"/>
      <c r="AA909" s="4"/>
      <c r="AB909" s="4"/>
      <c r="AC909" s="69"/>
      <c r="AD909" s="69"/>
      <c r="AE909" s="91"/>
      <c r="AF909" s="91"/>
      <c r="AG909" s="69"/>
      <c r="AH909" s="69"/>
      <c r="AI909" s="69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7"/>
      <c r="P910" s="4"/>
      <c r="Q910" s="7"/>
      <c r="R910" s="3"/>
      <c r="S910" s="3"/>
      <c r="T910" s="4"/>
      <c r="U910" s="4"/>
      <c r="V910" s="5"/>
      <c r="W910" s="4"/>
      <c r="X910" s="5"/>
      <c r="Y910" s="4"/>
      <c r="Z910" s="4"/>
      <c r="AA910" s="4"/>
      <c r="AB910" s="4"/>
      <c r="AC910" s="69"/>
      <c r="AD910" s="69"/>
      <c r="AE910" s="91"/>
      <c r="AF910" s="91"/>
      <c r="AG910" s="69"/>
      <c r="AH910" s="69"/>
      <c r="AI910" s="69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7"/>
      <c r="P911" s="4"/>
      <c r="Q911" s="7"/>
      <c r="R911" s="3"/>
      <c r="S911" s="3"/>
      <c r="T911" s="4"/>
      <c r="U911" s="4"/>
      <c r="V911" s="5"/>
      <c r="W911" s="4"/>
      <c r="X911" s="5"/>
      <c r="Y911" s="4"/>
      <c r="Z911" s="4"/>
      <c r="AA911" s="4"/>
      <c r="AB911" s="4"/>
      <c r="AC911" s="69"/>
      <c r="AD911" s="69"/>
      <c r="AE911" s="91"/>
      <c r="AF911" s="91"/>
      <c r="AG911" s="69"/>
      <c r="AH911" s="69"/>
      <c r="AI911" s="69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7"/>
      <c r="P912" s="4"/>
      <c r="Q912" s="7"/>
      <c r="R912" s="3"/>
      <c r="S912" s="3"/>
      <c r="T912" s="4"/>
      <c r="U912" s="4"/>
      <c r="V912" s="5"/>
      <c r="W912" s="4"/>
      <c r="X912" s="5"/>
      <c r="Y912" s="4"/>
      <c r="Z912" s="4"/>
      <c r="AA912" s="4"/>
      <c r="AB912" s="4"/>
      <c r="AC912" s="69"/>
      <c r="AD912" s="69"/>
      <c r="AE912" s="91"/>
      <c r="AF912" s="91"/>
      <c r="AG912" s="69"/>
      <c r="AH912" s="69"/>
      <c r="AI912" s="69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7"/>
      <c r="P913" s="4"/>
      <c r="Q913" s="7"/>
      <c r="R913" s="3"/>
      <c r="S913" s="3"/>
      <c r="T913" s="4"/>
      <c r="U913" s="4"/>
      <c r="V913" s="5"/>
      <c r="W913" s="4"/>
      <c r="X913" s="5"/>
      <c r="Y913" s="4"/>
      <c r="Z913" s="4"/>
      <c r="AA913" s="4"/>
      <c r="AB913" s="4"/>
      <c r="AC913" s="69"/>
      <c r="AD913" s="69"/>
      <c r="AE913" s="91"/>
      <c r="AF913" s="91"/>
      <c r="AG913" s="69"/>
      <c r="AH913" s="69"/>
      <c r="AI913" s="69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7"/>
      <c r="P914" s="4"/>
      <c r="Q914" s="7"/>
      <c r="R914" s="3"/>
      <c r="S914" s="3"/>
      <c r="T914" s="4"/>
      <c r="U914" s="4"/>
      <c r="V914" s="5"/>
      <c r="W914" s="4"/>
      <c r="X914" s="5"/>
      <c r="Y914" s="4"/>
      <c r="Z914" s="4"/>
      <c r="AA914" s="4"/>
      <c r="AB914" s="4"/>
      <c r="AC914" s="69"/>
      <c r="AD914" s="69"/>
      <c r="AE914" s="91"/>
      <c r="AF914" s="91"/>
      <c r="AG914" s="69"/>
      <c r="AH914" s="69"/>
      <c r="AI914" s="69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7"/>
      <c r="P915" s="4"/>
      <c r="Q915" s="7"/>
      <c r="R915" s="3"/>
      <c r="S915" s="3"/>
      <c r="T915" s="4"/>
      <c r="U915" s="4"/>
      <c r="V915" s="5"/>
      <c r="W915" s="4"/>
      <c r="X915" s="5"/>
      <c r="Y915" s="4"/>
      <c r="Z915" s="4"/>
      <c r="AA915" s="4"/>
      <c r="AB915" s="4"/>
      <c r="AC915" s="69"/>
      <c r="AD915" s="69"/>
      <c r="AE915" s="91"/>
      <c r="AF915" s="91"/>
      <c r="AG915" s="69"/>
      <c r="AH915" s="69"/>
      <c r="AI915" s="69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7"/>
      <c r="P916" s="4"/>
      <c r="Q916" s="7"/>
      <c r="R916" s="3"/>
      <c r="S916" s="3"/>
      <c r="T916" s="4"/>
      <c r="U916" s="4"/>
      <c r="V916" s="5"/>
      <c r="W916" s="4"/>
      <c r="X916" s="5"/>
      <c r="Y916" s="4"/>
      <c r="Z916" s="4"/>
      <c r="AA916" s="4"/>
      <c r="AB916" s="4"/>
      <c r="AC916" s="69"/>
      <c r="AD916" s="69"/>
      <c r="AE916" s="91"/>
      <c r="AF916" s="91"/>
      <c r="AG916" s="69"/>
      <c r="AH916" s="69"/>
      <c r="AI916" s="69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7"/>
      <c r="P917" s="4"/>
      <c r="Q917" s="7"/>
      <c r="R917" s="3"/>
      <c r="S917" s="3"/>
      <c r="T917" s="4"/>
      <c r="U917" s="4"/>
      <c r="V917" s="5"/>
      <c r="W917" s="4"/>
      <c r="X917" s="5"/>
      <c r="Y917" s="4"/>
      <c r="Z917" s="4"/>
      <c r="AA917" s="4"/>
      <c r="AB917" s="4"/>
      <c r="AC917" s="69"/>
      <c r="AD917" s="69"/>
      <c r="AE917" s="91"/>
      <c r="AF917" s="91"/>
      <c r="AG917" s="69"/>
      <c r="AH917" s="69"/>
      <c r="AI917" s="69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7"/>
      <c r="P918" s="4"/>
      <c r="Q918" s="7"/>
      <c r="R918" s="3"/>
      <c r="S918" s="3"/>
      <c r="T918" s="4"/>
      <c r="U918" s="4"/>
      <c r="V918" s="5"/>
      <c r="W918" s="4"/>
      <c r="X918" s="5"/>
      <c r="Y918" s="4"/>
      <c r="Z918" s="4"/>
      <c r="AA918" s="4"/>
      <c r="AB918" s="4"/>
      <c r="AC918" s="69"/>
      <c r="AD918" s="69"/>
      <c r="AE918" s="91"/>
      <c r="AF918" s="91"/>
      <c r="AG918" s="69"/>
      <c r="AH918" s="69"/>
      <c r="AI918" s="69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7"/>
      <c r="P919" s="4"/>
      <c r="Q919" s="7"/>
      <c r="R919" s="3"/>
      <c r="S919" s="3"/>
      <c r="T919" s="4"/>
      <c r="U919" s="4"/>
      <c r="V919" s="5"/>
      <c r="W919" s="4"/>
      <c r="X919" s="5"/>
      <c r="Y919" s="4"/>
      <c r="Z919" s="4"/>
      <c r="AA919" s="4"/>
      <c r="AB919" s="4"/>
      <c r="AC919" s="69"/>
      <c r="AD919" s="69"/>
      <c r="AE919" s="91"/>
      <c r="AF919" s="91"/>
      <c r="AG919" s="69"/>
      <c r="AH919" s="69"/>
      <c r="AI919" s="69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7"/>
      <c r="P920" s="4"/>
      <c r="Q920" s="7"/>
      <c r="R920" s="3"/>
      <c r="S920" s="3"/>
      <c r="T920" s="4"/>
      <c r="U920" s="4"/>
      <c r="V920" s="5"/>
      <c r="W920" s="4"/>
      <c r="X920" s="5"/>
      <c r="Y920" s="4"/>
      <c r="Z920" s="4"/>
      <c r="AA920" s="4"/>
      <c r="AB920" s="4"/>
      <c r="AC920" s="69"/>
      <c r="AD920" s="69"/>
      <c r="AE920" s="91"/>
      <c r="AF920" s="91"/>
      <c r="AG920" s="69"/>
      <c r="AH920" s="69"/>
      <c r="AI920" s="69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7"/>
      <c r="P921" s="4"/>
      <c r="Q921" s="7"/>
      <c r="R921" s="3"/>
      <c r="S921" s="3"/>
      <c r="T921" s="4"/>
      <c r="U921" s="4"/>
      <c r="V921" s="5"/>
      <c r="W921" s="4"/>
      <c r="X921" s="5"/>
      <c r="Y921" s="4"/>
      <c r="Z921" s="4"/>
      <c r="AA921" s="4"/>
      <c r="AB921" s="4"/>
      <c r="AC921" s="69"/>
      <c r="AD921" s="69"/>
      <c r="AE921" s="91"/>
      <c r="AF921" s="91"/>
      <c r="AG921" s="69"/>
      <c r="AH921" s="69"/>
      <c r="AI921" s="69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7"/>
      <c r="P922" s="4"/>
      <c r="Q922" s="7"/>
      <c r="R922" s="3"/>
      <c r="S922" s="3"/>
      <c r="T922" s="4"/>
      <c r="U922" s="4"/>
      <c r="V922" s="5"/>
      <c r="W922" s="4"/>
      <c r="X922" s="5"/>
      <c r="Y922" s="4"/>
      <c r="Z922" s="4"/>
      <c r="AA922" s="4"/>
      <c r="AB922" s="4"/>
      <c r="AC922" s="69"/>
      <c r="AD922" s="69"/>
      <c r="AE922" s="91"/>
      <c r="AF922" s="91"/>
      <c r="AG922" s="69"/>
      <c r="AH922" s="69"/>
      <c r="AI922" s="69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7"/>
      <c r="P923" s="4"/>
      <c r="Q923" s="7"/>
      <c r="R923" s="3"/>
      <c r="S923" s="3"/>
      <c r="T923" s="4"/>
      <c r="U923" s="4"/>
      <c r="V923" s="5"/>
      <c r="W923" s="4"/>
      <c r="X923" s="5"/>
      <c r="Y923" s="4"/>
      <c r="Z923" s="4"/>
      <c r="AA923" s="4"/>
      <c r="AB923" s="4"/>
      <c r="AC923" s="69"/>
      <c r="AD923" s="69"/>
      <c r="AE923" s="91"/>
      <c r="AF923" s="91"/>
      <c r="AG923" s="69"/>
      <c r="AH923" s="69"/>
      <c r="AI923" s="69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7"/>
      <c r="P924" s="4"/>
      <c r="Q924" s="7"/>
      <c r="R924" s="3"/>
      <c r="S924" s="3"/>
      <c r="T924" s="4"/>
      <c r="U924" s="4"/>
      <c r="V924" s="5"/>
      <c r="W924" s="4"/>
      <c r="X924" s="5"/>
      <c r="Y924" s="4"/>
      <c r="Z924" s="4"/>
      <c r="AA924" s="4"/>
      <c r="AB924" s="4"/>
      <c r="AC924" s="69"/>
      <c r="AD924" s="69"/>
      <c r="AE924" s="91"/>
      <c r="AF924" s="91"/>
      <c r="AG924" s="69"/>
      <c r="AH924" s="69"/>
      <c r="AI924" s="69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7"/>
      <c r="P925" s="4"/>
      <c r="Q925" s="7"/>
      <c r="R925" s="3"/>
      <c r="S925" s="3"/>
      <c r="T925" s="4"/>
      <c r="U925" s="4"/>
      <c r="V925" s="5"/>
      <c r="W925" s="4"/>
      <c r="X925" s="5"/>
      <c r="Y925" s="4"/>
      <c r="Z925" s="4"/>
      <c r="AA925" s="4"/>
      <c r="AB925" s="4"/>
      <c r="AC925" s="69"/>
      <c r="AD925" s="69"/>
      <c r="AE925" s="91"/>
      <c r="AF925" s="91"/>
      <c r="AG925" s="69"/>
      <c r="AH925" s="69"/>
      <c r="AI925" s="69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7"/>
      <c r="P926" s="4"/>
      <c r="Q926" s="7"/>
      <c r="R926" s="3"/>
      <c r="S926" s="3"/>
      <c r="T926" s="4"/>
      <c r="U926" s="4"/>
      <c r="V926" s="5"/>
      <c r="W926" s="4"/>
      <c r="X926" s="5"/>
      <c r="Y926" s="4"/>
      <c r="Z926" s="4"/>
      <c r="AA926" s="4"/>
      <c r="AB926" s="4"/>
      <c r="AC926" s="69"/>
      <c r="AD926" s="69"/>
      <c r="AE926" s="91"/>
      <c r="AF926" s="91"/>
      <c r="AG926" s="69"/>
      <c r="AH926" s="69"/>
      <c r="AI926" s="69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7"/>
      <c r="P927" s="4"/>
      <c r="Q927" s="7"/>
      <c r="R927" s="3"/>
      <c r="S927" s="3"/>
      <c r="T927" s="4"/>
      <c r="U927" s="4"/>
      <c r="V927" s="5"/>
      <c r="W927" s="4"/>
      <c r="X927" s="5"/>
      <c r="Y927" s="4"/>
      <c r="Z927" s="4"/>
      <c r="AA927" s="4"/>
      <c r="AB927" s="4"/>
      <c r="AC927" s="69"/>
      <c r="AD927" s="69"/>
      <c r="AE927" s="91"/>
      <c r="AF927" s="91"/>
      <c r="AG927" s="69"/>
      <c r="AH927" s="69"/>
      <c r="AI927" s="69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7"/>
      <c r="P928" s="4"/>
      <c r="Q928" s="7"/>
      <c r="R928" s="3"/>
      <c r="S928" s="3"/>
      <c r="T928" s="4"/>
      <c r="U928" s="4"/>
      <c r="V928" s="5"/>
      <c r="W928" s="4"/>
      <c r="X928" s="5"/>
      <c r="Y928" s="4"/>
      <c r="Z928" s="4"/>
      <c r="AA928" s="4"/>
      <c r="AB928" s="4"/>
      <c r="AC928" s="69"/>
      <c r="AD928" s="69"/>
      <c r="AE928" s="91"/>
      <c r="AF928" s="91"/>
      <c r="AG928" s="69"/>
      <c r="AH928" s="69"/>
      <c r="AI928" s="69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7"/>
      <c r="P929" s="4"/>
      <c r="Q929" s="7"/>
      <c r="R929" s="3"/>
      <c r="S929" s="3"/>
      <c r="T929" s="4"/>
      <c r="U929" s="4"/>
      <c r="V929" s="5"/>
      <c r="W929" s="4"/>
      <c r="X929" s="5"/>
      <c r="Y929" s="4"/>
      <c r="Z929" s="4"/>
      <c r="AA929" s="4"/>
      <c r="AB929" s="4"/>
      <c r="AC929" s="69"/>
      <c r="AD929" s="69"/>
      <c r="AE929" s="91"/>
      <c r="AF929" s="91"/>
      <c r="AG929" s="69"/>
      <c r="AH929" s="69"/>
      <c r="AI929" s="69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7"/>
      <c r="P930" s="4"/>
      <c r="Q930" s="7"/>
      <c r="R930" s="3"/>
      <c r="S930" s="3"/>
      <c r="T930" s="4"/>
      <c r="U930" s="4"/>
      <c r="V930" s="5"/>
      <c r="W930" s="4"/>
      <c r="X930" s="5"/>
      <c r="Y930" s="4"/>
      <c r="Z930" s="4"/>
      <c r="AA930" s="4"/>
      <c r="AB930" s="4"/>
      <c r="AC930" s="69"/>
      <c r="AD930" s="69"/>
      <c r="AE930" s="91"/>
      <c r="AF930" s="91"/>
      <c r="AG930" s="69"/>
      <c r="AH930" s="69"/>
      <c r="AI930" s="69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7"/>
      <c r="P931" s="4"/>
      <c r="Q931" s="7"/>
      <c r="R931" s="3"/>
      <c r="S931" s="3"/>
      <c r="T931" s="4"/>
      <c r="U931" s="4"/>
      <c r="V931" s="5"/>
      <c r="W931" s="4"/>
      <c r="X931" s="5"/>
      <c r="Y931" s="4"/>
      <c r="Z931" s="4"/>
      <c r="AA931" s="4"/>
      <c r="AB931" s="4"/>
      <c r="AC931" s="69"/>
      <c r="AD931" s="69"/>
      <c r="AE931" s="91"/>
      <c r="AF931" s="91"/>
      <c r="AG931" s="69"/>
      <c r="AH931" s="69"/>
      <c r="AI931" s="69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7"/>
      <c r="P932" s="4"/>
      <c r="Q932" s="7"/>
      <c r="R932" s="3"/>
      <c r="S932" s="3"/>
      <c r="T932" s="4"/>
      <c r="U932" s="4"/>
      <c r="V932" s="5"/>
      <c r="W932" s="4"/>
      <c r="X932" s="5"/>
      <c r="Y932" s="4"/>
      <c r="Z932" s="4"/>
      <c r="AA932" s="4"/>
      <c r="AB932" s="4"/>
      <c r="AC932" s="69"/>
      <c r="AD932" s="69"/>
      <c r="AE932" s="91"/>
      <c r="AF932" s="91"/>
      <c r="AG932" s="69"/>
      <c r="AH932" s="69"/>
      <c r="AI932" s="69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7"/>
      <c r="P933" s="4"/>
      <c r="Q933" s="7"/>
      <c r="R933" s="3"/>
      <c r="S933" s="3"/>
      <c r="T933" s="4"/>
      <c r="U933" s="4"/>
      <c r="V933" s="5"/>
      <c r="W933" s="4"/>
      <c r="X933" s="5"/>
      <c r="Y933" s="4"/>
      <c r="Z933" s="4"/>
      <c r="AA933" s="4"/>
      <c r="AB933" s="4"/>
      <c r="AC933" s="69"/>
      <c r="AD933" s="69"/>
      <c r="AE933" s="91"/>
      <c r="AF933" s="91"/>
      <c r="AG933" s="69"/>
      <c r="AH933" s="69"/>
      <c r="AI933" s="69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7"/>
      <c r="P934" s="4"/>
      <c r="Q934" s="7"/>
      <c r="R934" s="3"/>
      <c r="S934" s="3"/>
      <c r="T934" s="4"/>
      <c r="U934" s="4"/>
      <c r="V934" s="5"/>
      <c r="W934" s="4"/>
      <c r="X934" s="5"/>
      <c r="Y934" s="4"/>
      <c r="Z934" s="4"/>
      <c r="AA934" s="4"/>
      <c r="AB934" s="4"/>
      <c r="AC934" s="69"/>
      <c r="AD934" s="69"/>
      <c r="AE934" s="91"/>
      <c r="AF934" s="91"/>
      <c r="AG934" s="69"/>
      <c r="AH934" s="69"/>
      <c r="AI934" s="69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7"/>
      <c r="P935" s="4"/>
      <c r="Q935" s="7"/>
      <c r="R935" s="3"/>
      <c r="S935" s="3"/>
      <c r="T935" s="4"/>
      <c r="U935" s="4"/>
      <c r="V935" s="5"/>
      <c r="W935" s="4"/>
      <c r="X935" s="5"/>
      <c r="Y935" s="4"/>
      <c r="Z935" s="4"/>
      <c r="AA935" s="4"/>
      <c r="AB935" s="4"/>
      <c r="AC935" s="69"/>
      <c r="AD935" s="69"/>
      <c r="AE935" s="91"/>
      <c r="AF935" s="91"/>
      <c r="AG935" s="69"/>
      <c r="AH935" s="69"/>
      <c r="AI935" s="69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7"/>
      <c r="P936" s="4"/>
      <c r="Q936" s="7"/>
      <c r="R936" s="3"/>
      <c r="S936" s="3"/>
      <c r="T936" s="4"/>
      <c r="U936" s="4"/>
      <c r="V936" s="5"/>
      <c r="W936" s="4"/>
      <c r="X936" s="5"/>
      <c r="Y936" s="4"/>
      <c r="Z936" s="4"/>
      <c r="AA936" s="4"/>
      <c r="AB936" s="4"/>
      <c r="AC936" s="69"/>
      <c r="AD936" s="69"/>
      <c r="AE936" s="91"/>
      <c r="AF936" s="91"/>
      <c r="AG936" s="69"/>
      <c r="AH936" s="69"/>
      <c r="AI936" s="69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7"/>
      <c r="P937" s="4"/>
      <c r="Q937" s="7"/>
      <c r="R937" s="3"/>
      <c r="S937" s="3"/>
      <c r="T937" s="4"/>
      <c r="U937" s="4"/>
      <c r="V937" s="5"/>
      <c r="W937" s="4"/>
      <c r="X937" s="5"/>
      <c r="Y937" s="4"/>
      <c r="Z937" s="4"/>
      <c r="AA937" s="4"/>
      <c r="AB937" s="4"/>
      <c r="AC937" s="69"/>
      <c r="AD937" s="69"/>
      <c r="AE937" s="91"/>
      <c r="AF937" s="91"/>
      <c r="AG937" s="69"/>
      <c r="AH937" s="69"/>
      <c r="AI937" s="69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7"/>
      <c r="P938" s="4"/>
      <c r="Q938" s="7"/>
      <c r="R938" s="3"/>
      <c r="S938" s="3"/>
      <c r="T938" s="4"/>
      <c r="U938" s="4"/>
      <c r="V938" s="5"/>
      <c r="W938" s="4"/>
      <c r="X938" s="5"/>
      <c r="Y938" s="4"/>
      <c r="Z938" s="4"/>
      <c r="AA938" s="4"/>
      <c r="AB938" s="4"/>
      <c r="AC938" s="69"/>
      <c r="AD938" s="69"/>
      <c r="AE938" s="91"/>
      <c r="AF938" s="91"/>
      <c r="AG938" s="69"/>
      <c r="AH938" s="69"/>
      <c r="AI938" s="69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7"/>
      <c r="P939" s="4"/>
      <c r="Q939" s="7"/>
      <c r="R939" s="3"/>
      <c r="S939" s="3"/>
      <c r="T939" s="4"/>
      <c r="U939" s="4"/>
      <c r="V939" s="5"/>
      <c r="W939" s="4"/>
      <c r="X939" s="5"/>
      <c r="Y939" s="4"/>
      <c r="Z939" s="4"/>
      <c r="AA939" s="4"/>
      <c r="AB939" s="4"/>
      <c r="AC939" s="69"/>
      <c r="AD939" s="69"/>
      <c r="AE939" s="91"/>
      <c r="AF939" s="91"/>
      <c r="AG939" s="69"/>
      <c r="AH939" s="69"/>
      <c r="AI939" s="69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7"/>
      <c r="P940" s="4"/>
      <c r="Q940" s="7"/>
      <c r="R940" s="3"/>
      <c r="S940" s="3"/>
      <c r="T940" s="4"/>
      <c r="U940" s="4"/>
      <c r="V940" s="5"/>
      <c r="W940" s="4"/>
      <c r="X940" s="5"/>
      <c r="Y940" s="4"/>
      <c r="Z940" s="4"/>
      <c r="AA940" s="4"/>
      <c r="AB940" s="4"/>
      <c r="AC940" s="69"/>
      <c r="AD940" s="69"/>
      <c r="AE940" s="91"/>
      <c r="AF940" s="91"/>
      <c r="AG940" s="69"/>
      <c r="AH940" s="69"/>
      <c r="AI940" s="69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7"/>
      <c r="P941" s="4"/>
      <c r="Q941" s="7"/>
      <c r="R941" s="3"/>
      <c r="S941" s="3"/>
      <c r="T941" s="4"/>
      <c r="U941" s="4"/>
      <c r="V941" s="5"/>
      <c r="W941" s="4"/>
      <c r="X941" s="5"/>
      <c r="Y941" s="4"/>
      <c r="Z941" s="4"/>
      <c r="AA941" s="4"/>
      <c r="AB941" s="4"/>
      <c r="AC941" s="69"/>
      <c r="AD941" s="69"/>
      <c r="AE941" s="91"/>
      <c r="AF941" s="91"/>
      <c r="AG941" s="69"/>
      <c r="AH941" s="69"/>
      <c r="AI941" s="69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7"/>
      <c r="P942" s="4"/>
      <c r="Q942" s="7"/>
      <c r="R942" s="3"/>
      <c r="S942" s="3"/>
      <c r="T942" s="4"/>
      <c r="U942" s="4"/>
      <c r="V942" s="5"/>
      <c r="W942" s="4"/>
      <c r="X942" s="5"/>
      <c r="Y942" s="4"/>
      <c r="Z942" s="4"/>
      <c r="AA942" s="4"/>
      <c r="AB942" s="4"/>
      <c r="AC942" s="69"/>
      <c r="AD942" s="69"/>
      <c r="AE942" s="91"/>
      <c r="AF942" s="91"/>
      <c r="AG942" s="69"/>
      <c r="AH942" s="69"/>
      <c r="AI942" s="69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7"/>
      <c r="P943" s="4"/>
      <c r="Q943" s="7"/>
      <c r="R943" s="3"/>
      <c r="S943" s="3"/>
      <c r="T943" s="4"/>
      <c r="U943" s="4"/>
      <c r="V943" s="5"/>
      <c r="W943" s="4"/>
      <c r="X943" s="5"/>
      <c r="Y943" s="4"/>
      <c r="Z943" s="4"/>
      <c r="AA943" s="4"/>
      <c r="AB943" s="4"/>
      <c r="AC943" s="69"/>
      <c r="AD943" s="69"/>
      <c r="AE943" s="91"/>
      <c r="AF943" s="91"/>
      <c r="AG943" s="69"/>
      <c r="AH943" s="69"/>
      <c r="AI943" s="69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7"/>
      <c r="P944" s="4"/>
      <c r="Q944" s="7"/>
      <c r="R944" s="3"/>
      <c r="S944" s="3"/>
      <c r="T944" s="4"/>
      <c r="U944" s="4"/>
      <c r="V944" s="5"/>
      <c r="W944" s="4"/>
      <c r="X944" s="5"/>
      <c r="Y944" s="4"/>
      <c r="Z944" s="4"/>
      <c r="AA944" s="4"/>
      <c r="AB944" s="4"/>
      <c r="AC944" s="69"/>
      <c r="AD944" s="69"/>
      <c r="AE944" s="91"/>
      <c r="AF944" s="91"/>
      <c r="AG944" s="69"/>
      <c r="AH944" s="69"/>
      <c r="AI944" s="69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7"/>
      <c r="P945" s="4"/>
      <c r="Q945" s="7"/>
      <c r="R945" s="3"/>
      <c r="S945" s="3"/>
      <c r="T945" s="4"/>
      <c r="U945" s="4"/>
      <c r="V945" s="5"/>
      <c r="W945" s="4"/>
      <c r="X945" s="5"/>
      <c r="Y945" s="4"/>
      <c r="Z945" s="4"/>
      <c r="AA945" s="4"/>
      <c r="AB945" s="4"/>
      <c r="AC945" s="69"/>
      <c r="AD945" s="69"/>
      <c r="AE945" s="91"/>
      <c r="AF945" s="91"/>
      <c r="AG945" s="69"/>
      <c r="AH945" s="69"/>
      <c r="AI945" s="69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7"/>
      <c r="P946" s="4"/>
      <c r="Q946" s="7"/>
      <c r="R946" s="3"/>
      <c r="S946" s="3"/>
      <c r="T946" s="4"/>
      <c r="U946" s="4"/>
      <c r="V946" s="5"/>
      <c r="W946" s="4"/>
      <c r="X946" s="5"/>
      <c r="Y946" s="4"/>
      <c r="Z946" s="4"/>
      <c r="AA946" s="4"/>
      <c r="AB946" s="4"/>
      <c r="AC946" s="69"/>
      <c r="AD946" s="69"/>
      <c r="AE946" s="91"/>
      <c r="AF946" s="91"/>
      <c r="AG946" s="69"/>
      <c r="AH946" s="69"/>
      <c r="AI946" s="69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7"/>
      <c r="P947" s="4"/>
      <c r="Q947" s="7"/>
      <c r="R947" s="3"/>
      <c r="S947" s="3"/>
      <c r="T947" s="4"/>
      <c r="U947" s="4"/>
      <c r="V947" s="5"/>
      <c r="W947" s="4"/>
      <c r="X947" s="5"/>
      <c r="Y947" s="4"/>
      <c r="Z947" s="4"/>
      <c r="AA947" s="4"/>
      <c r="AB947" s="4"/>
      <c r="AC947" s="69"/>
      <c r="AD947" s="69"/>
      <c r="AE947" s="91"/>
      <c r="AF947" s="91"/>
      <c r="AG947" s="69"/>
      <c r="AH947" s="69"/>
      <c r="AI947" s="69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7"/>
      <c r="P948" s="4"/>
      <c r="Q948" s="7"/>
      <c r="R948" s="3"/>
      <c r="S948" s="3"/>
      <c r="T948" s="4"/>
      <c r="U948" s="4"/>
      <c r="V948" s="5"/>
      <c r="W948" s="4"/>
      <c r="X948" s="5"/>
      <c r="Y948" s="4"/>
      <c r="Z948" s="4"/>
      <c r="AA948" s="4"/>
      <c r="AB948" s="4"/>
      <c r="AC948" s="69"/>
      <c r="AD948" s="69"/>
      <c r="AE948" s="91"/>
      <c r="AF948" s="91"/>
      <c r="AG948" s="69"/>
      <c r="AH948" s="69"/>
      <c r="AI948" s="69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7"/>
      <c r="P949" s="4"/>
      <c r="Q949" s="7"/>
      <c r="R949" s="3"/>
      <c r="S949" s="3"/>
      <c r="T949" s="4"/>
      <c r="U949" s="4"/>
      <c r="V949" s="5"/>
      <c r="W949" s="4"/>
      <c r="X949" s="5"/>
      <c r="Y949" s="4"/>
      <c r="Z949" s="4"/>
      <c r="AA949" s="4"/>
      <c r="AB949" s="4"/>
      <c r="AC949" s="69"/>
      <c r="AD949" s="69"/>
      <c r="AE949" s="91"/>
      <c r="AF949" s="91"/>
      <c r="AG949" s="69"/>
      <c r="AH949" s="69"/>
      <c r="AI949" s="69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7"/>
      <c r="P950" s="4"/>
      <c r="Q950" s="7"/>
      <c r="R950" s="3"/>
      <c r="S950" s="3"/>
      <c r="T950" s="4"/>
      <c r="U950" s="4"/>
      <c r="V950" s="5"/>
      <c r="W950" s="4"/>
      <c r="X950" s="5"/>
      <c r="Y950" s="4"/>
      <c r="Z950" s="4"/>
      <c r="AA950" s="4"/>
      <c r="AB950" s="4"/>
      <c r="AC950" s="69"/>
      <c r="AD950" s="69"/>
      <c r="AE950" s="91"/>
      <c r="AF950" s="91"/>
      <c r="AG950" s="69"/>
      <c r="AH950" s="69"/>
      <c r="AI950" s="69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7"/>
      <c r="P951" s="4"/>
      <c r="Q951" s="7"/>
      <c r="R951" s="3"/>
      <c r="S951" s="3"/>
      <c r="T951" s="4"/>
      <c r="U951" s="4"/>
      <c r="V951" s="5"/>
      <c r="W951" s="4"/>
      <c r="X951" s="5"/>
      <c r="Y951" s="4"/>
      <c r="Z951" s="4"/>
      <c r="AA951" s="4"/>
      <c r="AB951" s="4"/>
      <c r="AC951" s="69"/>
      <c r="AD951" s="69"/>
      <c r="AE951" s="91"/>
      <c r="AF951" s="91"/>
      <c r="AG951" s="69"/>
      <c r="AH951" s="69"/>
      <c r="AI951" s="69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7"/>
      <c r="P952" s="4"/>
      <c r="Q952" s="7"/>
      <c r="R952" s="3"/>
      <c r="S952" s="3"/>
      <c r="T952" s="4"/>
      <c r="U952" s="4"/>
      <c r="V952" s="5"/>
      <c r="W952" s="4"/>
      <c r="X952" s="5"/>
      <c r="Y952" s="4"/>
      <c r="Z952" s="4"/>
      <c r="AA952" s="4"/>
      <c r="AB952" s="4"/>
      <c r="AC952" s="69"/>
      <c r="AD952" s="69"/>
      <c r="AE952" s="91"/>
      <c r="AF952" s="91"/>
      <c r="AG952" s="69"/>
      <c r="AH952" s="69"/>
      <c r="AI952" s="69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7"/>
      <c r="P953" s="4"/>
      <c r="Q953" s="7"/>
      <c r="R953" s="3"/>
      <c r="S953" s="3"/>
      <c r="T953" s="4"/>
      <c r="U953" s="4"/>
      <c r="V953" s="5"/>
      <c r="W953" s="4"/>
      <c r="X953" s="5"/>
      <c r="Y953" s="4"/>
      <c r="Z953" s="4"/>
      <c r="AA953" s="4"/>
      <c r="AB953" s="4"/>
      <c r="AC953" s="69"/>
      <c r="AD953" s="69"/>
      <c r="AE953" s="91"/>
      <c r="AF953" s="91"/>
      <c r="AG953" s="69"/>
      <c r="AH953" s="69"/>
      <c r="AI953" s="69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7"/>
      <c r="P954" s="4"/>
      <c r="Q954" s="7"/>
      <c r="R954" s="3"/>
      <c r="S954" s="3"/>
      <c r="T954" s="4"/>
      <c r="U954" s="4"/>
      <c r="V954" s="5"/>
      <c r="W954" s="4"/>
      <c r="X954" s="5"/>
      <c r="Y954" s="4"/>
      <c r="Z954" s="4"/>
      <c r="AA954" s="4"/>
      <c r="AB954" s="4"/>
      <c r="AC954" s="69"/>
      <c r="AD954" s="69"/>
      <c r="AE954" s="91"/>
      <c r="AF954" s="91"/>
      <c r="AG954" s="69"/>
      <c r="AH954" s="69"/>
      <c r="AI954" s="69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7"/>
      <c r="P955" s="4"/>
      <c r="Q955" s="7"/>
      <c r="R955" s="3"/>
      <c r="S955" s="3"/>
      <c r="T955" s="4"/>
      <c r="U955" s="4"/>
      <c r="V955" s="5"/>
      <c r="W955" s="4"/>
      <c r="X955" s="5"/>
      <c r="Y955" s="4"/>
      <c r="Z955" s="4"/>
      <c r="AA955" s="4"/>
      <c r="AB955" s="4"/>
      <c r="AC955" s="69"/>
      <c r="AD955" s="69"/>
      <c r="AE955" s="91"/>
      <c r="AF955" s="91"/>
      <c r="AG955" s="69"/>
      <c r="AH955" s="69"/>
      <c r="AI955" s="69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7"/>
      <c r="P956" s="4"/>
      <c r="Q956" s="7"/>
      <c r="R956" s="3"/>
      <c r="S956" s="3"/>
      <c r="T956" s="4"/>
      <c r="U956" s="4"/>
      <c r="V956" s="5"/>
      <c r="W956" s="4"/>
      <c r="X956" s="5"/>
      <c r="Y956" s="4"/>
      <c r="Z956" s="4"/>
      <c r="AA956" s="4"/>
      <c r="AB956" s="4"/>
      <c r="AC956" s="69"/>
      <c r="AD956" s="69"/>
      <c r="AE956" s="91"/>
      <c r="AF956" s="91"/>
      <c r="AG956" s="69"/>
      <c r="AH956" s="69"/>
      <c r="AI956" s="69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7"/>
      <c r="P957" s="4"/>
      <c r="Q957" s="7"/>
      <c r="R957" s="3"/>
      <c r="S957" s="3"/>
      <c r="T957" s="4"/>
      <c r="U957" s="4"/>
      <c r="V957" s="5"/>
      <c r="W957" s="4"/>
      <c r="X957" s="5"/>
      <c r="Y957" s="4"/>
      <c r="Z957" s="4"/>
      <c r="AA957" s="4"/>
      <c r="AB957" s="4"/>
      <c r="AC957" s="69"/>
      <c r="AD957" s="69"/>
      <c r="AE957" s="91"/>
      <c r="AF957" s="91"/>
      <c r="AG957" s="69"/>
      <c r="AH957" s="69"/>
      <c r="AI957" s="69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7"/>
      <c r="P958" s="4"/>
      <c r="Q958" s="7"/>
      <c r="R958" s="3"/>
      <c r="S958" s="3"/>
      <c r="T958" s="4"/>
      <c r="U958" s="4"/>
      <c r="V958" s="5"/>
      <c r="W958" s="4"/>
      <c r="X958" s="5"/>
      <c r="Y958" s="4"/>
      <c r="Z958" s="4"/>
      <c r="AA958" s="4"/>
      <c r="AB958" s="4"/>
      <c r="AC958" s="69"/>
      <c r="AD958" s="69"/>
      <c r="AE958" s="91"/>
      <c r="AF958" s="91"/>
      <c r="AG958" s="69"/>
      <c r="AH958" s="69"/>
      <c r="AI958" s="69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7"/>
      <c r="P959" s="4"/>
      <c r="Q959" s="7"/>
      <c r="R959" s="3"/>
      <c r="S959" s="3"/>
      <c r="T959" s="4"/>
      <c r="U959" s="4"/>
      <c r="V959" s="5"/>
      <c r="W959" s="4"/>
      <c r="X959" s="5"/>
      <c r="Y959" s="4"/>
      <c r="Z959" s="4"/>
      <c r="AA959" s="4"/>
      <c r="AB959" s="4"/>
      <c r="AC959" s="69"/>
      <c r="AD959" s="69"/>
      <c r="AE959" s="91"/>
      <c r="AF959" s="91"/>
      <c r="AG959" s="69"/>
      <c r="AH959" s="69"/>
      <c r="AI959" s="69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7"/>
      <c r="P960" s="4"/>
      <c r="Q960" s="7"/>
      <c r="R960" s="3"/>
      <c r="S960" s="3"/>
      <c r="T960" s="4"/>
      <c r="U960" s="4"/>
      <c r="V960" s="5"/>
      <c r="W960" s="4"/>
      <c r="X960" s="5"/>
      <c r="Y960" s="4"/>
      <c r="Z960" s="4"/>
      <c r="AA960" s="4"/>
      <c r="AB960" s="4"/>
      <c r="AC960" s="69"/>
      <c r="AD960" s="69"/>
      <c r="AE960" s="91"/>
      <c r="AF960" s="91"/>
      <c r="AG960" s="69"/>
      <c r="AH960" s="69"/>
      <c r="AI960" s="69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7"/>
      <c r="P961" s="4"/>
      <c r="Q961" s="7"/>
      <c r="R961" s="3"/>
      <c r="S961" s="3"/>
      <c r="T961" s="4"/>
      <c r="U961" s="4"/>
      <c r="V961" s="5"/>
      <c r="W961" s="4"/>
      <c r="X961" s="5"/>
      <c r="Y961" s="4"/>
      <c r="Z961" s="4"/>
      <c r="AA961" s="4"/>
      <c r="AB961" s="4"/>
      <c r="AC961" s="69"/>
      <c r="AD961" s="69"/>
      <c r="AE961" s="91"/>
      <c r="AF961" s="91"/>
      <c r="AG961" s="69"/>
      <c r="AH961" s="69"/>
      <c r="AI961" s="69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7"/>
      <c r="P962" s="4"/>
      <c r="Q962" s="7"/>
      <c r="R962" s="3"/>
      <c r="S962" s="3"/>
      <c r="T962" s="4"/>
      <c r="U962" s="4"/>
      <c r="V962" s="5"/>
      <c r="W962" s="4"/>
      <c r="X962" s="5"/>
      <c r="Y962" s="4"/>
      <c r="Z962" s="4"/>
      <c r="AA962" s="4"/>
      <c r="AB962" s="4"/>
      <c r="AC962" s="69"/>
      <c r="AD962" s="69"/>
      <c r="AE962" s="91"/>
      <c r="AF962" s="91"/>
      <c r="AG962" s="69"/>
      <c r="AH962" s="69"/>
      <c r="AI962" s="69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7"/>
      <c r="P963" s="4"/>
      <c r="Q963" s="7"/>
      <c r="R963" s="3"/>
      <c r="S963" s="3"/>
      <c r="T963" s="4"/>
      <c r="U963" s="4"/>
      <c r="V963" s="5"/>
      <c r="W963" s="4"/>
      <c r="X963" s="5"/>
      <c r="Y963" s="4"/>
      <c r="Z963" s="4"/>
      <c r="AA963" s="4"/>
      <c r="AB963" s="4"/>
      <c r="AC963" s="69"/>
      <c r="AD963" s="69"/>
      <c r="AE963" s="91"/>
      <c r="AF963" s="91"/>
      <c r="AG963" s="69"/>
      <c r="AH963" s="69"/>
      <c r="AI963" s="69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7"/>
      <c r="P964" s="4"/>
      <c r="Q964" s="7"/>
      <c r="R964" s="3"/>
      <c r="S964" s="3"/>
      <c r="T964" s="4"/>
      <c r="U964" s="4"/>
      <c r="V964" s="5"/>
      <c r="W964" s="4"/>
      <c r="X964" s="5"/>
      <c r="Y964" s="4"/>
      <c r="Z964" s="4"/>
      <c r="AA964" s="4"/>
      <c r="AB964" s="4"/>
      <c r="AC964" s="69"/>
      <c r="AD964" s="69"/>
      <c r="AE964" s="91"/>
      <c r="AF964" s="91"/>
      <c r="AG964" s="69"/>
      <c r="AH964" s="69"/>
      <c r="AI964" s="69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7"/>
      <c r="P965" s="4"/>
      <c r="Q965" s="7"/>
      <c r="R965" s="3"/>
      <c r="S965" s="3"/>
      <c r="T965" s="4"/>
      <c r="U965" s="4"/>
      <c r="V965" s="5"/>
      <c r="W965" s="4"/>
      <c r="X965" s="5"/>
      <c r="Y965" s="4"/>
      <c r="Z965" s="4"/>
      <c r="AA965" s="4"/>
      <c r="AB965" s="4"/>
      <c r="AC965" s="69"/>
      <c r="AD965" s="69"/>
      <c r="AE965" s="91"/>
      <c r="AF965" s="91"/>
      <c r="AG965" s="69"/>
      <c r="AH965" s="69"/>
      <c r="AI965" s="69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7"/>
      <c r="P966" s="4"/>
      <c r="Q966" s="7"/>
      <c r="R966" s="3"/>
      <c r="S966" s="3"/>
      <c r="T966" s="4"/>
      <c r="U966" s="4"/>
      <c r="V966" s="5"/>
      <c r="W966" s="4"/>
      <c r="X966" s="5"/>
      <c r="Y966" s="4"/>
      <c r="Z966" s="4"/>
      <c r="AA966" s="4"/>
      <c r="AB966" s="4"/>
      <c r="AC966" s="69"/>
      <c r="AD966" s="69"/>
      <c r="AE966" s="91"/>
      <c r="AF966" s="91"/>
      <c r="AG966" s="69"/>
      <c r="AH966" s="69"/>
      <c r="AI966" s="69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7"/>
      <c r="P967" s="4"/>
      <c r="Q967" s="7"/>
      <c r="R967" s="3"/>
      <c r="S967" s="3"/>
      <c r="T967" s="4"/>
      <c r="U967" s="4"/>
      <c r="V967" s="5"/>
      <c r="W967" s="4"/>
      <c r="X967" s="5"/>
      <c r="Y967" s="4"/>
      <c r="Z967" s="4"/>
      <c r="AA967" s="4"/>
      <c r="AB967" s="4"/>
      <c r="AC967" s="69"/>
      <c r="AD967" s="69"/>
      <c r="AE967" s="91"/>
      <c r="AF967" s="91"/>
      <c r="AG967" s="69"/>
      <c r="AH967" s="69"/>
      <c r="AI967" s="69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7"/>
      <c r="P968" s="4"/>
      <c r="Q968" s="7"/>
      <c r="R968" s="3"/>
      <c r="S968" s="3"/>
      <c r="T968" s="4"/>
      <c r="U968" s="4"/>
      <c r="V968" s="5"/>
      <c r="W968" s="4"/>
      <c r="X968" s="5"/>
      <c r="Y968" s="4"/>
      <c r="Z968" s="4"/>
      <c r="AA968" s="4"/>
      <c r="AB968" s="4"/>
      <c r="AC968" s="69"/>
      <c r="AD968" s="69"/>
      <c r="AE968" s="91"/>
      <c r="AF968" s="91"/>
      <c r="AG968" s="69"/>
      <c r="AH968" s="69"/>
      <c r="AI968" s="69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7"/>
      <c r="P969" s="4"/>
      <c r="Q969" s="7"/>
      <c r="R969" s="3"/>
      <c r="S969" s="3"/>
      <c r="T969" s="4"/>
      <c r="U969" s="4"/>
      <c r="V969" s="5"/>
      <c r="W969" s="4"/>
      <c r="X969" s="5"/>
      <c r="Y969" s="4"/>
      <c r="Z969" s="4"/>
      <c r="AA969" s="4"/>
      <c r="AB969" s="4"/>
      <c r="AC969" s="69"/>
      <c r="AD969" s="69"/>
      <c r="AE969" s="91"/>
      <c r="AF969" s="91"/>
      <c r="AG969" s="69"/>
      <c r="AH969" s="69"/>
      <c r="AI969" s="69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7"/>
      <c r="P970" s="4"/>
      <c r="Q970" s="7"/>
      <c r="R970" s="3"/>
      <c r="S970" s="3"/>
      <c r="T970" s="4"/>
      <c r="U970" s="4"/>
      <c r="V970" s="5"/>
      <c r="W970" s="4"/>
      <c r="X970" s="5"/>
      <c r="Y970" s="4"/>
      <c r="Z970" s="4"/>
      <c r="AA970" s="4"/>
      <c r="AB970" s="4"/>
      <c r="AC970" s="69"/>
      <c r="AD970" s="69"/>
      <c r="AE970" s="91"/>
      <c r="AF970" s="91"/>
      <c r="AG970" s="69"/>
      <c r="AH970" s="69"/>
      <c r="AI970" s="69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7"/>
      <c r="P971" s="4"/>
      <c r="Q971" s="7"/>
      <c r="R971" s="3"/>
      <c r="S971" s="3"/>
      <c r="T971" s="4"/>
      <c r="U971" s="4"/>
      <c r="V971" s="5"/>
      <c r="W971" s="4"/>
      <c r="X971" s="5"/>
      <c r="Y971" s="4"/>
      <c r="Z971" s="4"/>
      <c r="AA971" s="4"/>
      <c r="AB971" s="4"/>
      <c r="AC971" s="69"/>
      <c r="AD971" s="69"/>
      <c r="AE971" s="91"/>
      <c r="AF971" s="91"/>
      <c r="AG971" s="69"/>
      <c r="AH971" s="69"/>
      <c r="AI971" s="69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7"/>
      <c r="P972" s="4"/>
      <c r="Q972" s="7"/>
      <c r="R972" s="3"/>
      <c r="S972" s="3"/>
      <c r="T972" s="4"/>
      <c r="U972" s="4"/>
      <c r="V972" s="5"/>
      <c r="W972" s="4"/>
      <c r="X972" s="5"/>
      <c r="Y972" s="4"/>
      <c r="Z972" s="4"/>
      <c r="AA972" s="4"/>
      <c r="AB972" s="4"/>
      <c r="AC972" s="69"/>
      <c r="AD972" s="69"/>
      <c r="AE972" s="91"/>
      <c r="AF972" s="91"/>
      <c r="AG972" s="69"/>
      <c r="AH972" s="69"/>
      <c r="AI972" s="69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7"/>
      <c r="P973" s="4"/>
      <c r="Q973" s="7"/>
      <c r="R973" s="3"/>
      <c r="S973" s="3"/>
      <c r="T973" s="4"/>
      <c r="U973" s="4"/>
      <c r="V973" s="5"/>
      <c r="W973" s="4"/>
      <c r="X973" s="5"/>
      <c r="Y973" s="4"/>
      <c r="Z973" s="4"/>
      <c r="AA973" s="4"/>
      <c r="AB973" s="4"/>
      <c r="AC973" s="69"/>
      <c r="AD973" s="69"/>
      <c r="AE973" s="91"/>
      <c r="AF973" s="91"/>
      <c r="AG973" s="69"/>
      <c r="AH973" s="69"/>
      <c r="AI973" s="69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7"/>
      <c r="P974" s="4"/>
      <c r="Q974" s="7"/>
      <c r="R974" s="3"/>
      <c r="S974" s="3"/>
      <c r="T974" s="4"/>
      <c r="U974" s="4"/>
      <c r="V974" s="5"/>
      <c r="W974" s="4"/>
      <c r="X974" s="5"/>
      <c r="Y974" s="4"/>
      <c r="Z974" s="4"/>
      <c r="AA974" s="4"/>
      <c r="AB974" s="4"/>
      <c r="AC974" s="69"/>
      <c r="AD974" s="69"/>
      <c r="AE974" s="91"/>
      <c r="AF974" s="91"/>
      <c r="AG974" s="69"/>
      <c r="AH974" s="69"/>
      <c r="AI974" s="69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7"/>
      <c r="P975" s="4"/>
      <c r="Q975" s="7"/>
      <c r="R975" s="3"/>
      <c r="S975" s="3"/>
      <c r="T975" s="4"/>
      <c r="U975" s="4"/>
      <c r="V975" s="5"/>
      <c r="W975" s="4"/>
      <c r="X975" s="5"/>
      <c r="Y975" s="4"/>
      <c r="Z975" s="4"/>
      <c r="AA975" s="4"/>
      <c r="AB975" s="4"/>
      <c r="AC975" s="69"/>
      <c r="AD975" s="69"/>
      <c r="AE975" s="91"/>
      <c r="AF975" s="91"/>
      <c r="AG975" s="69"/>
      <c r="AH975" s="69"/>
      <c r="AI975" s="69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7"/>
      <c r="P976" s="4"/>
      <c r="Q976" s="7"/>
      <c r="R976" s="3"/>
      <c r="S976" s="3"/>
      <c r="T976" s="4"/>
      <c r="U976" s="4"/>
      <c r="V976" s="5"/>
      <c r="W976" s="4"/>
      <c r="X976" s="5"/>
      <c r="Y976" s="4"/>
      <c r="Z976" s="4"/>
      <c r="AA976" s="4"/>
      <c r="AB976" s="4"/>
      <c r="AC976" s="69"/>
      <c r="AD976" s="69"/>
      <c r="AE976" s="91"/>
      <c r="AF976" s="91"/>
      <c r="AG976" s="69"/>
      <c r="AH976" s="69"/>
      <c r="AI976" s="69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7"/>
      <c r="P977" s="4"/>
      <c r="Q977" s="7"/>
      <c r="R977" s="3"/>
      <c r="S977" s="3"/>
      <c r="T977" s="4"/>
      <c r="U977" s="4"/>
      <c r="V977" s="5"/>
      <c r="W977" s="4"/>
      <c r="X977" s="5"/>
      <c r="Y977" s="4"/>
      <c r="Z977" s="4"/>
      <c r="AA977" s="4"/>
      <c r="AB977" s="4"/>
      <c r="AC977" s="69"/>
      <c r="AD977" s="69"/>
      <c r="AE977" s="91"/>
      <c r="AF977" s="91"/>
      <c r="AG977" s="69"/>
      <c r="AH977" s="69"/>
      <c r="AI977" s="69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7"/>
      <c r="P978" s="4"/>
      <c r="Q978" s="7"/>
      <c r="R978" s="3"/>
      <c r="S978" s="3"/>
      <c r="T978" s="4"/>
      <c r="U978" s="4"/>
      <c r="V978" s="5"/>
      <c r="W978" s="4"/>
      <c r="X978" s="5"/>
      <c r="Y978" s="4"/>
      <c r="Z978" s="4"/>
      <c r="AA978" s="4"/>
      <c r="AB978" s="4"/>
      <c r="AC978" s="69"/>
      <c r="AD978" s="69"/>
      <c r="AE978" s="91"/>
      <c r="AF978" s="91"/>
      <c r="AG978" s="69"/>
      <c r="AH978" s="69"/>
      <c r="AI978" s="69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7"/>
      <c r="P979" s="4"/>
      <c r="Q979" s="7"/>
      <c r="R979" s="3"/>
      <c r="S979" s="3"/>
      <c r="T979" s="4"/>
      <c r="U979" s="4"/>
      <c r="V979" s="5"/>
      <c r="W979" s="4"/>
      <c r="X979" s="5"/>
      <c r="Y979" s="4"/>
      <c r="Z979" s="4"/>
      <c r="AA979" s="4"/>
      <c r="AB979" s="4"/>
      <c r="AC979" s="69"/>
      <c r="AD979" s="69"/>
      <c r="AE979" s="91"/>
      <c r="AF979" s="91"/>
      <c r="AG979" s="69"/>
      <c r="AH979" s="69"/>
      <c r="AI979" s="69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7"/>
      <c r="P980" s="4"/>
      <c r="Q980" s="7"/>
      <c r="R980" s="3"/>
      <c r="S980" s="3"/>
      <c r="T980" s="4"/>
      <c r="U980" s="4"/>
      <c r="V980" s="5"/>
      <c r="W980" s="4"/>
      <c r="X980" s="5"/>
      <c r="Y980" s="4"/>
      <c r="Z980" s="4"/>
      <c r="AA980" s="4"/>
      <c r="AB980" s="4"/>
      <c r="AC980" s="69"/>
      <c r="AD980" s="69"/>
      <c r="AE980" s="91"/>
      <c r="AF980" s="91"/>
      <c r="AG980" s="69"/>
      <c r="AH980" s="69"/>
      <c r="AI980" s="69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7"/>
      <c r="P981" s="4"/>
      <c r="Q981" s="7"/>
      <c r="R981" s="3"/>
      <c r="S981" s="3"/>
      <c r="T981" s="4"/>
      <c r="U981" s="4"/>
      <c r="V981" s="5"/>
      <c r="W981" s="4"/>
      <c r="X981" s="5"/>
      <c r="Y981" s="4"/>
      <c r="Z981" s="4"/>
      <c r="AA981" s="4"/>
      <c r="AB981" s="4"/>
      <c r="AC981" s="69"/>
      <c r="AD981" s="69"/>
      <c r="AE981" s="91"/>
      <c r="AF981" s="91"/>
      <c r="AG981" s="69"/>
      <c r="AH981" s="69"/>
      <c r="AI981" s="69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7"/>
      <c r="P982" s="4"/>
      <c r="Q982" s="7"/>
      <c r="R982" s="3"/>
      <c r="S982" s="3"/>
      <c r="T982" s="4"/>
      <c r="U982" s="4"/>
      <c r="V982" s="5"/>
      <c r="W982" s="4"/>
      <c r="X982" s="5"/>
      <c r="Y982" s="4"/>
      <c r="Z982" s="4"/>
      <c r="AA982" s="4"/>
      <c r="AB982" s="4"/>
      <c r="AC982" s="69"/>
      <c r="AD982" s="69"/>
      <c r="AE982" s="91"/>
      <c r="AF982" s="91"/>
      <c r="AG982" s="69"/>
      <c r="AH982" s="69"/>
      <c r="AI982" s="69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7"/>
      <c r="P983" s="4"/>
      <c r="Q983" s="7"/>
      <c r="R983" s="3"/>
      <c r="S983" s="3"/>
      <c r="T983" s="4"/>
      <c r="U983" s="4"/>
      <c r="V983" s="5"/>
      <c r="W983" s="4"/>
      <c r="X983" s="5"/>
      <c r="Y983" s="4"/>
      <c r="Z983" s="4"/>
      <c r="AA983" s="4"/>
      <c r="AB983" s="4"/>
      <c r="AC983" s="69"/>
      <c r="AD983" s="69"/>
      <c r="AE983" s="91"/>
      <c r="AF983" s="91"/>
      <c r="AG983" s="69"/>
      <c r="AH983" s="69"/>
      <c r="AI983" s="69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7"/>
      <c r="P984" s="4"/>
      <c r="Q984" s="7"/>
      <c r="R984" s="3"/>
      <c r="S984" s="3"/>
      <c r="T984" s="4"/>
      <c r="U984" s="4"/>
      <c r="V984" s="5"/>
      <c r="W984" s="4"/>
      <c r="X984" s="5"/>
      <c r="Y984" s="4"/>
      <c r="Z984" s="4"/>
      <c r="AA984" s="4"/>
      <c r="AB984" s="4"/>
      <c r="AC984" s="69"/>
      <c r="AD984" s="69"/>
      <c r="AE984" s="91"/>
      <c r="AF984" s="91"/>
      <c r="AG984" s="69"/>
      <c r="AH984" s="69"/>
      <c r="AI984" s="69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7"/>
      <c r="P985" s="4"/>
      <c r="Q985" s="7"/>
      <c r="R985" s="3"/>
      <c r="S985" s="3"/>
      <c r="T985" s="4"/>
      <c r="U985" s="4"/>
      <c r="V985" s="5"/>
      <c r="W985" s="4"/>
      <c r="X985" s="5"/>
      <c r="Y985" s="4"/>
      <c r="Z985" s="4"/>
      <c r="AA985" s="4"/>
      <c r="AB985" s="4"/>
      <c r="AC985" s="69"/>
      <c r="AD985" s="69"/>
      <c r="AE985" s="91"/>
      <c r="AF985" s="91"/>
      <c r="AG985" s="69"/>
      <c r="AH985" s="69"/>
      <c r="AI985" s="69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7"/>
      <c r="P986" s="4"/>
      <c r="Q986" s="7"/>
      <c r="R986" s="3"/>
      <c r="S986" s="3"/>
      <c r="T986" s="4"/>
      <c r="U986" s="4"/>
      <c r="V986" s="5"/>
      <c r="W986" s="4"/>
      <c r="X986" s="5"/>
      <c r="Y986" s="4"/>
      <c r="Z986" s="4"/>
      <c r="AA986" s="4"/>
      <c r="AB986" s="4"/>
      <c r="AC986" s="69"/>
      <c r="AD986" s="69"/>
      <c r="AE986" s="91"/>
      <c r="AF986" s="91"/>
      <c r="AG986" s="69"/>
      <c r="AH986" s="69"/>
      <c r="AI986" s="69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7"/>
      <c r="P987" s="4"/>
      <c r="Q987" s="7"/>
      <c r="R987" s="3"/>
      <c r="S987" s="3"/>
      <c r="T987" s="4"/>
      <c r="U987" s="4"/>
      <c r="V987" s="5"/>
      <c r="W987" s="4"/>
      <c r="X987" s="5"/>
      <c r="Y987" s="4"/>
      <c r="Z987" s="4"/>
      <c r="AA987" s="4"/>
      <c r="AB987" s="4"/>
      <c r="AC987" s="69"/>
      <c r="AD987" s="69"/>
      <c r="AE987" s="91"/>
      <c r="AF987" s="91"/>
      <c r="AG987" s="69"/>
      <c r="AH987" s="69"/>
      <c r="AI987" s="69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7"/>
      <c r="P988" s="4"/>
      <c r="Q988" s="7"/>
      <c r="R988" s="3"/>
      <c r="S988" s="3"/>
      <c r="T988" s="4"/>
      <c r="U988" s="4"/>
      <c r="V988" s="5"/>
      <c r="W988" s="4"/>
      <c r="X988" s="5"/>
      <c r="Y988" s="4"/>
      <c r="Z988" s="4"/>
      <c r="AA988" s="4"/>
      <c r="AB988" s="4"/>
      <c r="AC988" s="69"/>
      <c r="AD988" s="69"/>
      <c r="AE988" s="91"/>
      <c r="AF988" s="91"/>
      <c r="AG988" s="69"/>
      <c r="AH988" s="69"/>
      <c r="AI988" s="69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7"/>
      <c r="P989" s="4"/>
      <c r="Q989" s="7"/>
      <c r="R989" s="3"/>
      <c r="S989" s="3"/>
      <c r="T989" s="4"/>
      <c r="U989" s="4"/>
      <c r="V989" s="5"/>
      <c r="W989" s="4"/>
      <c r="X989" s="5"/>
      <c r="Y989" s="4"/>
      <c r="Z989" s="4"/>
      <c r="AA989" s="4"/>
      <c r="AB989" s="4"/>
      <c r="AC989" s="69"/>
      <c r="AD989" s="69"/>
      <c r="AE989" s="91"/>
      <c r="AF989" s="91"/>
      <c r="AG989" s="69"/>
      <c r="AH989" s="69"/>
      <c r="AI989" s="69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7"/>
      <c r="P990" s="4"/>
      <c r="Q990" s="7"/>
      <c r="R990" s="3"/>
      <c r="S990" s="3"/>
      <c r="T990" s="4"/>
      <c r="U990" s="4"/>
      <c r="V990" s="5"/>
      <c r="W990" s="4"/>
      <c r="X990" s="5"/>
      <c r="Y990" s="4"/>
      <c r="Z990" s="4"/>
      <c r="AA990" s="4"/>
      <c r="AB990" s="4"/>
      <c r="AC990" s="69"/>
      <c r="AD990" s="69"/>
      <c r="AE990" s="91"/>
      <c r="AF990" s="91"/>
      <c r="AG990" s="69"/>
      <c r="AH990" s="69"/>
      <c r="AI990" s="69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7"/>
      <c r="P991" s="4"/>
      <c r="Q991" s="7"/>
      <c r="R991" s="3"/>
      <c r="S991" s="3"/>
      <c r="T991" s="4"/>
      <c r="U991" s="4"/>
      <c r="V991" s="5"/>
      <c r="W991" s="4"/>
      <c r="X991" s="5"/>
      <c r="Y991" s="4"/>
      <c r="Z991" s="4"/>
      <c r="AA991" s="4"/>
      <c r="AB991" s="4"/>
      <c r="AC991" s="69"/>
      <c r="AD991" s="69"/>
      <c r="AE991" s="91"/>
      <c r="AF991" s="91"/>
      <c r="AG991" s="69"/>
      <c r="AH991" s="69"/>
      <c r="AI991" s="69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7"/>
      <c r="P992" s="4"/>
      <c r="Q992" s="7"/>
      <c r="R992" s="3"/>
      <c r="S992" s="3"/>
      <c r="T992" s="4"/>
      <c r="U992" s="4"/>
      <c r="V992" s="5"/>
      <c r="W992" s="4"/>
      <c r="X992" s="5"/>
      <c r="Y992" s="4"/>
      <c r="Z992" s="4"/>
      <c r="AA992" s="4"/>
      <c r="AB992" s="4"/>
      <c r="AC992" s="69"/>
      <c r="AD992" s="69"/>
      <c r="AE992" s="91"/>
      <c r="AF992" s="91"/>
      <c r="AG992" s="69"/>
      <c r="AH992" s="69"/>
      <c r="AI992" s="69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7"/>
      <c r="P993" s="4"/>
      <c r="Q993" s="7"/>
      <c r="R993" s="3"/>
      <c r="S993" s="3"/>
      <c r="T993" s="4"/>
      <c r="U993" s="4"/>
      <c r="V993" s="5"/>
      <c r="W993" s="4"/>
      <c r="X993" s="5"/>
      <c r="Y993" s="4"/>
      <c r="Z993" s="4"/>
      <c r="AA993" s="4"/>
      <c r="AB993" s="4"/>
      <c r="AC993" s="69"/>
      <c r="AD993" s="69"/>
      <c r="AE993" s="91"/>
      <c r="AF993" s="91"/>
      <c r="AG993" s="69"/>
      <c r="AH993" s="69"/>
      <c r="AI993" s="69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7"/>
      <c r="P994" s="4"/>
      <c r="Q994" s="7"/>
      <c r="R994" s="3"/>
      <c r="S994" s="3"/>
      <c r="T994" s="4"/>
      <c r="U994" s="4"/>
      <c r="V994" s="5"/>
      <c r="W994" s="4"/>
      <c r="X994" s="5"/>
      <c r="Y994" s="4"/>
      <c r="Z994" s="4"/>
      <c r="AA994" s="4"/>
      <c r="AB994" s="4"/>
      <c r="AC994" s="69"/>
      <c r="AD994" s="69"/>
      <c r="AE994" s="91"/>
      <c r="AF994" s="91"/>
      <c r="AG994" s="69"/>
      <c r="AH994" s="69"/>
      <c r="AI994" s="69"/>
    </row>
    <row r="995">
      <c r="A995" s="4"/>
      <c r="B995" s="4"/>
      <c r="C995" s="4"/>
      <c r="D995" s="4"/>
      <c r="E995" s="4"/>
      <c r="F995" s="4"/>
      <c r="G995" s="4"/>
      <c r="H995" s="4"/>
      <c r="I995" s="92" t="s">
        <v>119</v>
      </c>
      <c r="J995" s="92" t="s">
        <v>103</v>
      </c>
      <c r="L995" s="4"/>
      <c r="M995" s="4"/>
      <c r="N995" s="4"/>
      <c r="O995" s="7"/>
      <c r="Q995" s="7"/>
      <c r="R995" s="3"/>
      <c r="S995" s="3"/>
      <c r="T995" s="4"/>
      <c r="U995" s="4"/>
      <c r="V995" s="5"/>
      <c r="W995" s="4"/>
      <c r="X995" s="5"/>
      <c r="Y995" s="4"/>
      <c r="Z995" s="4"/>
      <c r="AA995" s="4"/>
      <c r="AB995" s="4"/>
      <c r="AC995" s="69"/>
      <c r="AD995" s="69"/>
      <c r="AE995" s="91"/>
      <c r="AF995" s="91"/>
      <c r="AG995" s="69"/>
      <c r="AH995" s="69"/>
      <c r="AI995" s="69"/>
    </row>
    <row r="996">
      <c r="A996" s="4"/>
      <c r="B996" s="4"/>
      <c r="C996" s="4"/>
      <c r="D996" s="4"/>
      <c r="E996" s="4"/>
      <c r="F996" s="4"/>
      <c r="G996" s="4"/>
      <c r="H996" s="4"/>
      <c r="I996" s="92" t="s">
        <v>120</v>
      </c>
      <c r="J996" s="92" t="s">
        <v>103</v>
      </c>
      <c r="L996" s="4"/>
      <c r="M996" s="4"/>
      <c r="N996" s="4"/>
      <c r="O996" s="7"/>
      <c r="Q996" s="7"/>
      <c r="R996" s="3"/>
      <c r="S996" s="3"/>
      <c r="T996" s="4"/>
      <c r="U996" s="4"/>
      <c r="V996" s="5"/>
      <c r="W996" s="4"/>
      <c r="X996" s="5"/>
      <c r="Y996" s="4"/>
      <c r="Z996" s="4"/>
      <c r="AA996" s="4"/>
      <c r="AB996" s="4"/>
      <c r="AC996" s="69"/>
      <c r="AD996" s="69"/>
      <c r="AE996" s="91"/>
      <c r="AF996" s="91"/>
      <c r="AG996" s="69"/>
      <c r="AH996" s="69"/>
      <c r="AI996" s="69"/>
    </row>
    <row r="997">
      <c r="A997" s="4"/>
      <c r="B997" s="4"/>
      <c r="C997" s="4"/>
      <c r="D997" s="4"/>
      <c r="E997" s="4"/>
      <c r="F997" s="4"/>
      <c r="G997" s="4"/>
      <c r="H997" s="4"/>
      <c r="I997" s="92" t="s">
        <v>121</v>
      </c>
      <c r="J997" s="92" t="s">
        <v>103</v>
      </c>
      <c r="L997" s="4"/>
      <c r="M997" s="4"/>
      <c r="N997" s="4"/>
      <c r="O997" s="7"/>
      <c r="Q997" s="7"/>
      <c r="R997" s="3"/>
      <c r="S997" s="3"/>
      <c r="T997" s="4"/>
      <c r="U997" s="4"/>
      <c r="V997" s="5"/>
      <c r="W997" s="4"/>
      <c r="X997" s="5"/>
      <c r="Y997" s="4"/>
      <c r="Z997" s="4"/>
      <c r="AA997" s="4"/>
      <c r="AB997" s="4"/>
      <c r="AC997" s="69"/>
      <c r="AD997" s="69"/>
      <c r="AE997" s="91"/>
      <c r="AF997" s="91"/>
      <c r="AG997" s="69"/>
      <c r="AH997" s="69"/>
      <c r="AI997" s="69"/>
    </row>
    <row r="998">
      <c r="A998" s="4"/>
      <c r="B998" s="4"/>
      <c r="C998" s="4"/>
      <c r="D998" s="4"/>
      <c r="E998" s="4"/>
      <c r="F998" s="4"/>
      <c r="G998" s="4"/>
      <c r="H998" s="4"/>
      <c r="I998" s="92" t="s">
        <v>122</v>
      </c>
      <c r="J998" s="92" t="s">
        <v>103</v>
      </c>
      <c r="L998" s="4"/>
      <c r="M998" s="4"/>
      <c r="N998" s="4"/>
      <c r="O998" s="7"/>
      <c r="Q998" s="7"/>
      <c r="R998" s="3"/>
      <c r="S998" s="3"/>
      <c r="T998" s="4"/>
      <c r="U998" s="4"/>
      <c r="V998" s="5"/>
      <c r="W998" s="4"/>
      <c r="X998" s="5"/>
      <c r="Y998" s="4"/>
      <c r="Z998" s="4"/>
      <c r="AA998" s="4"/>
      <c r="AB998" s="4"/>
      <c r="AC998" s="69"/>
      <c r="AD998" s="69"/>
      <c r="AE998" s="91"/>
      <c r="AF998" s="91"/>
      <c r="AG998" s="69"/>
      <c r="AH998" s="69"/>
      <c r="AI998" s="69"/>
    </row>
    <row r="999">
      <c r="A999" s="4"/>
      <c r="B999" s="4"/>
      <c r="C999" s="4"/>
      <c r="D999" s="4"/>
      <c r="E999" s="4"/>
      <c r="F999" s="4"/>
      <c r="G999" s="4"/>
      <c r="H999" s="4"/>
      <c r="I999" s="92" t="s">
        <v>123</v>
      </c>
      <c r="J999" s="92" t="s">
        <v>103</v>
      </c>
      <c r="L999" s="4"/>
      <c r="M999" s="4"/>
      <c r="N999" s="4"/>
      <c r="O999" s="7"/>
      <c r="Q999" s="7"/>
      <c r="R999" s="3"/>
      <c r="S999" s="3"/>
      <c r="T999" s="4"/>
      <c r="U999" s="4"/>
      <c r="V999" s="5"/>
      <c r="W999" s="4"/>
      <c r="X999" s="5"/>
      <c r="Y999" s="4"/>
      <c r="Z999" s="4"/>
      <c r="AA999" s="4"/>
      <c r="AB999" s="4"/>
      <c r="AC999" s="69"/>
      <c r="AD999" s="69"/>
      <c r="AE999" s="91"/>
      <c r="AF999" s="91"/>
      <c r="AG999" s="69"/>
      <c r="AH999" s="69"/>
      <c r="AI999" s="69"/>
    </row>
    <row r="1000">
      <c r="A1000" s="4"/>
      <c r="B1000" s="4"/>
      <c r="C1000" s="4"/>
      <c r="D1000" s="4"/>
      <c r="E1000" s="4"/>
      <c r="F1000" s="4"/>
      <c r="G1000" s="4"/>
      <c r="H1000" s="4"/>
      <c r="I1000" s="92" t="s">
        <v>124</v>
      </c>
      <c r="J1000" s="92" t="s">
        <v>103</v>
      </c>
      <c r="L1000" s="4"/>
      <c r="M1000" s="4"/>
      <c r="N1000" s="4"/>
      <c r="O1000" s="7"/>
      <c r="Q1000" s="7"/>
      <c r="R1000" s="3"/>
      <c r="S1000" s="3"/>
      <c r="T1000" s="4"/>
      <c r="U1000" s="4"/>
      <c r="V1000" s="5"/>
      <c r="W1000" s="4"/>
      <c r="X1000" s="5"/>
      <c r="Y1000" s="4"/>
      <c r="Z1000" s="4"/>
      <c r="AA1000" s="4"/>
      <c r="AB1000" s="4"/>
      <c r="AC1000" s="69"/>
      <c r="AD1000" s="69"/>
      <c r="AE1000" s="91"/>
      <c r="AF1000" s="91"/>
      <c r="AG1000" s="69"/>
      <c r="AH1000" s="69"/>
      <c r="AI1000" s="69"/>
    </row>
    <row r="1001">
      <c r="A1001" s="4"/>
      <c r="B1001" s="4"/>
      <c r="C1001" s="4"/>
      <c r="D1001" s="4"/>
      <c r="E1001" s="4"/>
      <c r="F1001" s="4"/>
      <c r="G1001" s="4"/>
      <c r="H1001" s="4"/>
      <c r="I1001" s="92" t="s">
        <v>125</v>
      </c>
      <c r="J1001" s="92" t="s">
        <v>126</v>
      </c>
      <c r="L1001" s="4"/>
      <c r="M1001" s="4"/>
      <c r="N1001" s="4"/>
      <c r="O1001" s="7"/>
      <c r="Q1001" s="7"/>
      <c r="R1001" s="3"/>
      <c r="S1001" s="3"/>
      <c r="T1001" s="4"/>
      <c r="U1001" s="4"/>
      <c r="V1001" s="5"/>
      <c r="W1001" s="4"/>
      <c r="X1001" s="5"/>
      <c r="Y1001" s="4"/>
      <c r="Z1001" s="4"/>
      <c r="AA1001" s="4"/>
      <c r="AB1001" s="4"/>
      <c r="AC1001" s="69"/>
      <c r="AD1001" s="69"/>
      <c r="AE1001" s="91"/>
      <c r="AF1001" s="91"/>
      <c r="AG1001" s="69"/>
      <c r="AH1001" s="69"/>
      <c r="AI1001" s="69"/>
    </row>
    <row r="1002">
      <c r="A1002" s="4"/>
      <c r="B1002" s="4"/>
      <c r="C1002" s="4"/>
      <c r="D1002" s="4"/>
      <c r="E1002" s="4"/>
      <c r="F1002" s="4"/>
      <c r="G1002" s="4"/>
      <c r="H1002" s="4"/>
      <c r="I1002" s="92" t="s">
        <v>127</v>
      </c>
      <c r="J1002" s="92" t="s">
        <v>103</v>
      </c>
      <c r="L1002" s="4"/>
      <c r="M1002" s="4"/>
      <c r="N1002" s="4"/>
      <c r="O1002" s="7"/>
      <c r="Q1002" s="7"/>
      <c r="R1002" s="3"/>
      <c r="S1002" s="3"/>
      <c r="T1002" s="4"/>
      <c r="U1002" s="4"/>
      <c r="V1002" s="5"/>
      <c r="W1002" s="4"/>
      <c r="X1002" s="5"/>
      <c r="Y1002" s="4"/>
      <c r="Z1002" s="4"/>
      <c r="AA1002" s="4"/>
      <c r="AB1002" s="4"/>
      <c r="AC1002" s="69"/>
      <c r="AD1002" s="69"/>
      <c r="AE1002" s="91"/>
      <c r="AF1002" s="91"/>
      <c r="AG1002" s="69"/>
      <c r="AH1002" s="69"/>
      <c r="AI1002" s="69"/>
    </row>
    <row r="1003">
      <c r="A1003" s="4"/>
      <c r="B1003" s="4"/>
      <c r="C1003" s="4"/>
      <c r="D1003" s="4"/>
      <c r="E1003" s="4"/>
      <c r="F1003" s="4"/>
      <c r="G1003" s="4"/>
      <c r="H1003" s="4"/>
      <c r="I1003" s="92" t="s">
        <v>128</v>
      </c>
      <c r="J1003" s="92" t="s">
        <v>103</v>
      </c>
      <c r="L1003" s="4"/>
      <c r="M1003" s="4"/>
      <c r="N1003" s="4"/>
      <c r="O1003" s="7"/>
      <c r="Q1003" s="7"/>
      <c r="R1003" s="3"/>
      <c r="S1003" s="3"/>
      <c r="T1003" s="4"/>
      <c r="U1003" s="4"/>
      <c r="V1003" s="5"/>
      <c r="W1003" s="4"/>
      <c r="X1003" s="5"/>
      <c r="Y1003" s="4"/>
      <c r="Z1003" s="4"/>
      <c r="AA1003" s="4"/>
      <c r="AB1003" s="4"/>
      <c r="AC1003" s="69"/>
      <c r="AD1003" s="69"/>
      <c r="AE1003" s="91"/>
      <c r="AF1003" s="91"/>
      <c r="AG1003" s="69"/>
      <c r="AH1003" s="69"/>
      <c r="AI1003" s="69"/>
    </row>
    <row r="1004">
      <c r="A1004" s="4"/>
      <c r="B1004" s="4"/>
      <c r="C1004" s="4"/>
      <c r="D1004" s="4"/>
      <c r="E1004" s="4"/>
      <c r="F1004" s="4"/>
      <c r="G1004" s="4"/>
      <c r="H1004" s="4"/>
      <c r="I1004" s="92" t="s">
        <v>129</v>
      </c>
      <c r="J1004" s="92" t="s">
        <v>126</v>
      </c>
      <c r="L1004" s="4"/>
      <c r="M1004" s="4"/>
      <c r="N1004" s="4"/>
      <c r="O1004" s="7"/>
      <c r="Q1004" s="7"/>
      <c r="R1004" s="3"/>
      <c r="S1004" s="3"/>
      <c r="T1004" s="4"/>
      <c r="U1004" s="4"/>
      <c r="V1004" s="5"/>
      <c r="W1004" s="4"/>
      <c r="X1004" s="5"/>
      <c r="Y1004" s="4"/>
      <c r="Z1004" s="4"/>
      <c r="AA1004" s="4"/>
      <c r="AB1004" s="4"/>
      <c r="AC1004" s="69"/>
      <c r="AD1004" s="69"/>
      <c r="AE1004" s="91"/>
      <c r="AF1004" s="91"/>
      <c r="AG1004" s="69"/>
      <c r="AH1004" s="69"/>
      <c r="AI1004" s="69"/>
    </row>
    <row r="1005">
      <c r="A1005" s="4"/>
      <c r="B1005" s="4"/>
      <c r="C1005" s="4"/>
      <c r="D1005" s="4"/>
      <c r="E1005" s="4"/>
      <c r="F1005" s="4"/>
      <c r="G1005" s="4"/>
      <c r="H1005" s="4"/>
      <c r="I1005" s="92" t="s">
        <v>130</v>
      </c>
      <c r="J1005" s="92" t="s">
        <v>126</v>
      </c>
      <c r="L1005" s="4"/>
      <c r="M1005" s="4"/>
      <c r="N1005" s="4"/>
      <c r="O1005" s="7"/>
      <c r="Q1005" s="7"/>
      <c r="R1005" s="3"/>
      <c r="S1005" s="3"/>
      <c r="T1005" s="4"/>
      <c r="U1005" s="4"/>
      <c r="V1005" s="5"/>
      <c r="W1005" s="4"/>
      <c r="X1005" s="5"/>
      <c r="Y1005" s="4"/>
      <c r="Z1005" s="4"/>
      <c r="AA1005" s="4"/>
      <c r="AB1005" s="4"/>
      <c r="AC1005" s="69"/>
      <c r="AD1005" s="69"/>
      <c r="AE1005" s="91"/>
      <c r="AF1005" s="91"/>
      <c r="AG1005" s="69"/>
      <c r="AH1005" s="69"/>
      <c r="AI1005" s="69"/>
    </row>
    <row r="1006">
      <c r="A1006" s="4"/>
      <c r="B1006" s="4"/>
      <c r="C1006" s="4"/>
      <c r="D1006" s="4"/>
      <c r="E1006" s="4"/>
      <c r="F1006" s="4"/>
      <c r="G1006" s="4"/>
      <c r="H1006" s="4"/>
      <c r="I1006" s="92" t="s">
        <v>131</v>
      </c>
      <c r="J1006" s="92" t="s">
        <v>126</v>
      </c>
      <c r="L1006" s="4"/>
      <c r="M1006" s="4"/>
      <c r="N1006" s="4"/>
      <c r="O1006" s="7"/>
      <c r="Q1006" s="7"/>
      <c r="R1006" s="3"/>
      <c r="S1006" s="3"/>
      <c r="T1006" s="4"/>
      <c r="U1006" s="4"/>
      <c r="V1006" s="5"/>
      <c r="W1006" s="4"/>
      <c r="X1006" s="5"/>
      <c r="Y1006" s="4"/>
      <c r="Z1006" s="4"/>
      <c r="AA1006" s="4"/>
      <c r="AB1006" s="4"/>
      <c r="AC1006" s="69"/>
      <c r="AD1006" s="69"/>
      <c r="AE1006" s="91"/>
      <c r="AF1006" s="91"/>
      <c r="AG1006" s="69"/>
      <c r="AH1006" s="69"/>
      <c r="AI1006" s="69"/>
    </row>
    <row r="1007">
      <c r="A1007" s="4"/>
      <c r="B1007" s="4"/>
      <c r="C1007" s="4"/>
      <c r="D1007" s="4"/>
      <c r="E1007" s="4"/>
      <c r="F1007" s="4"/>
      <c r="G1007" s="4"/>
      <c r="H1007" s="4"/>
      <c r="I1007" s="92" t="s">
        <v>132</v>
      </c>
      <c r="J1007" s="92" t="s">
        <v>126</v>
      </c>
      <c r="L1007" s="4"/>
      <c r="M1007" s="4"/>
      <c r="N1007" s="4"/>
      <c r="O1007" s="7"/>
      <c r="Q1007" s="7"/>
      <c r="R1007" s="3"/>
      <c r="S1007" s="3"/>
      <c r="T1007" s="4"/>
      <c r="U1007" s="4"/>
      <c r="V1007" s="5"/>
      <c r="W1007" s="4"/>
      <c r="X1007" s="5"/>
      <c r="Y1007" s="4"/>
      <c r="Z1007" s="4"/>
      <c r="AA1007" s="4"/>
      <c r="AB1007" s="4"/>
      <c r="AC1007" s="69"/>
      <c r="AD1007" s="69"/>
      <c r="AE1007" s="91"/>
      <c r="AF1007" s="91"/>
      <c r="AG1007" s="69"/>
      <c r="AH1007" s="69"/>
      <c r="AI1007" s="69"/>
    </row>
    <row r="1008">
      <c r="A1008" s="4"/>
      <c r="B1008" s="4"/>
      <c r="C1008" s="4"/>
      <c r="D1008" s="4"/>
      <c r="E1008" s="4"/>
      <c r="F1008" s="4"/>
      <c r="G1008" s="4"/>
      <c r="H1008" s="4"/>
      <c r="I1008" s="92" t="s">
        <v>133</v>
      </c>
      <c r="J1008" s="92" t="s">
        <v>103</v>
      </c>
      <c r="L1008" s="4"/>
      <c r="M1008" s="4"/>
      <c r="N1008" s="4"/>
      <c r="O1008" s="7"/>
      <c r="Q1008" s="7"/>
      <c r="R1008" s="3"/>
      <c r="S1008" s="3"/>
      <c r="T1008" s="4"/>
      <c r="U1008" s="4"/>
      <c r="V1008" s="5"/>
      <c r="W1008" s="4"/>
      <c r="X1008" s="5"/>
      <c r="Y1008" s="4"/>
      <c r="Z1008" s="4"/>
      <c r="AA1008" s="4"/>
      <c r="AB1008" s="4"/>
      <c r="AC1008" s="69"/>
      <c r="AD1008" s="69"/>
      <c r="AE1008" s="91"/>
      <c r="AF1008" s="91"/>
      <c r="AG1008" s="69"/>
      <c r="AH1008" s="69"/>
      <c r="AI1008" s="69"/>
    </row>
    <row r="1009">
      <c r="A1009" s="4"/>
      <c r="B1009" s="4"/>
      <c r="C1009" s="4"/>
      <c r="D1009" s="4"/>
      <c r="E1009" s="4"/>
      <c r="F1009" s="4"/>
      <c r="G1009" s="4"/>
      <c r="H1009" s="4"/>
      <c r="I1009" s="92" t="s">
        <v>134</v>
      </c>
      <c r="J1009" s="92" t="s">
        <v>126</v>
      </c>
      <c r="L1009" s="4"/>
      <c r="M1009" s="4"/>
      <c r="N1009" s="4"/>
      <c r="O1009" s="7"/>
      <c r="Q1009" s="7"/>
      <c r="R1009" s="3"/>
      <c r="S1009" s="3"/>
      <c r="T1009" s="4"/>
      <c r="U1009" s="4"/>
      <c r="V1009" s="5"/>
      <c r="W1009" s="4"/>
      <c r="X1009" s="5"/>
      <c r="Y1009" s="4"/>
      <c r="Z1009" s="4"/>
      <c r="AA1009" s="4"/>
      <c r="AB1009" s="4"/>
      <c r="AC1009" s="69"/>
      <c r="AD1009" s="69"/>
      <c r="AE1009" s="91"/>
      <c r="AF1009" s="91"/>
      <c r="AG1009" s="69"/>
      <c r="AH1009" s="69"/>
      <c r="AI1009" s="69"/>
    </row>
    <row r="1010">
      <c r="A1010" s="4"/>
      <c r="B1010" s="4"/>
      <c r="C1010" s="4"/>
      <c r="D1010" s="4"/>
      <c r="E1010" s="4"/>
      <c r="F1010" s="4"/>
      <c r="G1010" s="4"/>
      <c r="H1010" s="4"/>
      <c r="I1010" s="92" t="s">
        <v>135</v>
      </c>
      <c r="J1010" s="92" t="s">
        <v>126</v>
      </c>
      <c r="L1010" s="4"/>
      <c r="M1010" s="4"/>
      <c r="N1010" s="4"/>
      <c r="O1010" s="7"/>
      <c r="Q1010" s="7"/>
      <c r="R1010" s="3"/>
      <c r="S1010" s="3"/>
      <c r="T1010" s="4"/>
      <c r="U1010" s="4"/>
      <c r="V1010" s="5"/>
      <c r="W1010" s="4"/>
      <c r="X1010" s="5"/>
      <c r="Y1010" s="4"/>
      <c r="Z1010" s="4"/>
      <c r="AA1010" s="4"/>
      <c r="AB1010" s="4"/>
      <c r="AC1010" s="69"/>
      <c r="AD1010" s="69"/>
      <c r="AE1010" s="91"/>
      <c r="AF1010" s="91"/>
      <c r="AG1010" s="69"/>
      <c r="AH1010" s="69"/>
      <c r="AI1010" s="69"/>
    </row>
    <row r="1011">
      <c r="A1011" s="4"/>
      <c r="B1011" s="4"/>
      <c r="C1011" s="4"/>
      <c r="D1011" s="4"/>
      <c r="E1011" s="4"/>
      <c r="F1011" s="4"/>
      <c r="G1011" s="4"/>
      <c r="H1011" s="4"/>
      <c r="I1011" s="92" t="s">
        <v>136</v>
      </c>
      <c r="J1011" s="92" t="s">
        <v>103</v>
      </c>
      <c r="L1011" s="4"/>
      <c r="M1011" s="4"/>
      <c r="N1011" s="4"/>
      <c r="O1011" s="7"/>
      <c r="Q1011" s="7"/>
      <c r="R1011" s="3"/>
      <c r="S1011" s="3"/>
      <c r="T1011" s="4"/>
      <c r="U1011" s="4"/>
      <c r="V1011" s="5"/>
      <c r="W1011" s="4"/>
      <c r="X1011" s="5"/>
      <c r="Y1011" s="4"/>
      <c r="Z1011" s="4"/>
      <c r="AA1011" s="4"/>
      <c r="AB1011" s="4"/>
      <c r="AC1011" s="69"/>
      <c r="AD1011" s="69"/>
      <c r="AE1011" s="91"/>
      <c r="AF1011" s="91"/>
      <c r="AG1011" s="69"/>
      <c r="AH1011" s="69"/>
      <c r="AI1011" s="69"/>
    </row>
    <row r="1012">
      <c r="A1012" s="4"/>
      <c r="B1012" s="4"/>
      <c r="C1012" s="4"/>
      <c r="D1012" s="4"/>
      <c r="E1012" s="4"/>
      <c r="F1012" s="4"/>
      <c r="G1012" s="4"/>
      <c r="H1012" s="4"/>
      <c r="I1012" s="92" t="s">
        <v>137</v>
      </c>
      <c r="J1012" s="92" t="s">
        <v>126</v>
      </c>
      <c r="L1012" s="4"/>
      <c r="M1012" s="4"/>
      <c r="N1012" s="4"/>
      <c r="O1012" s="7"/>
      <c r="Q1012" s="7"/>
      <c r="R1012" s="3"/>
      <c r="S1012" s="3"/>
      <c r="T1012" s="4"/>
      <c r="U1012" s="4"/>
      <c r="V1012" s="5"/>
      <c r="W1012" s="4"/>
      <c r="X1012" s="5"/>
      <c r="Y1012" s="4"/>
      <c r="Z1012" s="4"/>
      <c r="AA1012" s="4"/>
      <c r="AB1012" s="4"/>
      <c r="AC1012" s="69"/>
      <c r="AD1012" s="69"/>
      <c r="AE1012" s="91"/>
      <c r="AF1012" s="91"/>
      <c r="AG1012" s="69"/>
      <c r="AH1012" s="69"/>
      <c r="AI1012" s="69"/>
    </row>
    <row r="1013">
      <c r="A1013" s="4"/>
      <c r="B1013" s="4"/>
      <c r="C1013" s="4"/>
      <c r="D1013" s="4"/>
      <c r="E1013" s="4"/>
      <c r="F1013" s="4"/>
      <c r="G1013" s="4"/>
      <c r="H1013" s="4"/>
      <c r="I1013" s="92" t="s">
        <v>138</v>
      </c>
      <c r="J1013" s="92" t="s">
        <v>126</v>
      </c>
      <c r="L1013" s="4"/>
      <c r="M1013" s="4"/>
      <c r="N1013" s="4"/>
      <c r="O1013" s="7"/>
      <c r="Q1013" s="7"/>
      <c r="R1013" s="3"/>
      <c r="S1013" s="3"/>
      <c r="T1013" s="4"/>
      <c r="U1013" s="4"/>
      <c r="V1013" s="5"/>
      <c r="W1013" s="4"/>
      <c r="X1013" s="5"/>
      <c r="Y1013" s="4"/>
      <c r="Z1013" s="4"/>
      <c r="AA1013" s="4"/>
      <c r="AB1013" s="4"/>
      <c r="AC1013" s="69"/>
      <c r="AD1013" s="69"/>
      <c r="AE1013" s="91"/>
      <c r="AF1013" s="91"/>
      <c r="AG1013" s="69"/>
      <c r="AH1013" s="69"/>
      <c r="AI1013" s="69"/>
    </row>
    <row r="1014">
      <c r="A1014" s="4"/>
      <c r="B1014" s="4"/>
      <c r="C1014" s="4"/>
      <c r="D1014" s="4"/>
      <c r="E1014" s="4"/>
      <c r="F1014" s="4"/>
      <c r="G1014" s="4"/>
      <c r="H1014" s="4"/>
      <c r="I1014" s="92" t="s">
        <v>139</v>
      </c>
      <c r="J1014" s="92" t="s">
        <v>126</v>
      </c>
      <c r="L1014" s="4"/>
      <c r="M1014" s="4"/>
      <c r="N1014" s="4"/>
      <c r="O1014" s="7"/>
      <c r="Q1014" s="7"/>
      <c r="R1014" s="3"/>
      <c r="S1014" s="3"/>
      <c r="T1014" s="4"/>
      <c r="U1014" s="4"/>
      <c r="V1014" s="5"/>
      <c r="W1014" s="4"/>
      <c r="X1014" s="5"/>
      <c r="Y1014" s="4"/>
      <c r="Z1014" s="4"/>
      <c r="AA1014" s="4"/>
      <c r="AB1014" s="4"/>
      <c r="AC1014" s="69"/>
      <c r="AD1014" s="69"/>
      <c r="AE1014" s="91"/>
      <c r="AF1014" s="91"/>
      <c r="AG1014" s="69"/>
      <c r="AH1014" s="69"/>
      <c r="AI1014" s="69"/>
    </row>
    <row r="1015">
      <c r="A1015" s="4"/>
      <c r="B1015" s="4"/>
      <c r="C1015" s="4"/>
      <c r="D1015" s="4"/>
      <c r="E1015" s="4"/>
      <c r="F1015" s="4"/>
      <c r="G1015" s="4"/>
      <c r="H1015" s="4"/>
      <c r="I1015" s="92" t="s">
        <v>140</v>
      </c>
      <c r="J1015" s="92" t="s">
        <v>103</v>
      </c>
      <c r="L1015" s="4"/>
      <c r="M1015" s="4"/>
      <c r="N1015" s="4"/>
      <c r="O1015" s="7"/>
      <c r="Q1015" s="7"/>
      <c r="R1015" s="3"/>
      <c r="S1015" s="3"/>
      <c r="T1015" s="4"/>
      <c r="U1015" s="4"/>
      <c r="V1015" s="5"/>
      <c r="W1015" s="4"/>
      <c r="X1015" s="5"/>
      <c r="Y1015" s="4"/>
      <c r="Z1015" s="4"/>
      <c r="AA1015" s="4"/>
      <c r="AB1015" s="4"/>
      <c r="AC1015" s="69"/>
      <c r="AD1015" s="69"/>
      <c r="AE1015" s="91"/>
      <c r="AF1015" s="91"/>
      <c r="AG1015" s="69"/>
      <c r="AH1015" s="69"/>
      <c r="AI1015" s="69"/>
    </row>
    <row r="1016">
      <c r="A1016" s="4"/>
      <c r="B1016" s="4"/>
      <c r="C1016" s="4"/>
      <c r="D1016" s="4"/>
      <c r="E1016" s="4"/>
      <c r="F1016" s="4"/>
      <c r="G1016" s="4"/>
      <c r="H1016" s="4"/>
      <c r="I1016" s="92" t="s">
        <v>141</v>
      </c>
      <c r="J1016" s="92" t="s">
        <v>103</v>
      </c>
      <c r="L1016" s="4"/>
      <c r="M1016" s="4"/>
      <c r="N1016" s="4"/>
      <c r="O1016" s="7"/>
      <c r="Q1016" s="7"/>
      <c r="R1016" s="3"/>
      <c r="S1016" s="3"/>
      <c r="T1016" s="4"/>
      <c r="U1016" s="4"/>
      <c r="V1016" s="5"/>
      <c r="W1016" s="4"/>
      <c r="X1016" s="5"/>
      <c r="Y1016" s="4"/>
      <c r="Z1016" s="4"/>
      <c r="AA1016" s="4"/>
      <c r="AB1016" s="4"/>
      <c r="AC1016" s="69"/>
      <c r="AD1016" s="69"/>
      <c r="AE1016" s="91"/>
      <c r="AF1016" s="91"/>
      <c r="AG1016" s="69"/>
      <c r="AH1016" s="69"/>
      <c r="AI1016" s="69"/>
    </row>
    <row r="1017">
      <c r="A1017" s="4"/>
      <c r="B1017" s="4"/>
      <c r="C1017" s="4"/>
      <c r="D1017" s="4"/>
      <c r="E1017" s="4"/>
      <c r="F1017" s="4"/>
      <c r="G1017" s="4"/>
      <c r="H1017" s="4"/>
      <c r="I1017" s="92" t="s">
        <v>142</v>
      </c>
      <c r="J1017" s="92" t="s">
        <v>103</v>
      </c>
      <c r="L1017" s="4"/>
      <c r="M1017" s="4"/>
      <c r="N1017" s="4"/>
      <c r="O1017" s="7"/>
      <c r="Q1017" s="7"/>
      <c r="R1017" s="3"/>
      <c r="S1017" s="3"/>
      <c r="T1017" s="4"/>
      <c r="U1017" s="4"/>
      <c r="V1017" s="5"/>
      <c r="W1017" s="4"/>
      <c r="X1017" s="5"/>
      <c r="Y1017" s="4"/>
      <c r="Z1017" s="4"/>
      <c r="AA1017" s="4"/>
      <c r="AB1017" s="4"/>
      <c r="AC1017" s="69"/>
      <c r="AD1017" s="69"/>
      <c r="AE1017" s="91"/>
      <c r="AF1017" s="91"/>
      <c r="AG1017" s="69"/>
      <c r="AH1017" s="69"/>
      <c r="AI1017" s="69"/>
    </row>
    <row r="1018">
      <c r="A1018" s="4"/>
      <c r="B1018" s="4"/>
      <c r="C1018" s="4"/>
      <c r="D1018" s="4"/>
      <c r="E1018" s="4"/>
      <c r="F1018" s="4"/>
      <c r="G1018" s="4"/>
      <c r="H1018" s="4"/>
      <c r="I1018" s="92" t="s">
        <v>104</v>
      </c>
      <c r="J1018" s="92" t="s">
        <v>126</v>
      </c>
      <c r="L1018" s="4"/>
      <c r="M1018" s="4"/>
      <c r="N1018" s="4"/>
      <c r="O1018" s="7"/>
      <c r="Q1018" s="7"/>
      <c r="R1018" s="3"/>
      <c r="S1018" s="3"/>
      <c r="T1018" s="4"/>
      <c r="U1018" s="4"/>
      <c r="V1018" s="5"/>
      <c r="W1018" s="4"/>
      <c r="X1018" s="5"/>
      <c r="Y1018" s="4"/>
      <c r="Z1018" s="4"/>
      <c r="AA1018" s="4"/>
      <c r="AB1018" s="4"/>
      <c r="AC1018" s="69"/>
      <c r="AD1018" s="69"/>
      <c r="AE1018" s="91"/>
      <c r="AF1018" s="91"/>
      <c r="AG1018" s="69"/>
      <c r="AH1018" s="69"/>
      <c r="AI1018" s="69"/>
    </row>
    <row r="1019">
      <c r="A1019" s="4"/>
      <c r="B1019" s="4"/>
      <c r="C1019" s="4"/>
      <c r="D1019" s="4"/>
      <c r="E1019" s="4"/>
      <c r="F1019" s="4"/>
      <c r="G1019" s="4"/>
      <c r="H1019" s="4"/>
      <c r="I1019" s="92" t="s">
        <v>143</v>
      </c>
      <c r="J1019" s="92" t="s">
        <v>126</v>
      </c>
      <c r="L1019" s="4"/>
      <c r="M1019" s="4"/>
      <c r="N1019" s="4"/>
      <c r="O1019" s="7"/>
      <c r="Q1019" s="7"/>
      <c r="R1019" s="3"/>
      <c r="S1019" s="3"/>
      <c r="T1019" s="4"/>
      <c r="U1019" s="4"/>
      <c r="V1019" s="5"/>
      <c r="W1019" s="4"/>
      <c r="X1019" s="5"/>
      <c r="Y1019" s="4"/>
      <c r="Z1019" s="4"/>
      <c r="AA1019" s="4"/>
      <c r="AB1019" s="4"/>
      <c r="AC1019" s="69"/>
      <c r="AD1019" s="69"/>
      <c r="AE1019" s="91"/>
      <c r="AF1019" s="91"/>
      <c r="AG1019" s="69"/>
      <c r="AH1019" s="69"/>
      <c r="AI1019" s="69"/>
    </row>
    <row r="1020">
      <c r="A1020" s="4"/>
      <c r="B1020" s="4"/>
      <c r="C1020" s="4"/>
      <c r="D1020" s="4"/>
      <c r="E1020" s="4"/>
      <c r="F1020" s="4"/>
      <c r="G1020" s="4"/>
      <c r="H1020" s="4"/>
      <c r="I1020" s="92"/>
      <c r="J1020" s="92"/>
      <c r="L1020" s="4"/>
      <c r="M1020" s="4"/>
      <c r="N1020" s="4"/>
      <c r="O1020" s="7"/>
      <c r="Q1020" s="7"/>
      <c r="R1020" s="3"/>
      <c r="S1020" s="3"/>
      <c r="T1020" s="4"/>
      <c r="U1020" s="4"/>
      <c r="V1020" s="5"/>
      <c r="W1020" s="4"/>
      <c r="X1020" s="5"/>
      <c r="Y1020" s="4"/>
      <c r="Z1020" s="4"/>
      <c r="AA1020" s="4"/>
      <c r="AB1020" s="4"/>
      <c r="AC1020" s="69"/>
      <c r="AD1020" s="69"/>
      <c r="AE1020" s="91"/>
      <c r="AF1020" s="91"/>
      <c r="AG1020" s="69"/>
      <c r="AH1020" s="69"/>
      <c r="AI1020" s="69"/>
    </row>
    <row r="1021">
      <c r="A1021" s="4"/>
      <c r="B1021" s="4"/>
      <c r="C1021" s="4"/>
      <c r="D1021" s="4"/>
      <c r="E1021" s="4"/>
      <c r="F1021" s="4"/>
      <c r="G1021" s="4"/>
      <c r="H1021" s="4"/>
      <c r="I1021" s="92"/>
      <c r="J1021" s="92"/>
      <c r="L1021" s="4"/>
      <c r="M1021" s="4"/>
      <c r="N1021" s="4"/>
      <c r="O1021" s="7"/>
      <c r="Q1021" s="7"/>
      <c r="R1021" s="3"/>
      <c r="S1021" s="3"/>
      <c r="T1021" s="4"/>
      <c r="U1021" s="4"/>
      <c r="V1021" s="5"/>
      <c r="W1021" s="4"/>
      <c r="X1021" s="5"/>
      <c r="Y1021" s="4"/>
      <c r="Z1021" s="4"/>
      <c r="AA1021" s="4"/>
      <c r="AB1021" s="4"/>
      <c r="AC1021" s="69"/>
      <c r="AD1021" s="69"/>
      <c r="AE1021" s="91"/>
      <c r="AF1021" s="91"/>
      <c r="AG1021" s="69"/>
      <c r="AH1021" s="69"/>
      <c r="AI1021" s="69"/>
    </row>
    <row r="1022">
      <c r="A1022" s="4"/>
      <c r="B1022" s="4"/>
      <c r="C1022" s="4"/>
      <c r="D1022" s="4"/>
      <c r="E1022" s="4"/>
      <c r="F1022" s="4"/>
      <c r="G1022" s="4"/>
      <c r="H1022" s="4"/>
      <c r="I1022" s="92"/>
      <c r="J1022" s="92"/>
      <c r="L1022" s="4"/>
      <c r="M1022" s="4"/>
      <c r="N1022" s="4"/>
      <c r="O1022" s="7"/>
      <c r="Q1022" s="7"/>
      <c r="R1022" s="3"/>
      <c r="S1022" s="3"/>
      <c r="T1022" s="4"/>
      <c r="U1022" s="4"/>
      <c r="V1022" s="5"/>
      <c r="W1022" s="4"/>
      <c r="X1022" s="5"/>
      <c r="Y1022" s="4"/>
      <c r="Z1022" s="4"/>
      <c r="AA1022" s="4"/>
      <c r="AB1022" s="4"/>
      <c r="AC1022" s="69"/>
      <c r="AD1022" s="69"/>
      <c r="AE1022" s="91"/>
      <c r="AF1022" s="91"/>
      <c r="AG1022" s="69"/>
      <c r="AH1022" s="69"/>
      <c r="AI1022" s="69"/>
    </row>
    <row r="1023">
      <c r="A1023" s="4"/>
      <c r="B1023" s="4"/>
      <c r="C1023" s="4"/>
      <c r="D1023" s="4"/>
      <c r="E1023" s="4"/>
      <c r="F1023" s="4"/>
      <c r="G1023" s="4"/>
      <c r="H1023" s="4"/>
      <c r="I1023" s="92"/>
      <c r="J1023" s="92"/>
      <c r="L1023" s="4"/>
      <c r="M1023" s="4"/>
      <c r="N1023" s="4"/>
      <c r="O1023" s="7"/>
      <c r="Q1023" s="7"/>
      <c r="R1023" s="3"/>
      <c r="S1023" s="3"/>
      <c r="T1023" s="4"/>
      <c r="U1023" s="4"/>
      <c r="V1023" s="5"/>
      <c r="W1023" s="4"/>
      <c r="X1023" s="5"/>
      <c r="Y1023" s="4"/>
      <c r="Z1023" s="4"/>
      <c r="AA1023" s="4"/>
      <c r="AB1023" s="4"/>
      <c r="AC1023" s="69"/>
      <c r="AD1023" s="69"/>
      <c r="AE1023" s="91"/>
      <c r="AF1023" s="91"/>
      <c r="AG1023" s="69"/>
      <c r="AH1023" s="69"/>
      <c r="AI1023" s="69"/>
    </row>
    <row r="1024">
      <c r="A1024" s="4"/>
      <c r="B1024" s="4"/>
      <c r="C1024" s="4"/>
      <c r="D1024" s="4"/>
      <c r="E1024" s="4"/>
      <c r="F1024" s="4"/>
      <c r="G1024" s="4"/>
      <c r="H1024" s="4"/>
      <c r="I1024" s="92"/>
      <c r="J1024" s="92"/>
      <c r="L1024" s="4"/>
      <c r="M1024" s="4"/>
      <c r="N1024" s="4"/>
      <c r="O1024" s="7"/>
      <c r="Q1024" s="7"/>
      <c r="R1024" s="3"/>
      <c r="S1024" s="3"/>
      <c r="T1024" s="4"/>
      <c r="U1024" s="4"/>
      <c r="V1024" s="5"/>
      <c r="W1024" s="4"/>
      <c r="X1024" s="5"/>
      <c r="Y1024" s="4"/>
      <c r="Z1024" s="4"/>
      <c r="AA1024" s="4"/>
      <c r="AB1024" s="4"/>
      <c r="AC1024" s="69"/>
      <c r="AD1024" s="69"/>
      <c r="AE1024" s="91"/>
      <c r="AF1024" s="91"/>
      <c r="AG1024" s="69"/>
      <c r="AH1024" s="69"/>
      <c r="AI1024" s="69"/>
    </row>
    <row r="1025">
      <c r="A1025" s="4"/>
      <c r="B1025" s="4"/>
      <c r="C1025" s="4"/>
      <c r="D1025" s="4"/>
      <c r="E1025" s="4"/>
      <c r="F1025" s="4"/>
      <c r="G1025" s="4"/>
      <c r="H1025" s="4"/>
      <c r="I1025" s="92"/>
      <c r="J1025" s="92"/>
      <c r="L1025" s="4"/>
      <c r="M1025" s="4"/>
      <c r="N1025" s="4"/>
      <c r="O1025" s="7"/>
      <c r="Q1025" s="7"/>
      <c r="R1025" s="3"/>
      <c r="S1025" s="3"/>
      <c r="T1025" s="4"/>
      <c r="U1025" s="4"/>
      <c r="V1025" s="5"/>
      <c r="W1025" s="4"/>
      <c r="X1025" s="5"/>
      <c r="Y1025" s="4"/>
      <c r="Z1025" s="4"/>
      <c r="AA1025" s="4"/>
      <c r="AB1025" s="4"/>
      <c r="AC1025" s="69"/>
      <c r="AD1025" s="69"/>
      <c r="AE1025" s="91"/>
      <c r="AF1025" s="91"/>
      <c r="AG1025" s="69"/>
      <c r="AH1025" s="69"/>
      <c r="AI1025" s="69"/>
    </row>
    <row r="1026">
      <c r="A1026" s="4"/>
      <c r="B1026" s="4"/>
      <c r="C1026" s="4"/>
      <c r="D1026" s="4"/>
      <c r="E1026" s="4"/>
      <c r="F1026" s="4"/>
      <c r="G1026" s="4"/>
      <c r="H1026" s="4"/>
      <c r="I1026" s="92"/>
      <c r="J1026" s="92"/>
      <c r="L1026" s="4"/>
      <c r="M1026" s="4"/>
      <c r="N1026" s="4"/>
      <c r="O1026" s="7"/>
      <c r="Q1026" s="7"/>
      <c r="R1026" s="3"/>
      <c r="S1026" s="3"/>
      <c r="T1026" s="4"/>
      <c r="U1026" s="4"/>
      <c r="V1026" s="5"/>
      <c r="W1026" s="4"/>
      <c r="X1026" s="5"/>
      <c r="Y1026" s="4"/>
      <c r="Z1026" s="4"/>
      <c r="AA1026" s="4"/>
      <c r="AB1026" s="4"/>
      <c r="AC1026" s="69"/>
      <c r="AD1026" s="69"/>
      <c r="AE1026" s="91"/>
      <c r="AF1026" s="91"/>
      <c r="AG1026" s="69"/>
      <c r="AH1026" s="69"/>
      <c r="AI1026" s="69"/>
    </row>
    <row r="1027">
      <c r="A1027" s="4"/>
      <c r="B1027" s="4"/>
      <c r="C1027" s="4"/>
      <c r="D1027" s="4"/>
      <c r="E1027" s="4"/>
      <c r="F1027" s="4"/>
      <c r="G1027" s="4"/>
      <c r="H1027" s="4"/>
      <c r="I1027" s="92"/>
      <c r="J1027" s="92"/>
      <c r="L1027" s="4"/>
      <c r="M1027" s="4"/>
      <c r="N1027" s="4"/>
      <c r="O1027" s="7"/>
      <c r="Q1027" s="7"/>
      <c r="R1027" s="3"/>
      <c r="S1027" s="3"/>
      <c r="T1027" s="4"/>
      <c r="U1027" s="4"/>
      <c r="V1027" s="5"/>
      <c r="W1027" s="4"/>
      <c r="X1027" s="5"/>
      <c r="Y1027" s="4"/>
      <c r="Z1027" s="4"/>
      <c r="AA1027" s="4"/>
      <c r="AB1027" s="4"/>
      <c r="AC1027" s="69"/>
      <c r="AD1027" s="69"/>
      <c r="AE1027" s="91"/>
      <c r="AF1027" s="91"/>
      <c r="AG1027" s="69"/>
      <c r="AH1027" s="69"/>
      <c r="AI1027" s="69"/>
    </row>
    <row r="1028">
      <c r="A1028" s="4"/>
      <c r="B1028" s="4"/>
      <c r="C1028" s="4"/>
      <c r="D1028" s="4"/>
      <c r="E1028" s="4"/>
      <c r="F1028" s="4"/>
      <c r="G1028" s="4"/>
      <c r="H1028" s="4"/>
      <c r="I1028" s="92"/>
      <c r="J1028" s="92"/>
      <c r="L1028" s="4"/>
      <c r="M1028" s="4"/>
      <c r="N1028" s="4"/>
      <c r="O1028" s="7"/>
      <c r="Q1028" s="7"/>
      <c r="R1028" s="3"/>
      <c r="S1028" s="3"/>
      <c r="T1028" s="4"/>
      <c r="U1028" s="4"/>
      <c r="V1028" s="5"/>
      <c r="W1028" s="4"/>
      <c r="X1028" s="5"/>
      <c r="Y1028" s="4"/>
      <c r="Z1028" s="4"/>
      <c r="AA1028" s="4"/>
      <c r="AB1028" s="4"/>
      <c r="AC1028" s="69"/>
      <c r="AD1028" s="69"/>
      <c r="AE1028" s="91"/>
      <c r="AF1028" s="91"/>
      <c r="AG1028" s="69"/>
      <c r="AH1028" s="69"/>
      <c r="AI1028" s="69"/>
    </row>
    <row r="1029">
      <c r="A1029" s="4"/>
      <c r="B1029" s="4"/>
      <c r="C1029" s="4"/>
      <c r="D1029" s="4"/>
      <c r="E1029" s="4"/>
      <c r="F1029" s="4"/>
      <c r="G1029" s="4"/>
      <c r="H1029" s="4"/>
      <c r="I1029" s="92"/>
      <c r="J1029" s="92"/>
      <c r="L1029" s="4"/>
      <c r="M1029" s="4"/>
      <c r="N1029" s="4"/>
      <c r="O1029" s="7"/>
      <c r="Q1029" s="7"/>
      <c r="R1029" s="3"/>
      <c r="S1029" s="3"/>
      <c r="T1029" s="4"/>
      <c r="U1029" s="4"/>
      <c r="V1029" s="5"/>
      <c r="W1029" s="4"/>
      <c r="X1029" s="5"/>
      <c r="Y1029" s="4"/>
      <c r="Z1029" s="4"/>
      <c r="AA1029" s="4"/>
      <c r="AB1029" s="4"/>
      <c r="AC1029" s="69"/>
      <c r="AD1029" s="69"/>
      <c r="AE1029" s="91"/>
      <c r="AF1029" s="91"/>
      <c r="AG1029" s="69"/>
      <c r="AH1029" s="69"/>
      <c r="AI1029" s="69"/>
    </row>
  </sheetData>
  <conditionalFormatting sqref="A11:A499">
    <cfRule type="containsText" dxfId="0" priority="1" operator="containsText" text="Error">
      <formula>NOT(ISERROR(SEARCH(("Error"),(A11))))</formula>
    </cfRule>
  </conditionalFormatting>
  <conditionalFormatting sqref="T11:T503">
    <cfRule type="notContainsBlanks" dxfId="1" priority="2">
      <formula>LEN(TRIM(T11))&gt;0</formula>
    </cfRule>
  </conditionalFormatting>
  <dataValidations>
    <dataValidation type="list" allowBlank="1" sqref="AA570 Z571">
      <formula1>XDO_NOT_DELETE!$A$561:$Z$561</formula1>
    </dataValidation>
    <dataValidation type="list" allowBlank="1" sqref="AA700 Z701">
      <formula1>XDO_NOT_DELETE!$A$691:$Z$691</formula1>
    </dataValidation>
    <dataValidation type="list" allowBlank="1" sqref="AA962 Z963">
      <formula1>XDO_NOT_DELETE!$A$953:$Z$953</formula1>
    </dataValidation>
    <dataValidation type="list" allowBlank="1" sqref="AA526 Z527">
      <formula1>XDO_NOT_DELETE!$A$517:$Z$517</formula1>
    </dataValidation>
    <dataValidation type="list" allowBlank="1" sqref="AA656 Z657">
      <formula1>XDO_NOT_DELETE!$A$647:$Z$647</formula1>
    </dataValidation>
    <dataValidation type="list" allowBlank="1" sqref="AA786 Z787">
      <formula1>XDO_NOT_DELETE!$A$777:$Z$777</formula1>
    </dataValidation>
    <dataValidation type="list" allowBlank="1" sqref="AA918 Z919">
      <formula1>XDO_NOT_DELETE!$A$909:$Z$909</formula1>
    </dataValidation>
    <dataValidation type="list" allowBlank="1" sqref="AA832 Z833">
      <formula1>XDO_NOT_DELETE!$A$823:$Z$823</formula1>
    </dataValidation>
    <dataValidation type="list" allowBlank="1" sqref="AA685 Z686">
      <formula1>XDO_NOT_DELETE!$A$676:$Z$676</formula1>
    </dataValidation>
    <dataValidation type="list" allowBlank="1" sqref="AA555 Z556">
      <formula1>XDO_NOT_DELETE!$A$546:$Z$546</formula1>
    </dataValidation>
    <dataValidation type="list" allowBlank="1" sqref="AA817 Z818">
      <formula1>XDO_NOT_DELETE!$A$808:$Z$808</formula1>
    </dataValidation>
    <dataValidation type="list" allowBlank="1" sqref="AA947 Z948">
      <formula1>XDO_NOT_DELETE!$A$938:$Z$938</formula1>
    </dataValidation>
    <dataValidation type="list" allowBlank="1" sqref="AA599 Z600">
      <formula1>XDO_NOT_DELETE!$A$590:$Z$590</formula1>
    </dataValidation>
    <dataValidation type="list" allowBlank="1" sqref="AA731 Z732">
      <formula1>XDO_NOT_DELETE!$A$722:$Z$722</formula1>
    </dataValidation>
    <dataValidation type="list" allowBlank="1" sqref="AA861 Z862">
      <formula1>XDO_NOT_DELETE!$A$852:$Z$852</formula1>
    </dataValidation>
    <dataValidation type="list" allowBlank="1" sqref="AA991 Z992">
      <formula1>XDO_NOT_DELETE!$A$982:$Z$982</formula1>
    </dataValidation>
    <dataValidation type="list" allowBlank="1" sqref="AA1016 Z1017:AA1017 AA1018:AA1029">
      <formula1>XDO_NOT_DELETE!$A$1007:$Z$1007</formula1>
    </dataValidation>
    <dataValidation type="list" allowBlank="1" sqref="Z513">
      <formula1>XDO_NOT_DELETE!$A$503:$Z$503</formula1>
    </dataValidation>
    <dataValidation type="list" allowBlank="1" sqref="AA642 Z643">
      <formula1>XDO_NOT_DELETE!$A$633:$Z$633</formula1>
    </dataValidation>
    <dataValidation type="list" allowBlank="1" sqref="AA772 Z773">
      <formula1>XDO_NOT_DELETE!$A$763:$Z$763</formula1>
    </dataValidation>
    <dataValidation type="list" allowBlank="1" sqref="AA902 Z903">
      <formula1>XDO_NOT_DELETE!$A$893:$Z$893</formula1>
    </dataValidation>
    <dataValidation type="list" allowBlank="1" sqref="AA584 Z585">
      <formula1>XDO_NOT_DELETE!$A$575:$Z$575</formula1>
    </dataValidation>
    <dataValidation type="list" allowBlank="1" sqref="AA596 Z597">
      <formula1>XDO_NOT_DELETE!$A$587:$Z$587</formula1>
    </dataValidation>
    <dataValidation type="list" allowBlank="1" sqref="AA890 Z891">
      <formula1>XDO_NOT_DELETE!$A$881:$Z$881</formula1>
    </dataValidation>
    <dataValidation type="list" allowBlank="1" sqref="AA630 Z631">
      <formula1>XDO_NOT_DELETE!$A$621:$Z$621</formula1>
    </dataValidation>
    <dataValidation type="list" allowBlank="1" sqref="AA760 Z761">
      <formula1>XDO_NOT_DELETE!$A$751:$Z$751</formula1>
    </dataValidation>
    <dataValidation type="list" allowBlank="1" sqref="AA919 Z920">
      <formula1>XDO_NOT_DELETE!$A$910:$Z$910</formula1>
    </dataValidation>
    <dataValidation type="list" allowBlank="1" sqref="AA801 Z802">
      <formula1>XDO_NOT_DELETE!$A$792:$Z$792</formula1>
    </dataValidation>
    <dataValidation type="list" allowBlank="1" sqref="AA541 Z542">
      <formula1>XDO_NOT_DELETE!$A$532:$Z$532</formula1>
    </dataValidation>
    <dataValidation type="list" allowBlank="1" sqref="AA671 Z672">
      <formula1>XDO_NOT_DELETE!$A$662:$Z$662</formula1>
    </dataValidation>
    <dataValidation type="list" allowBlank="1" sqref="AA529 Z530">
      <formula1>XDO_NOT_DELETE!$A$520:$Z$520</formula1>
    </dataValidation>
    <dataValidation type="list" allowBlank="1" sqref="AA659 Z660">
      <formula1>XDO_NOT_DELETE!$A$650:$Z$650</formula1>
    </dataValidation>
    <dataValidation type="list" allowBlank="1" sqref="AA789 Z790">
      <formula1>XDO_NOT_DELETE!$A$780:$Z$780</formula1>
    </dataValidation>
    <dataValidation type="list" allowBlank="1" sqref="AA538 Z539">
      <formula1>XDO_NOT_DELETE!$A$529:$Z$529</formula1>
    </dataValidation>
    <dataValidation type="list" allowBlank="1" sqref="AA798 Z799">
      <formula1>XDO_NOT_DELETE!$A$789:$Z$789</formula1>
    </dataValidation>
    <dataValidation type="list" allowBlank="1" sqref="AA582 Z583">
      <formula1>XDO_NOT_DELETE!$A$573:$Z$573</formula1>
    </dataValidation>
    <dataValidation type="list" allowBlank="1" sqref="AA714 Z715">
      <formula1>XDO_NOT_DELETE!$A$705:$Z$705</formula1>
    </dataValidation>
    <dataValidation type="list" allowBlank="1" sqref="AA974 Z975">
      <formula1>XDO_NOT_DELETE!$A$965:$Z$965</formula1>
    </dataValidation>
    <dataValidation type="list" allowBlank="1" sqref="AA950 Z951">
      <formula1>XDO_NOT_DELETE!$A$941:$Z$941</formula1>
    </dataValidation>
    <dataValidation type="list" allowBlank="1" sqref="AA598 Z599">
      <formula1>XDO_NOT_DELETE!$A$589:$Z$589</formula1>
    </dataValidation>
    <dataValidation type="list" allowBlank="1" sqref="AA774 Z775">
      <formula1>XDO_NOT_DELETE!$A$765:$Z$765</formula1>
    </dataValidation>
    <dataValidation type="list" allowBlank="1" sqref="Z515">
      <formula1>XDO_NOT_DELETE!$A$505:$Z$505</formula1>
    </dataValidation>
    <dataValidation type="list" allowBlank="1" sqref="AA729 Z730">
      <formula1>XDO_NOT_DELETE!$A$720:$Z$720</formula1>
    </dataValidation>
    <dataValidation type="list" allowBlank="1" sqref="AA989 Z990">
      <formula1>XDO_NOT_DELETE!$A$980:$Z$980</formula1>
    </dataValidation>
    <dataValidation type="list" allowBlank="1" sqref="AA743 Z744">
      <formula1>XDO_NOT_DELETE!$A$734:$Z$734</formula1>
    </dataValidation>
    <dataValidation type="list" allowBlank="1" sqref="AA1003 Z1004">
      <formula1>XDO_NOT_DELETE!$A$994:$Z$994</formula1>
    </dataValidation>
    <dataValidation type="list" allowBlank="1" sqref="AA719 Z720">
      <formula1>XDO_NOT_DELETE!$A$710:$Z$710</formula1>
    </dataValidation>
    <dataValidation type="list" allowBlank="1" sqref="AA979 Z980">
      <formula1>XDO_NOT_DELETE!$A$970:$Z$970</formula1>
    </dataValidation>
    <dataValidation type="list" allowBlank="1" sqref="AA567 Z568">
      <formula1>XDO_NOT_DELETE!$A$558:$Z$558</formula1>
    </dataValidation>
    <dataValidation type="list" allowBlank="1" sqref="AA543 Z544">
      <formula1>XDO_NOT_DELETE!$A$534:$Z$534</formula1>
    </dataValidation>
    <dataValidation type="list" allowBlank="1" sqref="AA803 Z804">
      <formula1>XDO_NOT_DELETE!$A$794:$Z$794</formula1>
    </dataValidation>
    <dataValidation type="list" allowBlank="1" sqref="AA916 Z917">
      <formula1>XDO_NOT_DELETE!$A$907:$Z$907</formula1>
    </dataValidation>
    <dataValidation type="list" allowBlank="1" sqref="AA976 Z977">
      <formula1>XDO_NOT_DELETE!$A$967:$Z$967</formula1>
    </dataValidation>
    <dataValidation type="list" allowBlank="1" sqref="AA858 Z859">
      <formula1>XDO_NOT_DELETE!$A$849:$Z$849</formula1>
    </dataValidation>
    <dataValidation type="list" allowBlank="1" sqref="AA834 Z835">
      <formula1>XDO_NOT_DELETE!$A$825:$Z$825</formula1>
    </dataValidation>
    <dataValidation type="list" allowBlank="1" sqref="AA716 Z717">
      <formula1>XDO_NOT_DELETE!$A$707:$Z$707</formula1>
    </dataValidation>
    <dataValidation type="list" allowBlank="1" sqref="AA669 Z670">
      <formula1>XDO_NOT_DELETE!$A$660:$Z$660</formula1>
    </dataValidation>
    <dataValidation type="list" allowBlank="1" sqref="AA658 Z659">
      <formula1>XDO_NOT_DELETE!$A$649:$Z$649</formula1>
    </dataValidation>
    <dataValidation type="list" allowBlank="1" showErrorMessage="1" sqref="W500:W520">
      <formula1>'Data Validation'!$L$2:$L$20</formula1>
    </dataValidation>
    <dataValidation type="list" allowBlank="1" sqref="AA945 Z946">
      <formula1>XDO_NOT_DELETE!$A$936:$Z$936</formula1>
    </dataValidation>
    <dataValidation type="list" allowBlank="1" sqref="AA921 Z922">
      <formula1>XDO_NOT_DELETE!$A$912:$Z$912</formula1>
    </dataValidation>
    <dataValidation type="list" allowBlank="1" sqref="Z1028">
      <formula1>XDO_NOT_DELETE!$A$1018:$Z$1018</formula1>
    </dataValidation>
    <dataValidation type="list" allowBlank="1" sqref="AA627 Z628">
      <formula1>XDO_NOT_DELETE!$A$618:$Z$618</formula1>
    </dataValidation>
    <dataValidation type="list" allowBlank="1" sqref="AA887 Z888">
      <formula1>XDO_NOT_DELETE!$A$878:$Z$878</formula1>
    </dataValidation>
    <dataValidation type="list" allowBlank="1" sqref="AA863 Z864">
      <formula1>XDO_NOT_DELETE!$A$854:$Z$854</formula1>
    </dataValidation>
    <dataValidation type="list" allowBlank="1" sqref="AA745 Z746">
      <formula1>XDO_NOT_DELETE!$A$736:$Z$736</formula1>
    </dataValidation>
    <dataValidation type="list" allowBlank="1" sqref="AA1005 Z1006">
      <formula1>XDO_NOT_DELETE!$A$996:$Z$996</formula1>
    </dataValidation>
    <dataValidation type="list" allowBlank="1" sqref="AA687 Z688">
      <formula1>XDO_NOT_DELETE!$A$678:$Z$678</formula1>
    </dataValidation>
    <dataValidation type="list" allowBlank="1" sqref="Z1023">
      <formula1>XDO_NOT_DELETE!$A$1013:$Z$1013</formula1>
    </dataValidation>
    <dataValidation type="list" allowBlank="1" sqref="AA1001 Z1002">
      <formula1>XDO_NOT_DELETE!$A$992:$Z$992</formula1>
    </dataValidation>
    <dataValidation type="list" allowBlank="1" sqref="Z501">
      <formula1>XDO_NOT_DELETE!$A$491:$Z$491</formula1>
    </dataValidation>
    <dataValidation type="list" allowBlank="1" sqref="AA611 Z612">
      <formula1>XDO_NOT_DELETE!$A$602:$Z$602</formula1>
    </dataValidation>
    <dataValidation type="list" allowBlank="1" sqref="AA762 Z763">
      <formula1>XDO_NOT_DELETE!$A$753:$Z$753</formula1>
    </dataValidation>
    <dataValidation type="list" allowBlank="1" sqref="AA586 Z587">
      <formula1>XDO_NOT_DELETE!$A$577:$Z$577</formula1>
    </dataValidation>
    <dataValidation type="list" allowBlank="1" sqref="AA848 Z849">
      <formula1>XDO_NOT_DELETE!$A$839:$Z$839</formula1>
    </dataValidation>
    <dataValidation type="list" allowBlank="1" sqref="AA978 Z979">
      <formula1>XDO_NOT_DELETE!$A$969:$Z$969</formula1>
    </dataValidation>
    <dataValidation type="list" allowBlank="1" sqref="AA632 Z633">
      <formula1>XDO_NOT_DELETE!$A$623:$Z$623</formula1>
    </dataValidation>
    <dataValidation type="list" allowBlank="1" sqref="Z517">
      <formula1>XDO_NOT_DELETE!$A$507:$Z$507</formula1>
    </dataValidation>
    <dataValidation type="list" allowBlank="1" sqref="AA770 Z771">
      <formula1>XDO_NOT_DELETE!$A$761:$Z$761</formula1>
    </dataValidation>
    <dataValidation type="list" allowBlank="1" sqref="AA900 Z901">
      <formula1>XDO_NOT_DELETE!$A$891:$Z$891</formula1>
    </dataValidation>
    <dataValidation type="list" allowBlank="1" sqref="AA594 Z595">
      <formula1>XDO_NOT_DELETE!$A$585:$Z$585</formula1>
    </dataValidation>
    <dataValidation type="list" allowBlank="1" sqref="AA856 Z857">
      <formula1>XDO_NOT_DELETE!$A$847:$Z$847</formula1>
    </dataValidation>
    <dataValidation type="list" allowBlank="1" sqref="AA986 Z987">
      <formula1>XDO_NOT_DELETE!$A$977:$Z$977</formula1>
    </dataValidation>
    <dataValidation type="list" allowBlank="1" sqref="AA617 Z618">
      <formula1>XDO_NOT_DELETE!$A$608:$Z$608</formula1>
    </dataValidation>
    <dataValidation type="list" allowBlank="1" sqref="AA747 Z748">
      <formula1>XDO_NOT_DELETE!$A$738:$Z$738</formula1>
    </dataValidation>
    <dataValidation type="list" allowBlank="1" sqref="AA531 Z532">
      <formula1>XDO_NOT_DELETE!$A$522:$Z$522</formula1>
    </dataValidation>
    <dataValidation type="list" allowBlank="1" sqref="AA923 Z924">
      <formula1>XDO_NOT_DELETE!$A$914:$Z$914</formula1>
    </dataValidation>
    <dataValidation type="list" allowBlank="1" sqref="AA524 Z525">
      <formula1>XDO_NOT_DELETE!$A$515:$Z$515</formula1>
    </dataValidation>
    <dataValidation type="list" allowBlank="1" sqref="AA937 Z938">
      <formula1>XDO_NOT_DELETE!$A$928:$Z$928</formula1>
    </dataValidation>
    <dataValidation type="list" allowBlank="1" sqref="AA11:AA499">
      <formula1>'Data Validation'!$B$2:$B$15</formula1>
    </dataValidation>
    <dataValidation type="list" allowBlank="1" sqref="Z1026">
      <formula1>XDO_NOT_DELETE!$A$1016:$Z$1016</formula1>
    </dataValidation>
    <dataValidation type="list" allowBlank="1" sqref="AA943 Z944">
      <formula1>XDO_NOT_DELETE!$A$934:$Z$934</formula1>
    </dataValidation>
    <dataValidation type="list" allowBlank="1" sqref="AA625 Z626">
      <formula1>XDO_NOT_DELETE!$A$616:$Z$616</formula1>
    </dataValidation>
    <dataValidation type="list" allowBlank="1" sqref="AA755 Z756">
      <formula1>XDO_NOT_DELETE!$A$746:$Z$746</formula1>
    </dataValidation>
    <dataValidation type="list" allowBlank="1" sqref="AA690 Z691">
      <formula1>XDO_NOT_DELETE!$A$681:$Z$681</formula1>
    </dataValidation>
    <dataValidation type="list" allowBlank="1" sqref="AA767 Z768">
      <formula1>XDO_NOT_DELETE!$A$758:$Z$758</formula1>
    </dataValidation>
    <dataValidation type="list" allowBlank="1" sqref="AA897 Z898">
      <formula1>XDO_NOT_DELETE!$A$888:$Z$888</formula1>
    </dataValidation>
    <dataValidation type="list" allowBlank="1" sqref="AA931 Z932">
      <formula1>XDO_NOT_DELETE!$A$922:$Z$922</formula1>
    </dataValidation>
    <dataValidation type="list" allowBlank="1" sqref="Z508">
      <formula1>XDO_NOT_DELETE!$A$498:$Z$498</formula1>
    </dataValidation>
    <dataValidation type="list" allowBlank="1" sqref="AA683 Z684">
      <formula1>XDO_NOT_DELETE!$A$674:$Z$674</formula1>
    </dataValidation>
    <dataValidation type="list" allowBlank="1" sqref="AA836 Z837">
      <formula1>XDO_NOT_DELETE!$A$827:$Z$827</formula1>
    </dataValidation>
    <dataValidation type="list" allowBlank="1" sqref="AA601 Z602">
      <formula1>XDO_NOT_DELETE!$A$592:$Z$592</formula1>
    </dataValidation>
    <dataValidation type="list" allowBlank="1" sqref="AA712 Z713">
      <formula1>XDO_NOT_DELETE!$A$703:$Z$703</formula1>
    </dataValidation>
    <dataValidation type="list" allowBlank="1" sqref="AA842 Z843">
      <formula1>XDO_NOT_DELETE!$A$833:$Z$833</formula1>
    </dataValidation>
    <dataValidation type="list" allowBlank="1" sqref="AA666 Z667">
      <formula1>XDO_NOT_DELETE!$A$657:$Z$657</formula1>
    </dataValidation>
    <dataValidation type="list" allowBlank="1" sqref="AA536 Z537">
      <formula1>XDO_NOT_DELETE!$A$527:$Z$527</formula1>
    </dataValidation>
    <dataValidation type="list" allowBlank="1" sqref="AA589 Z590">
      <formula1>XDO_NOT_DELETE!$A$580:$Z$580</formula1>
    </dataValidation>
    <dataValidation type="list" allowBlank="1" sqref="AA668 Z669">
      <formula1>XDO_NOT_DELETE!$A$659:$Z$659</formula1>
    </dataValidation>
    <dataValidation type="list" allowBlank="1" sqref="AA844 Z845">
      <formula1>XDO_NOT_DELETE!$A$835:$Z$835</formula1>
    </dataValidation>
    <dataValidation type="list" allowBlank="1" sqref="AA995 Z996">
      <formula1>XDO_NOT_DELETE!$A$986:$Z$986</formula1>
    </dataValidation>
    <dataValidation type="list" allowBlank="1" sqref="Z1021">
      <formula1>XDO_NOT_DELETE!$A$1011:$Z$1011</formula1>
    </dataValidation>
    <dataValidation type="list" allowBlank="1" sqref="AA623 Z624">
      <formula1>XDO_NOT_DELETE!$A$614:$Z$614</formula1>
    </dataValidation>
    <dataValidation type="list" allowBlank="1" sqref="AA904 Z905">
      <formula1>XDO_NOT_DELETE!$A$895:$Z$895</formula1>
    </dataValidation>
    <dataValidation type="list" allowBlank="1" sqref="AA620 Z621">
      <formula1>XDO_NOT_DELETE!$A$611:$Z$611</formula1>
    </dataValidation>
    <dataValidation type="list" allowBlank="1" sqref="AA859 Z860">
      <formula1>XDO_NOT_DELETE!$A$850:$Z$850</formula1>
    </dataValidation>
    <dataValidation type="list" allowBlank="1" sqref="Z503">
      <formula1>XDO_NOT_DELETE!$A$493:$Z$493</formula1>
    </dataValidation>
    <dataValidation type="list" allowBlank="1" sqref="AA613 Z614">
      <formula1>XDO_NOT_DELETE!$A$604:$Z$604</formula1>
    </dataValidation>
    <dataValidation type="list" allowBlank="1" sqref="AA764 Z765">
      <formula1>XDO_NOT_DELETE!$A$755:$Z$755</formula1>
    </dataValidation>
    <dataValidation type="list" allowBlank="1" sqref="AA940 Z941">
      <formula1>XDO_NOT_DELETE!$A$931:$Z$931</formula1>
    </dataValidation>
    <dataValidation type="list" allowBlank="1" sqref="AA849 Z850">
      <formula1>XDO_NOT_DELETE!$A$840:$Z$840</formula1>
    </dataValidation>
    <dataValidation type="list" allowBlank="1" sqref="AA588 Z589">
      <formula1>XDO_NOT_DELETE!$A$579:$Z$579</formula1>
    </dataValidation>
    <dataValidation type="list" allowBlank="1" sqref="AA935 Z936">
      <formula1>XDO_NOT_DELETE!$A$926:$Z$926</formula1>
    </dataValidation>
    <dataValidation type="list" allowBlank="1" sqref="AA673 Z674">
      <formula1>XDO_NOT_DELETE!$A$664:$Z$664</formula1>
    </dataValidation>
    <dataValidation type="list" allowBlank="1" sqref="AA533 Z534">
      <formula1>XDO_NOT_DELETE!$A$524:$Z$524</formula1>
    </dataValidation>
    <dataValidation type="list" allowBlank="1" sqref="AA675 Z676">
      <formula1>XDO_NOT_DELETE!$A$666:$Z$666</formula1>
    </dataValidation>
    <dataValidation type="list" allowBlank="1" sqref="AA709 Z710">
      <formula1>XDO_NOT_DELETE!$A$700:$Z$700</formula1>
    </dataValidation>
    <dataValidation type="list" allowBlank="1" sqref="AA846 Z847">
      <formula1>XDO_NOT_DELETE!$A$837:$Z$837</formula1>
    </dataValidation>
    <dataValidation type="list" allowBlank="1" sqref="AA988 Z989">
      <formula1>XDO_NOT_DELETE!$A$979:$Z$979</formula1>
    </dataValidation>
    <dataValidation type="list" allowBlank="1" sqref="AA999 Z1000">
      <formula1>XDO_NOT_DELETE!$A$990:$Z$990</formula1>
    </dataValidation>
    <dataValidation type="list" allowBlank="1" sqref="Z506">
      <formula1>XDO_NOT_DELETE!$A$496:$Z$496</formula1>
    </dataValidation>
    <dataValidation type="list" allowBlank="1" sqref="AA681 Z682">
      <formula1>XDO_NOT_DELETE!$A$672:$Z$672</formula1>
    </dataValidation>
    <dataValidation type="list" allowBlank="1" sqref="AA906 Z907">
      <formula1>XDO_NOT_DELETE!$A$897:$Z$897</formula1>
    </dataValidation>
    <dataValidation type="list" allowBlank="1" sqref="AA539 Z540">
      <formula1>XDO_NOT_DELETE!$A$530:$Z$530</formula1>
    </dataValidation>
    <dataValidation type="list" allowBlank="1" sqref="AA528 Z529">
      <formula1>XDO_NOT_DELETE!$A$519:$Z$519</formula1>
    </dataValidation>
    <dataValidation type="list" allowBlank="1" sqref="AA933 Z934">
      <formula1>XDO_NOT_DELETE!$A$924:$Z$924</formula1>
    </dataValidation>
    <dataValidation type="list" allowBlank="1" sqref="AA592 Z593">
      <formula1>XDO_NOT_DELETE!$A$583:$Z$583</formula1>
    </dataValidation>
    <dataValidation type="list" allowBlank="1" sqref="AA757 Z758">
      <formula1>XDO_NOT_DELETE!$A$748:$Z$748</formula1>
    </dataValidation>
    <dataValidation type="list" allowBlank="1" sqref="AA993 Z994">
      <formula1>XDO_NOT_DELETE!$A$984:$Z$984</formula1>
    </dataValidation>
    <dataValidation type="list" allowBlank="1" sqref="AA615 Z616">
      <formula1>XDO_NOT_DELETE!$A$606:$Z$606</formula1>
    </dataValidation>
    <dataValidation type="list" allowBlank="1" sqref="AA851 Z852">
      <formula1>XDO_NOT_DELETE!$A$842:$Z$842</formula1>
    </dataValidation>
    <dataValidation type="list" allowBlank="1" sqref="AA928 Z929">
      <formula1>XDO_NOT_DELETE!$A$919:$Z$919</formula1>
    </dataValidation>
    <dataValidation type="list" allowBlank="1" sqref="AA549 Z550">
      <formula1>XDO_NOT_DELETE!$A$540:$Z$540</formula1>
    </dataValidation>
    <dataValidation type="list" allowBlank="1" sqref="AA811 Z812">
      <formula1>XDO_NOT_DELETE!$A$802:$Z$802</formula1>
    </dataValidation>
    <dataValidation type="list" allowBlank="1" sqref="AA941 Z942">
      <formula1>XDO_NOT_DELETE!$A$932:$Z$932</formula1>
    </dataValidation>
    <dataValidation type="list" allowBlank="1" sqref="AA807 Z808">
      <formula1>XDO_NOT_DELETE!$A$798:$Z$798</formula1>
    </dataValidation>
    <dataValidation type="list" allowBlank="1" sqref="AA591 Z592">
      <formula1>XDO_NOT_DELETE!$A$582:$Z$582</formula1>
    </dataValidation>
    <dataValidation type="list" allowBlank="1" sqref="AA983 Z984">
      <formula1>XDO_NOT_DELETE!$A$974:$Z$974</formula1>
    </dataValidation>
    <dataValidation type="list" allowBlank="1" sqref="AA635 Z636">
      <formula1>XDO_NOT_DELETE!$A$626:$Z$626</formula1>
    </dataValidation>
    <dataValidation type="list" allowBlank="1" sqref="AA765 Z766">
      <formula1>XDO_NOT_DELETE!$A$756:$Z$756</formula1>
    </dataValidation>
    <dataValidation type="list" allowBlank="1" sqref="AA1013 Z1014">
      <formula1>XDO_NOT_DELETE!$A$1004:$Z$1004</formula1>
    </dataValidation>
    <dataValidation type="list" allowBlank="1" sqref="AA534 Z535">
      <formula1>XDO_NOT_DELETE!$A$525:$Z$525</formula1>
    </dataValidation>
    <dataValidation type="list" allowBlank="1" sqref="AA576 Z577">
      <formula1>XDO_NOT_DELETE!$A$567:$Z$567</formula1>
    </dataValidation>
    <dataValidation type="list" allowBlank="1" sqref="AA706 Z707">
      <formula1>XDO_NOT_DELETE!$A$697:$Z$697</formula1>
    </dataValidation>
    <dataValidation type="list" allowBlank="1" sqref="AA838 Z839">
      <formula1>XDO_NOT_DELETE!$A$829:$Z$829</formula1>
    </dataValidation>
    <dataValidation type="list" allowBlank="1" sqref="AA968 Z969">
      <formula1>XDO_NOT_DELETE!$A$959:$Z$959</formula1>
    </dataValidation>
    <dataValidation type="list" allowBlank="1" showErrorMessage="1" sqref="T500:T503">
      <formula1>'Data Validation'!$A$2:$A$31</formula1>
    </dataValidation>
    <dataValidation type="list" allowBlank="1" sqref="AA710 Z711">
      <formula1>XDO_NOT_DELETE!$A$701:$Z$701</formula1>
    </dataValidation>
    <dataValidation type="list" allowBlank="1" sqref="AA882 Z883">
      <formula1>XDO_NOT_DELETE!$A$873:$Z$873</formula1>
    </dataValidation>
    <dataValidation type="list" allowBlank="1" sqref="AA752 Z753">
      <formula1>XDO_NOT_DELETE!$A$743:$Z$743</formula1>
    </dataValidation>
    <dataValidation type="list" allowBlank="1" sqref="Z1024">
      <formula1>XDO_NOT_DELETE!$A$1014:$Z$1014</formula1>
    </dataValidation>
    <dataValidation type="list" allowBlank="1" sqref="AA913 Z914">
      <formula1>XDO_NOT_DELETE!$A$904:$Z$904</formula1>
    </dataValidation>
    <dataValidation type="list" allowBlank="1" sqref="AA837 Z838">
      <formula1>XDO_NOT_DELETE!$A$828:$Z$828</formula1>
    </dataValidation>
    <dataValidation type="list" allowBlank="1" sqref="AA967 Z968">
      <formula1>XDO_NOT_DELETE!$A$958:$Z$958</formula1>
    </dataValidation>
    <dataValidation type="list" allowBlank="1" sqref="AA737 Z738">
      <formula1>XDO_NOT_DELETE!$A$728:$Z$728</formula1>
    </dataValidation>
    <dataValidation type="list" allowBlank="1" sqref="AA867 Z868">
      <formula1>XDO_NOT_DELETE!$A$858:$Z$858</formula1>
    </dataValidation>
    <dataValidation type="list" allowBlank="1" sqref="AA997 Z998">
      <formula1>XDO_NOT_DELETE!$A$988:$Z$988</formula1>
    </dataValidation>
    <dataValidation type="list" allowBlank="1" sqref="AA912 Z913">
      <formula1>XDO_NOT_DELETE!$A$903:$Z$903</formula1>
    </dataValidation>
    <dataValidation type="list" allowBlank="1" sqref="AA812 Z813">
      <formula1>XDO_NOT_DELETE!$A$803:$Z$803</formula1>
    </dataValidation>
    <dataValidation type="list" allowBlank="1" sqref="AA942 Z943">
      <formula1>XDO_NOT_DELETE!$A$933:$Z$933</formula1>
    </dataValidation>
    <dataValidation type="list" allowBlank="1" sqref="AA984 Z985">
      <formula1>XDO_NOT_DELETE!$A$975:$Z$975</formula1>
    </dataValidation>
    <dataValidation type="list" allowBlank="1" sqref="AA996 Z997">
      <formula1>XDO_NOT_DELETE!$A$987:$Z$987</formula1>
    </dataValidation>
    <dataValidation type="list" allowBlank="1" sqref="AA736 Z737">
      <formula1>XDO_NOT_DELETE!$A$727:$Z$727</formula1>
    </dataValidation>
    <dataValidation type="list" allowBlank="1" sqref="AA866 Z867">
      <formula1>XDO_NOT_DELETE!$A$857:$Z$857</formula1>
    </dataValidation>
    <dataValidation type="list" allowBlank="1" showErrorMessage="1" sqref="U11:U500">
      <formula1>'Data Validation'!$F$2:$F$9</formula1>
    </dataValidation>
    <dataValidation type="list" allowBlank="1" sqref="AA636 Z637">
      <formula1>XDO_NOT_DELETE!$A$627:$Z$627</formula1>
    </dataValidation>
    <dataValidation type="list" allowBlank="1" sqref="AA766 Z767">
      <formula1>XDO_NOT_DELETE!$A$757:$Z$757</formula1>
    </dataValidation>
    <dataValidation type="list" allowBlank="1" sqref="AA808 Z809">
      <formula1>XDO_NOT_DELETE!$A$799:$Z$799</formula1>
    </dataValidation>
    <dataValidation type="list" allowBlank="1" sqref="AA603 Z604">
      <formula1>XDO_NOT_DELETE!$A$594:$Z$594</formula1>
    </dataValidation>
    <dataValidation type="list" allowBlank="1" sqref="AA865 Z866">
      <formula1>XDO_NOT_DELETE!$A$856:$Z$856</formula1>
    </dataValidation>
    <dataValidation type="list" allowBlank="1" sqref="AA929 Z930">
      <formula1>XDO_NOT_DELETE!$A$920:$Z$920</formula1>
    </dataValidation>
    <dataValidation type="list" allowBlank="1" sqref="AA577 Z578">
      <formula1>XDO_NOT_DELETE!$A$568:$Z$568</formula1>
    </dataValidation>
    <dataValidation type="list" allowBlank="1" sqref="AA753 Z754">
      <formula1>XDO_NOT_DELETE!$A$744:$Z$744</formula1>
    </dataValidation>
    <dataValidation type="list" allowBlank="1" sqref="AA750 Z751">
      <formula1>XDO_NOT_DELETE!$A$741:$Z$741</formula1>
    </dataValidation>
    <dataValidation type="list" allowBlank="1" sqref="AA634 Z635">
      <formula1>XDO_NOT_DELETE!$A$625:$Z$625</formula1>
    </dataValidation>
    <dataValidation type="list" allowBlank="1" sqref="AA806 Z807">
      <formula1>XDO_NOT_DELETE!$A$797:$Z$797</formula1>
    </dataValidation>
    <dataValidation type="list" allowBlank="1" sqref="AA810 Z811">
      <formula1>XDO_NOT_DELETE!$A$801:$Z$801</formula1>
    </dataValidation>
    <dataValidation type="list" allowBlank="1" sqref="Z1029">
      <formula1>XDO_NOT_DELETE!$A$1019:$Z$1019</formula1>
    </dataValidation>
    <dataValidation type="list" allowBlank="1" sqref="AA982 Z983">
      <formula1>XDO_NOT_DELETE!$A$973:$Z$973</formula1>
    </dataValidation>
    <dataValidation type="list" allowBlank="1" sqref="AA606 Z607">
      <formula1>XDO_NOT_DELETE!$A$597:$Z$597</formula1>
    </dataValidation>
    <dataValidation type="list" allowBlank="1" sqref="AA738 Z739">
      <formula1>XDO_NOT_DELETE!$A$729:$Z$729</formula1>
    </dataValidation>
    <dataValidation type="list" allowBlank="1" sqref="AA998 Z999">
      <formula1>XDO_NOT_DELETE!$A$989:$Z$989</formula1>
    </dataValidation>
    <dataValidation type="list" allowBlank="1" sqref="AA782 Z783">
      <formula1>XDO_NOT_DELETE!$A$773:$Z$773</formula1>
    </dataValidation>
    <dataValidation type="list" allowBlank="1" sqref="AA522 Z523">
      <formula1>XDO_NOT_DELETE!$A$513:$Z$513</formula1>
    </dataValidation>
    <dataValidation type="list" allowBlank="1" sqref="AA914 Z915">
      <formula1>XDO_NOT_DELETE!$A$905:$Z$905</formula1>
    </dataValidation>
    <dataValidation type="list" allowBlank="1" sqref="AA519 Z520">
      <formula1>XDO_NOT_DELETE!$A$510:$Z$510</formula1>
    </dataValidation>
    <dataValidation type="list" allowBlank="1" sqref="AA779 Z780">
      <formula1>XDO_NOT_DELETE!$A$770:$Z$770</formula1>
    </dataValidation>
    <dataValidation type="list" allowBlank="1" sqref="AA805 Z806">
      <formula1>XDO_NOT_DELETE!$A$796:$Z$796</formula1>
    </dataValidation>
    <dataValidation type="list" allowBlank="1" sqref="AA751 Z752">
      <formula1>XDO_NOT_DELETE!$A$742:$Z$742</formula1>
    </dataValidation>
    <dataValidation type="list" allowBlank="1" sqref="AA521 Z522">
      <formula1>XDO_NOT_DELETE!$A$512:$Z$512</formula1>
    </dataValidation>
    <dataValidation type="list" allowBlank="1" sqref="AA605 Z606">
      <formula1>XDO_NOT_DELETE!$A$596:$Z$596</formula1>
    </dataValidation>
    <dataValidation type="list" allowBlank="1" sqref="AA575 Z576">
      <formula1>XDO_NOT_DELETE!$A$566:$Z$566</formula1>
    </dataValidation>
    <dataValidation type="list" allowBlank="1" sqref="AA781 Z782">
      <formula1>XDO_NOT_DELETE!$A$772:$Z$772</formula1>
    </dataValidation>
    <dataValidation type="list" allowBlank="1" sqref="AA899 Z900">
      <formula1>XDO_NOT_DELETE!$A$890:$Z$890</formula1>
    </dataValidation>
    <dataValidation type="list" allowBlank="1" sqref="AA551 Z552">
      <formula1>XDO_NOT_DELETE!$A$542:$Z$542</formula1>
    </dataValidation>
    <dataValidation type="list" allowBlank="1" sqref="AA864 Z865">
      <formula1>XDO_NOT_DELETE!$A$855:$Z$855</formula1>
    </dataValidation>
    <dataValidation type="list" allowBlank="1" sqref="Z1019">
      <formula1>XDO_NOT_DELETE!$A$1009:$Z$1009</formula1>
    </dataValidation>
    <dataValidation type="list" allowBlank="1" sqref="AA520 Z521">
      <formula1>XDO_NOT_DELETE!$A$511:$Z$511</formula1>
    </dataValidation>
    <dataValidation type="list" allowBlank="1" sqref="AA780 Z781">
      <formula1>XDO_NOT_DELETE!$A$771:$Z$771</formula1>
    </dataValidation>
    <dataValidation type="list" allowBlank="1" sqref="Z12">
      <formula1>XDO_NOT_DELETE!$A$1:$Z$1</formula1>
    </dataValidation>
    <dataValidation type="list" allowBlank="1" showErrorMessage="1" sqref="T504:T507">
      <formula1>'Data Validation'!$A$3:$A$31</formula1>
    </dataValidation>
    <dataValidation type="list" allowBlank="1" sqref="AA574 Z575">
      <formula1>XDO_NOT_DELETE!$A$565:$Z$565</formula1>
    </dataValidation>
    <dataValidation type="list" allowBlank="1" sqref="AA550 Z551">
      <formula1>XDO_NOT_DELETE!$A$541:$Z$541</formula1>
    </dataValidation>
    <dataValidation type="list" allowBlank="1" sqref="AA604 Z605">
      <formula1>XDO_NOT_DELETE!$A$595:$Z$595</formula1>
    </dataValidation>
    <dataValidation type="list" allowBlank="1" sqref="AA633 Z634">
      <formula1>XDO_NOT_DELETE!$A$624:$Z$624</formula1>
    </dataValidation>
    <dataValidation type="list" allowBlank="1" sqref="AA809 Z810">
      <formula1>XDO_NOT_DELETE!$A$800:$Z$800</formula1>
    </dataValidation>
    <dataValidation type="list" allowBlank="1" sqref="AA981 Z982">
      <formula1>XDO_NOT_DELETE!$A$972:$Z$972</formula1>
    </dataValidation>
    <dataValidation type="list" allowBlank="1" sqref="Z1018">
      <formula1>XDO_NOT_DELETE!$A$1008:$Z$1008</formula1>
    </dataValidation>
    <dataValidation type="list" allowBlank="1" sqref="AA829 Z830">
      <formula1>XDO_NOT_DELETE!$A$820:$Z$820</formula1>
    </dataValidation>
    <dataValidation type="list" allowBlank="1" sqref="AA980 Z981">
      <formula1>XDO_NOT_DELETE!$A$971:$Z$971</formula1>
    </dataValidation>
    <dataValidation type="list" allowBlank="1" sqref="AA959 Z960">
      <formula1>XDO_NOT_DELETE!$A$950:$Z$950</formula1>
    </dataValidation>
    <dataValidation type="list" allowBlank="1" sqref="AA607 Z608">
      <formula1>XDO_NOT_DELETE!$A$598:$Z$598</formula1>
    </dataValidation>
    <dataValidation type="list" allowBlank="1" sqref="AA718 Z719">
      <formula1>XDO_NOT_DELETE!$A$709:$Z$709</formula1>
    </dataValidation>
    <dataValidation type="list" allowBlank="1" sqref="AA653 Z654">
      <formula1>XDO_NOT_DELETE!$A$644:$Z$644</formula1>
    </dataValidation>
    <dataValidation type="list" allowBlank="1" sqref="AA783 Z784">
      <formula1>XDO_NOT_DELETE!$A$774:$Z$774</formula1>
    </dataValidation>
    <dataValidation type="list" allowBlank="1" sqref="AA804 Z805">
      <formula1>XDO_NOT_DELETE!$A$795:$Z$795</formula1>
    </dataValidation>
    <dataValidation type="list" allowBlank="1" sqref="AA915 Z916">
      <formula1>XDO_NOT_DELETE!$A$906:$Z$906</formula1>
    </dataValidation>
    <dataValidation type="list" allowBlank="1" sqref="AA688 Z689">
      <formula1>XDO_NOT_DELETE!$A$679:$Z$679</formula1>
    </dataValidation>
    <dataValidation type="list" allowBlank="1" sqref="AA558 Z559">
      <formula1>XDO_NOT_DELETE!$A$549:$Z$549</formula1>
    </dataValidation>
    <dataValidation type="list" allowBlank="1" sqref="AA749 Z750">
      <formula1>XDO_NOT_DELETE!$A$740:$Z$740</formula1>
    </dataValidation>
    <dataValidation type="list" allowBlank="1" sqref="AA879 Z880">
      <formula1>XDO_NOT_DELETE!$A$870:$Z$870</formula1>
    </dataValidation>
    <dataValidation type="list" allowBlank="1" showErrorMessage="1" sqref="C11:C499">
      <formula1>'Data Validation'!$J$2:$J$26</formula1>
    </dataValidation>
    <dataValidation type="list" allowBlank="1" sqref="AA638 Z639">
      <formula1>XDO_NOT_DELETE!$A$629:$Z$629</formula1>
    </dataValidation>
    <dataValidation type="list" allowBlank="1" sqref="AA552 Z553">
      <formula1>XDO_NOT_DELETE!$A$543:$Z$543</formula1>
    </dataValidation>
    <dataValidation type="list" allowBlank="1" sqref="AA573 Z574">
      <formula1>XDO_NOT_DELETE!$A$564:$Z$564</formula1>
    </dataValidation>
    <dataValidation type="list" allowBlank="1" sqref="AA703 Z704">
      <formula1>XDO_NOT_DELETE!$A$694:$Z$694</formula1>
    </dataValidation>
    <dataValidation type="list" allowBlank="1" sqref="AA814 Z815">
      <formula1>XDO_NOT_DELETE!$A$805:$Z$805</formula1>
    </dataValidation>
    <dataValidation type="list" allowBlank="1" sqref="AA965 Z966">
      <formula1>XDO_NOT_DELETE!$A$956:$Z$956</formula1>
    </dataValidation>
    <dataValidation type="list" allowBlank="1" sqref="AA608 Z609">
      <formula1>XDO_NOT_DELETE!$A$599:$Z$599</formula1>
    </dataValidation>
    <dataValidation type="list" allowBlank="1" sqref="AA572 Z573">
      <formula1>XDO_NOT_DELETE!$A$563:$Z$563</formula1>
    </dataValidation>
    <dataValidation type="list" allowBlank="1" sqref="AA702 Z703">
      <formula1>XDO_NOT_DELETE!$A$693:$Z$693</formula1>
    </dataValidation>
    <dataValidation type="list" allowBlank="1" sqref="AA813 Z814">
      <formula1>XDO_NOT_DELETE!$A$804:$Z$804</formula1>
    </dataValidation>
    <dataValidation type="list" allowBlank="1" sqref="AA885 Z886">
      <formula1>XDO_NOT_DELETE!$A$876:$Z$876</formula1>
    </dataValidation>
    <dataValidation type="list" allowBlank="1" sqref="AA1009 Z1010">
      <formula1>XDO_NOT_DELETE!$A$1000:$Z$1000</formula1>
    </dataValidation>
    <dataValidation type="list" allowBlank="1" sqref="AA637 Z638">
      <formula1>XDO_NOT_DELETE!$A$628:$Z$628</formula1>
    </dataValidation>
    <dataValidation type="list" allowBlank="1" sqref="AA553 Z554">
      <formula1>XDO_NOT_DELETE!$A$544:$Z$544</formula1>
    </dataValidation>
    <dataValidation type="list" allowBlank="1" sqref="AA966 Z967">
      <formula1>XDO_NOT_DELETE!$A$957:$Z$957</formula1>
    </dataValidation>
    <dataValidation type="list" allowBlank="1" sqref="AA1015 Z1016">
      <formula1>XDO_NOT_DELETE!$A$1006:$Z$1006</formula1>
    </dataValidation>
    <dataValidation type="list" allowBlank="1" sqref="AA884 Z885">
      <formula1>XDO_NOT_DELETE!$A$875:$Z$875</formula1>
    </dataValidation>
    <dataValidation type="list" allowBlank="1" sqref="AA654 Z655">
      <formula1>XDO_NOT_DELETE!$A$645:$Z$645</formula1>
    </dataValidation>
    <dataValidation type="list" allowBlank="1" sqref="AA784 Z785">
      <formula1>XDO_NOT_DELETE!$A$775:$Z$775</formula1>
    </dataValidation>
    <dataValidation type="list" allowBlank="1" sqref="AA708 Z709">
      <formula1>XDO_NOT_DELETE!$A$699:$Z$699</formula1>
    </dataValidation>
    <dataValidation type="list" allowBlank="1" sqref="AA830 Z831">
      <formula1>XDO_NOT_DELETE!$A$821:$Z$821</formula1>
    </dataValidation>
    <dataValidation type="list" allowBlank="1" sqref="AA960 Z961">
      <formula1>XDO_NOT_DELETE!$A$951:$Z$951</formula1>
    </dataValidation>
    <dataValidation type="list" allowBlank="1" sqref="AA735 Z736">
      <formula1>XDO_NOT_DELETE!$A$726:$Z$726</formula1>
    </dataValidation>
    <dataValidation type="list" allowBlank="1" sqref="AA1010 Z1011">
      <formula1>XDO_NOT_DELETE!$A$1001:$Z$1001</formula1>
    </dataValidation>
    <dataValidation type="list" allowBlank="1" sqref="AA556 Z557">
      <formula1>XDO_NOT_DELETE!$A$547:$Z$547</formula1>
    </dataValidation>
    <dataValidation type="list" allowBlank="1" sqref="AA707 Z708">
      <formula1>XDO_NOT_DELETE!$A$698:$Z$698</formula1>
    </dataValidation>
    <dataValidation type="list" allowBlank="1" sqref="AA818 Z819">
      <formula1>XDO_NOT_DELETE!$A$809:$Z$809</formula1>
    </dataValidation>
    <dataValidation type="list" allowBlank="1" sqref="AA732 Z733">
      <formula1>XDO_NOT_DELETE!$A$723:$Z$723</formula1>
    </dataValidation>
    <dataValidation type="list" allowBlank="1" sqref="AA883 Z884">
      <formula1>XDO_NOT_DELETE!$A$874:$Z$874</formula1>
    </dataValidation>
    <dataValidation type="list" allowBlank="1" sqref="AA880 Z881">
      <formula1>XDO_NOT_DELETE!$A$871:$Z$871</formula1>
    </dataValidation>
    <dataValidation type="list" allowBlank="1" sqref="AA785 Z786">
      <formula1>XDO_NOT_DELETE!$A$776:$Z$776</formula1>
    </dataValidation>
    <dataValidation type="list" allowBlank="1" sqref="AA569 Z570">
      <formula1>XDO_NOT_DELETE!$A$560:$Z$560</formula1>
    </dataValidation>
    <dataValidation type="list" allowBlank="1" sqref="AA961 Z962">
      <formula1>XDO_NOT_DELETE!$A$952:$Z$952</formula1>
    </dataValidation>
    <dataValidation type="list" allowBlank="1" sqref="AA1014 Z1015">
      <formula1>XDO_NOT_DELETE!$A$1005:$Z$1005</formula1>
    </dataValidation>
    <dataValidation type="list" allowBlank="1" sqref="AA868 Z869">
      <formula1>XDO_NOT_DELETE!$A$859:$Z$859</formula1>
    </dataValidation>
    <dataValidation type="list" allowBlank="1" sqref="AA652 Z653">
      <formula1>XDO_NOT_DELETE!$A$643:$Z$643</formula1>
    </dataValidation>
    <dataValidation type="list" allowBlank="1" sqref="AA649 Z650">
      <formula1>XDO_NOT_DELETE!$A$640:$Z$640</formula1>
    </dataValidation>
    <dataValidation type="list" allowBlank="1" sqref="AA800 Z801">
      <formula1>XDO_NOT_DELETE!$A$791:$Z$791</formula1>
    </dataValidation>
    <dataValidation type="list" allowBlank="1" sqref="AA911 Z912">
      <formula1>XDO_NOT_DELETE!$A$902:$Z$902</formula1>
    </dataValidation>
    <dataValidation type="list" allowBlank="1" sqref="AA1011 Z1012">
      <formula1>XDO_NOT_DELETE!$A$1002:$Z$1002</formula1>
    </dataValidation>
    <dataValidation type="list" allowBlank="1" sqref="X11:X499">
      <formula1>'Data Validation'!$G$2:$G$13</formula1>
    </dataValidation>
    <dataValidation type="list" allowBlank="1" sqref="AA881 Z882">
      <formula1>XDO_NOT_DELETE!$A$872:$Z$872</formula1>
    </dataValidation>
    <dataValidation type="list" allowBlank="1" sqref="AA705 Z706">
      <formula1>XDO_NOT_DELETE!$A$696:$Z$696</formula1>
    </dataValidation>
    <dataValidation type="list" allowBlank="1" sqref="AA816 Z817">
      <formula1>XDO_NOT_DELETE!$A$807:$Z$807</formula1>
    </dataValidation>
    <dataValidation type="list" allowBlank="1" sqref="AA651 Z652">
      <formula1>XDO_NOT_DELETE!$A$642:$Z$642</formula1>
    </dataValidation>
    <dataValidation type="list" allowBlank="1" sqref="AA964 Z965">
      <formula1>XDO_NOT_DELETE!$A$955:$Z$955</formula1>
    </dataValidation>
    <dataValidation type="list" allowBlank="1" sqref="AA734 Z735">
      <formula1>XDO_NOT_DELETE!$A$725:$Z$725</formula1>
    </dataValidation>
    <dataValidation type="list" allowBlank="1" sqref="AA788 Z789">
      <formula1>XDO_NOT_DELETE!$A$779:$Z$779</formula1>
    </dataValidation>
    <dataValidation type="list" allowBlank="1" sqref="AA799 Z800">
      <formula1>XDO_NOT_DELETE!$A$790:$Z$790</formula1>
    </dataValidation>
    <dataValidation type="list" allowBlank="1" sqref="AA910 Z911">
      <formula1>XDO_NOT_DELETE!$A$901:$Z$901</formula1>
    </dataValidation>
    <dataValidation type="list" allowBlank="1" sqref="AA650 Z651">
      <formula1>XDO_NOT_DELETE!$A$641:$Z$641</formula1>
    </dataValidation>
    <dataValidation type="list" allowBlank="1" sqref="AA704 Z705">
      <formula1>XDO_NOT_DELETE!$A$695:$Z$695</formula1>
    </dataValidation>
    <dataValidation type="list" allowBlank="1" sqref="AA815 Z816">
      <formula1>XDO_NOT_DELETE!$A$806:$Z$806</formula1>
    </dataValidation>
    <dataValidation type="list" allowBlank="1" sqref="AA963 Z964">
      <formula1>XDO_NOT_DELETE!$A$954:$Z$954</formula1>
    </dataValidation>
    <dataValidation type="list" allowBlank="1" sqref="AA1012 Z1013">
      <formula1>XDO_NOT_DELETE!$A$1003:$Z$1003</formula1>
    </dataValidation>
    <dataValidation type="list" allowBlank="1" sqref="AA500:AA516">
      <formula1>'Data Validation'!$B$2:$B$16</formula1>
    </dataValidation>
    <dataValidation type="list" allowBlank="1" sqref="AA733 Z734">
      <formula1>XDO_NOT_DELETE!$A$724:$Z$724</formula1>
    </dataValidation>
    <dataValidation type="list" allowBlank="1" sqref="AA787 Z788">
      <formula1>XDO_NOT_DELETE!$A$778:$Z$778</formula1>
    </dataValidation>
    <dataValidation type="list" allowBlank="1" sqref="AA909 Z910">
      <formula1>XDO_NOT_DELETE!$A$900:$Z$900</formula1>
    </dataValidation>
    <dataValidation type="list" allowBlank="1" sqref="AA557 Z558">
      <formula1>XDO_NOT_DELETE!$A$548:$Z$548</formula1>
    </dataValidation>
    <dataValidation type="list" allowBlank="1" sqref="AA920 Z921">
      <formula1>XDO_NOT_DELETE!$A$911:$Z$911</formula1>
    </dataValidation>
    <dataValidation type="list" allowBlank="1" sqref="AA568 Z569">
      <formula1>XDO_NOT_DELETE!$A$559:$Z$559</formula1>
    </dataValidation>
    <dataValidation type="list" allowBlank="1" sqref="AA698 Z699">
      <formula1>XDO_NOT_DELETE!$A$689:$Z$689</formula1>
    </dataValidation>
    <dataValidation type="list" allowBlank="1" sqref="AA1004 Z1005">
      <formula1>XDO_NOT_DELETE!$A$995:$Z$995</formula1>
    </dataValidation>
    <dataValidation type="list" allowBlank="1" sqref="AA614 Z615">
      <formula1>XDO_NOT_DELETE!$A$605:$Z$605</formula1>
    </dataValidation>
    <dataValidation type="list" allowBlank="1" sqref="AA744 Z745">
      <formula1>XDO_NOT_DELETE!$A$735:$Z$735</formula1>
    </dataValidation>
    <dataValidation type="list" allowBlank="1" sqref="AA874 Z875">
      <formula1>XDO_NOT_DELETE!$A$865:$Z$865</formula1>
    </dataValidation>
    <dataValidation type="list" allowBlank="1" sqref="Z11 Z13:Z499">
      <formula1>XDO_NOT_DELETE!$A$1:$Z$1</formula1>
    </dataValidation>
    <dataValidation type="list" allowBlank="1" sqref="Z1027">
      <formula1>XDO_NOT_DELETE!$A$1017:$Z$1017</formula1>
    </dataValidation>
    <dataValidation type="list" allowBlank="1" sqref="AA819 Z820">
      <formula1>XDO_NOT_DELETE!$A$810:$Z$810</formula1>
    </dataValidation>
    <dataValidation type="list" allowBlank="1" sqref="AA949 Z950">
      <formula1>XDO_NOT_DELETE!$A$940:$Z$940</formula1>
    </dataValidation>
    <dataValidation type="list" allowBlank="1" sqref="Z514">
      <formula1>XDO_NOT_DELETE!$A$504:$Z$504</formula1>
    </dataValidation>
    <dataValidation type="list" allowBlank="1" sqref="AA643 Z644">
      <formula1>XDO_NOT_DELETE!$A$634:$Z$634</formula1>
    </dataValidation>
    <dataValidation type="list" allowBlank="1" sqref="AA773 Z774">
      <formula1>XDO_NOT_DELETE!$A$764:$Z$764</formula1>
    </dataValidation>
    <dataValidation type="list" allowBlank="1" sqref="AA903 Z904">
      <formula1>XDO_NOT_DELETE!$A$894:$Z$894</formula1>
    </dataValidation>
    <dataValidation type="list" allowBlank="1" sqref="AA597 Z598">
      <formula1>XDO_NOT_DELETE!$A$588:$Z$588</formula1>
    </dataValidation>
    <dataValidation type="list" allowBlank="1" sqref="AA554 Z555">
      <formula1>XDO_NOT_DELETE!$A$545:$Z$545</formula1>
    </dataValidation>
    <dataValidation type="list" allowBlank="1" sqref="AA684 Z685">
      <formula1>XDO_NOT_DELETE!$A$675:$Z$675</formula1>
    </dataValidation>
    <dataValidation type="list" allowBlank="1" sqref="AA990 Z991">
      <formula1>XDO_NOT_DELETE!$A$981:$Z$981</formula1>
    </dataValidation>
    <dataValidation type="list" allowBlank="1" sqref="AA730 Z731">
      <formula1>XDO_NOT_DELETE!$A$721:$Z$721</formula1>
    </dataValidation>
    <dataValidation type="list" allowBlank="1" sqref="AA860 Z861">
      <formula1>XDO_NOT_DELETE!$A$851:$Z$851</formula1>
    </dataValidation>
    <dataValidation type="list" allowBlank="1" sqref="AA542 Z543">
      <formula1>XDO_NOT_DELETE!$A$533:$Z$533</formula1>
    </dataValidation>
    <dataValidation type="list" allowBlank="1" sqref="AA672 Z673">
      <formula1>XDO_NOT_DELETE!$A$663:$Z$663</formula1>
    </dataValidation>
    <dataValidation type="list" allowBlank="1" sqref="AA802 Z803">
      <formula1>XDO_NOT_DELETE!$A$793:$Z$793</formula1>
    </dataValidation>
    <dataValidation type="list" allowBlank="1" sqref="Z509">
      <formula1>XDO_NOT_DELETE!$A$499:$Z$499</formula1>
    </dataValidation>
    <dataValidation type="list" allowBlank="1" showErrorMessage="1" sqref="T11:T499">
      <formula1>'Data Validation'!$A$2:$A$29</formula1>
    </dataValidation>
    <dataValidation type="list" allowBlank="1" sqref="AA629 Z630">
      <formula1>XDO_NOT_DELETE!$A$620:$Z$620</formula1>
    </dataValidation>
    <dataValidation type="list" allowBlank="1" sqref="AA759 Z760">
      <formula1>XDO_NOT_DELETE!$A$750:$Z$750</formula1>
    </dataValidation>
    <dataValidation type="list" allowBlank="1" sqref="AA889 Z890">
      <formula1>XDO_NOT_DELETE!$A$880:$Z$880</formula1>
    </dataValidation>
    <dataValidation type="list" allowBlank="1" sqref="AA701 Z702">
      <formula1>XDO_NOT_DELETE!$A$692:$Z$692</formula1>
    </dataValidation>
    <dataValidation type="list" allowBlank="1" sqref="AA571 Z572">
      <formula1>XDO_NOT_DELETE!$A$562:$Z$562</formula1>
    </dataValidation>
    <dataValidation type="list" allowBlank="1" sqref="AA583 Z584">
      <formula1>XDO_NOT_DELETE!$A$574:$Z$574</formula1>
    </dataValidation>
    <dataValidation type="list" allowBlank="1" sqref="AA626 Z627">
      <formula1>XDO_NOT_DELETE!$A$617:$Z$617</formula1>
    </dataValidation>
    <dataValidation type="list" allowBlank="1" sqref="AA886 Z887">
      <formula1>XDO_NOT_DELETE!$A$877:$Z$877</formula1>
    </dataValidation>
    <dataValidation type="list" allowBlank="1" sqref="AA862 Z863">
      <formula1>XDO_NOT_DELETE!$A$853:$Z$853</formula1>
    </dataValidation>
    <dataValidation type="list" allowBlank="1" sqref="AA686 Z687">
      <formula1>XDO_NOT_DELETE!$A$677:$Z$677</formula1>
    </dataValidation>
    <dataValidation type="list" allowBlank="1" sqref="AA948 Z949">
      <formula1>XDO_NOT_DELETE!$A$939:$Z$939</formula1>
    </dataValidation>
    <dataValidation type="list" allowBlank="1" sqref="AA901 Z902">
      <formula1>XDO_NOT_DELETE!$A$892:$Z$892</formula1>
    </dataValidation>
    <dataValidation type="list" allowBlank="1" sqref="AA641 Z642">
      <formula1>XDO_NOT_DELETE!$A$632:$Z$632</formula1>
    </dataValidation>
    <dataValidation type="list" allowBlank="1" sqref="X500:X1029">
      <formula1>'Data Validation'!$G$2:$G$16</formula1>
    </dataValidation>
    <dataValidation type="list" allowBlank="1" sqref="AA655 Z656">
      <formula1>XDO_NOT_DELETE!$A$646:$Z$646</formula1>
    </dataValidation>
    <dataValidation type="list" allowBlank="1" sqref="AA917 Z918">
      <formula1>XDO_NOT_DELETE!$A$908:$Z$908</formula1>
    </dataValidation>
    <dataValidation type="list" allowBlank="1" sqref="AA699 Z700">
      <formula1>XDO_NOT_DELETE!$A$690:$Z$690</formula1>
    </dataValidation>
    <dataValidation type="list" allowBlank="1" sqref="AA831 Z832">
      <formula1>XDO_NOT_DELETE!$A$822:$Z$822</formula1>
    </dataValidation>
    <dataValidation type="list" allowBlank="1" sqref="AA977 Z978">
      <formula1>XDO_NOT_DELETE!$A$968:$Z$968</formula1>
    </dataValidation>
    <dataValidation type="list" allowBlank="1" sqref="AA717 Z718">
      <formula1>XDO_NOT_DELETE!$A$708:$Z$708</formula1>
    </dataValidation>
    <dataValidation type="list" allowBlank="1" sqref="Z500">
      <formula1>XDO_NOT_DELETE!$A$490:$Z$490</formula1>
    </dataValidation>
    <dataValidation type="list" allowBlank="1" sqref="AA631 Z632">
      <formula1>XDO_NOT_DELETE!$A$622:$Z$622</formula1>
    </dataValidation>
    <dataValidation type="list" allowBlank="1" sqref="AA891 Z892">
      <formula1>XDO_NOT_DELETE!$A$882:$Z$882</formula1>
    </dataValidation>
    <dataValidation type="list" allowBlank="1" sqref="AA670 Z671">
      <formula1>XDO_NOT_DELETE!$A$661:$Z$661</formula1>
    </dataValidation>
    <dataValidation type="list" allowBlank="1" showErrorMessage="1" sqref="V11:V499">
      <formula1>'Data Validation'!$I$2:$I$22</formula1>
    </dataValidation>
    <dataValidation type="list" allowBlank="1" sqref="AA946 Z947">
      <formula1>XDO_NOT_DELETE!$A$937:$Z$937</formula1>
    </dataValidation>
    <dataValidation type="list" allowBlank="1" sqref="AA828 Z829">
      <formula1>XDO_NOT_DELETE!$A$819:$Z$819</formula1>
    </dataValidation>
    <dataValidation type="list" allowBlank="1" sqref="AA746 Z747">
      <formula1>XDO_NOT_DELETE!$A$737:$Z$737</formula1>
    </dataValidation>
    <dataValidation type="list" allowBlank="1" sqref="AA1006 Z1007">
      <formula1>XDO_NOT_DELETE!$A$997:$Z$997</formula1>
    </dataValidation>
    <dataValidation type="list" allowBlank="1" sqref="AA888 Z889">
      <formula1>XDO_NOT_DELETE!$A$879:$Z$879</formula1>
    </dataValidation>
    <dataValidation type="list" allowBlank="1" sqref="AA628 Z629">
      <formula1>XDO_NOT_DELETE!$A$619:$Z$619</formula1>
    </dataValidation>
    <dataValidation type="list" allowBlank="1" sqref="AA922 Z923">
      <formula1>XDO_NOT_DELETE!$A$913:$Z$913</formula1>
    </dataValidation>
    <dataValidation type="list" allowBlank="1" sqref="AA581 Z582">
      <formula1>XDO_NOT_DELETE!$A$572:$Z$572</formula1>
    </dataValidation>
    <dataValidation type="list" allowBlank="1" sqref="AA857 Z858">
      <formula1>XDO_NOT_DELETE!$A$848:$Z$848</formula1>
    </dataValidation>
    <dataValidation type="list" allowBlank="1" sqref="AA833 Z834">
      <formula1>XDO_NOT_DELETE!$A$824:$Z$824</formula1>
    </dataValidation>
    <dataValidation type="list" allowBlank="1" sqref="AA715 Z716">
      <formula1>XDO_NOT_DELETE!$A$706:$Z$706</formula1>
    </dataValidation>
    <dataValidation type="list" allowBlank="1" sqref="AA975 Z976">
      <formula1>XDO_NOT_DELETE!$A$966:$Z$966</formula1>
    </dataValidation>
    <dataValidation type="list" allowBlank="1" sqref="AA657 Z658">
      <formula1>XDO_NOT_DELETE!$A$648:$Z$648</formula1>
    </dataValidation>
    <dataValidation type="list" allowBlank="1" sqref="AA951 Z952">
      <formula1>XDO_NOT_DELETE!$A$942:$Z$942</formula1>
    </dataValidation>
    <dataValidation type="list" allowBlank="1" sqref="Z516">
      <formula1>XDO_NOT_DELETE!$A$506:$Z$506</formula1>
    </dataValidation>
    <dataValidation type="list" allowBlank="1" sqref="AA775 Z776">
      <formula1>XDO_NOT_DELETE!$A$766:$Z$766</formula1>
    </dataValidation>
    <dataValidation type="list" allowBlank="1" sqref="AA720 Z721">
      <formula1>XDO_NOT_DELETE!$A$711:$Z$711</formula1>
    </dataValidation>
    <dataValidation type="list" allowBlank="1" sqref="AA850 Z851">
      <formula1>XDO_NOT_DELETE!$A$841:$Z$841</formula1>
    </dataValidation>
    <dataValidation type="list" allowBlank="1" sqref="AA523 Z524">
      <formula1>XDO_NOT_DELETE!$A$514:$Z$514</formula1>
    </dataValidation>
    <dataValidation type="list" allowBlank="1" sqref="AA674 Z675">
      <formula1>XDO_NOT_DELETE!$A$665:$Z$665</formula1>
    </dataValidation>
    <dataValidation type="list" allowBlank="1" sqref="AA544 Z545">
      <formula1>XDO_NOT_DELETE!$A$535:$Z$535</formula1>
    </dataValidation>
    <dataValidation type="list" allowBlank="1" sqref="AA936 Z937">
      <formula1>XDO_NOT_DELETE!$A$927:$Z$927</formula1>
    </dataValidation>
    <dataValidation type="list" allowBlank="1" sqref="AA537 Z538">
      <formula1>XDO_NOT_DELETE!$A$528:$Z$528</formula1>
    </dataValidation>
    <dataValidation type="list" allowBlank="1" sqref="AA667 Z668">
      <formula1>XDO_NOT_DELETE!$A$658:$Z$658</formula1>
    </dataValidation>
    <dataValidation type="list" allowBlank="1" sqref="AA619 Z620">
      <formula1>XDO_NOT_DELETE!$A$610:$Z$610</formula1>
    </dataValidation>
    <dataValidation type="list" allowBlank="1" sqref="Z507">
      <formula1>XDO_NOT_DELETE!$A$497:$Z$497</formula1>
    </dataValidation>
    <dataValidation type="list" allowBlank="1" sqref="AA768 Z769">
      <formula1>XDO_NOT_DELETE!$A$759:$Z$759</formula1>
    </dataValidation>
    <dataValidation type="list" allowBlank="1" sqref="AA898 Z899">
      <formula1>XDO_NOT_DELETE!$A$889:$Z$889</formula1>
    </dataValidation>
    <dataValidation type="list" allowBlank="1" sqref="AA682 Z683">
      <formula1>XDO_NOT_DELETE!$A$673:$Z$673</formula1>
    </dataValidation>
    <dataValidation type="list" allowBlank="1" sqref="AA835 Z836">
      <formula1>XDO_NOT_DELETE!$A$826:$Z$826</formula1>
    </dataValidation>
    <dataValidation type="list" allowBlank="1" sqref="AA944 Z945">
      <formula1>XDO_NOT_DELETE!$A$935:$Z$935</formula1>
    </dataValidation>
    <dataValidation type="list" allowBlank="1" sqref="AA985 Z986">
      <formula1>XDO_NOT_DELETE!$A$976:$Z$976</formula1>
    </dataValidation>
    <dataValidation type="list" allowBlank="1" sqref="AA855 Z856">
      <formula1>XDO_NOT_DELETE!$A$846:$Z$846</formula1>
    </dataValidation>
    <dataValidation type="list" allowBlank="1" sqref="AA530 Z531">
      <formula1>XDO_NOT_DELETE!$A$521:$Z$521</formula1>
    </dataValidation>
    <dataValidation type="list" allowBlank="1" sqref="AA602 Z603">
      <formula1>XDO_NOT_DELETE!$A$593:$Z$593</formula1>
    </dataValidation>
    <dataValidation type="list" allowBlank="1" sqref="AA713 Z714">
      <formula1>XDO_NOT_DELETE!$A$704:$Z$704</formula1>
    </dataValidation>
    <dataValidation type="list" allowBlank="1" sqref="AA843 Z844">
      <formula1>XDO_NOT_DELETE!$A$834:$Z$834</formula1>
    </dataValidation>
    <dataValidation type="list" allowBlank="1" sqref="AA618 Z619">
      <formula1>XDO_NOT_DELETE!$A$609:$Z$609</formula1>
    </dataValidation>
    <dataValidation type="list" allowBlank="1" sqref="AA748 Z749">
      <formula1>XDO_NOT_DELETE!$A$739:$Z$739</formula1>
    </dataValidation>
    <dataValidation type="list" allowBlank="1" sqref="AA924 Z925">
      <formula1>XDO_NOT_DELETE!$A$915:$Z$915</formula1>
    </dataValidation>
    <dataValidation type="list" allowBlank="1" sqref="AA595 Z596">
      <formula1>XDO_NOT_DELETE!$A$586:$Z$586</formula1>
    </dataValidation>
    <dataValidation type="list" allowBlank="1" sqref="AA754 Z755">
      <formula1>XDO_NOT_DELETE!$A$745:$Z$745</formula1>
    </dataValidation>
    <dataValidation type="list" allowBlank="1" sqref="AA689 Z690">
      <formula1>XDO_NOT_DELETE!$A$680:$Z$680</formula1>
    </dataValidation>
    <dataValidation type="list" allowBlank="1" sqref="AA930 Z931">
      <formula1>XDO_NOT_DELETE!$A$921:$Z$921</formula1>
    </dataValidation>
    <dataValidation type="list" allowBlank="1" sqref="Z502">
      <formula1>XDO_NOT_DELETE!$A$492:$Z$492</formula1>
    </dataValidation>
    <dataValidation type="list" allowBlank="1" sqref="AA578 Z579">
      <formula1>XDO_NOT_DELETE!$A$569:$Z$569</formula1>
    </dataValidation>
    <dataValidation type="list" allowBlank="1" sqref="AA612 Z613">
      <formula1>XDO_NOT_DELETE!$A$603:$Z$603</formula1>
    </dataValidation>
    <dataValidation type="list" allowBlank="1" sqref="AA1002 Z1003">
      <formula1>XDO_NOT_DELETE!$A$993:$Z$993</formula1>
    </dataValidation>
    <dataValidation type="list" allowBlank="1" sqref="Z1025">
      <formula1>XDO_NOT_DELETE!$A$1015:$Z$1015</formula1>
    </dataValidation>
    <dataValidation type="list" allowBlank="1" sqref="AA624 Z625">
      <formula1>XDO_NOT_DELETE!$A$615:$Z$615</formula1>
    </dataValidation>
    <dataValidation type="list" allowBlank="1" sqref="Z1020">
      <formula1>XDO_NOT_DELETE!$A$1010:$Z$1010</formula1>
    </dataValidation>
    <dataValidation type="list" allowBlank="1" sqref="AA756 Z757">
      <formula1>XDO_NOT_DELETE!$A$747:$Z$747</formula1>
    </dataValidation>
    <dataValidation type="list" allowBlank="1" sqref="AA907 Z908">
      <formula1>XDO_NOT_DELETE!$A$898:$Z$898</formula1>
    </dataValidation>
    <dataValidation type="list" allowBlank="1" sqref="AA932 Z933">
      <formula1>XDO_NOT_DELETE!$A$923:$Z$923</formula1>
    </dataValidation>
    <dataValidation type="list" allowBlank="1" sqref="AA600 Z601">
      <formula1>XDO_NOT_DELETE!$A$591:$Z$591</formula1>
    </dataValidation>
    <dataValidation type="list" allowBlank="1" sqref="AA711 Z712">
      <formula1>XDO_NOT_DELETE!$A$702:$Z$702</formula1>
    </dataValidation>
    <dataValidation type="list" allowBlank="1" sqref="AA992 Z993">
      <formula1>XDO_NOT_DELETE!$A$983:$Z$983</formula1>
    </dataValidation>
    <dataValidation type="list" allowBlank="1" sqref="AA927 Z928">
      <formula1>XDO_NOT_DELETE!$A$918:$Z$918</formula1>
    </dataValidation>
    <dataValidation type="list" allowBlank="1" sqref="AA535 Z536">
      <formula1>XDO_NOT_DELETE!$A$526:$Z$526</formula1>
    </dataValidation>
    <dataValidation type="list" allowBlank="1" sqref="AA532 Z533">
      <formula1>XDO_NOT_DELETE!$A$523:$Z$523</formula1>
    </dataValidation>
    <dataValidation type="list" allowBlank="1" sqref="AA771 Z772">
      <formula1>XDO_NOT_DELETE!$A$762:$Z$762</formula1>
    </dataValidation>
    <dataValidation type="list" allowBlank="1" sqref="AA525 Z526">
      <formula1>XDO_NOT_DELETE!$A$516:$Z$516</formula1>
    </dataValidation>
    <dataValidation type="list" allowBlank="1" sqref="AA676 Z677">
      <formula1>XDO_NOT_DELETE!$A$667:$Z$667</formula1>
    </dataValidation>
    <dataValidation type="list" allowBlank="1" sqref="AA590 Z591">
      <formula1>XDO_NOT_DELETE!$A$581:$Z$581</formula1>
    </dataValidation>
    <dataValidation type="list" allowBlank="1" sqref="AA852 Z853">
      <formula1>XDO_NOT_DELETE!$A$843:$Z$843</formula1>
    </dataValidation>
    <dataValidation type="list" allowBlank="1" sqref="AA1000 Z1001">
      <formula1>XDO_NOT_DELETE!$A$991:$Z$991</formula1>
    </dataValidation>
    <dataValidation type="list" allowBlank="1" sqref="AA585 Z586">
      <formula1>XDO_NOT_DELETE!$A$576:$Z$576</formula1>
    </dataValidation>
    <dataValidation type="list" allowBlank="1" sqref="AA847 Z848">
      <formula1>XDO_NOT_DELETE!$A$838:$Z$838</formula1>
    </dataValidation>
    <dataValidation type="list" allowBlank="1" sqref="AA761 Z762">
      <formula1>XDO_NOT_DELETE!$A$752:$Z$752</formula1>
    </dataValidation>
    <dataValidation type="list" allowBlank="1" sqref="AA540 Z541">
      <formula1>XDO_NOT_DELETE!$A$531:$Z$531</formula1>
    </dataValidation>
    <dataValidation type="list" allowBlank="1" sqref="AA621 Z622">
      <formula1>XDO_NOT_DELETE!$A$612:$Z$612</formula1>
    </dataValidation>
    <dataValidation type="list" allowBlank="1" sqref="AA587 Z588">
      <formula1>XDO_NOT_DELETE!$A$578:$Z$578</formula1>
    </dataValidation>
    <dataValidation type="list" allowBlank="1" sqref="AA934 Z935">
      <formula1>XDO_NOT_DELETE!$A$925:$Z$925</formula1>
    </dataValidation>
    <dataValidation type="list" allowBlank="1" sqref="AA593 Z594">
      <formula1>XDO_NOT_DELETE!$A$584:$Z$584</formula1>
    </dataValidation>
    <dataValidation type="list" allowBlank="1" sqref="AA769 Z770">
      <formula1>XDO_NOT_DELETE!$A$760:$Z$760</formula1>
    </dataValidation>
    <dataValidation type="list" allowBlank="1" sqref="AA758 Z759">
      <formula1>XDO_NOT_DELETE!$A$749:$Z$749</formula1>
    </dataValidation>
    <dataValidation type="list" allowBlank="1" sqref="AA994 Z995">
      <formula1>XDO_NOT_DELETE!$A$985:$Z$985</formula1>
    </dataValidation>
    <dataValidation type="list" allowBlank="1" sqref="Z1022">
      <formula1>XDO_NOT_DELETE!$A$1012:$Z$1012</formula1>
    </dataValidation>
    <dataValidation type="list" allowBlank="1" sqref="AA616 Z617">
      <formula1>XDO_NOT_DELETE!$A$607:$Z$607</formula1>
    </dataValidation>
    <dataValidation type="list" allowBlank="1" showErrorMessage="1" sqref="P11:P499">
      <formula1>'Data Validation'!$C$2:$C$5</formula1>
    </dataValidation>
    <dataValidation type="list" allowBlank="1" sqref="AA987 Z988">
      <formula1>XDO_NOT_DELETE!$A$978:$Z$978</formula1>
    </dataValidation>
    <dataValidation type="list" allowBlank="1" sqref="AA680 Z681">
      <formula1>XDO_NOT_DELETE!$A$671:$Z$671</formula1>
    </dataValidation>
    <dataValidation type="list" allowBlank="1" sqref="AA845 Z846">
      <formula1>XDO_NOT_DELETE!$A$836:$Z$836</formula1>
    </dataValidation>
    <dataValidation type="list" allowBlank="1" sqref="Z505">
      <formula1>XDO_NOT_DELETE!$A$495:$Z$495</formula1>
    </dataValidation>
    <dataValidation type="list" allowBlank="1" sqref="AA527 Z528">
      <formula1>XDO_NOT_DELETE!$A$518:$Z$518</formula1>
    </dataValidation>
    <dataValidation type="list" allowBlank="1" sqref="AA763 Z764">
      <formula1>XDO_NOT_DELETE!$A$754:$Z$754</formula1>
    </dataValidation>
    <dataValidation type="list" allowBlank="1" sqref="AA905 Z906">
      <formula1>XDO_NOT_DELETE!$A$896:$Z$896</formula1>
    </dataValidation>
    <dataValidation type="list" allowBlank="1" sqref="AA939 Z940">
      <formula1>XDO_NOT_DELETE!$A$930:$Z$930</formula1>
    </dataValidation>
    <dataValidation type="list" allowBlank="1" sqref="AA679 Z680">
      <formula1>XDO_NOT_DELETE!$A$670:$Z$670</formula1>
    </dataValidation>
    <dataValidation type="list" allowBlank="1" sqref="AA677 Z678">
      <formula1>XDO_NOT_DELETE!$A$668:$Z$668</formula1>
    </dataValidation>
    <dataValidation type="list" allowBlank="1" sqref="AA547 Z548">
      <formula1>XDO_NOT_DELETE!$A$538:$Z$538</formula1>
    </dataValidation>
    <dataValidation type="list" allowBlank="1" sqref="AA723 Z724">
      <formula1>XDO_NOT_DELETE!$A$714:$Z$714</formula1>
    </dataValidation>
    <dataValidation type="list" allowBlank="1" sqref="AA853 Z854">
      <formula1>XDO_NOT_DELETE!$A$844:$Z$844</formula1>
    </dataValidation>
    <dataValidation type="list" allowBlank="1" sqref="Z504">
      <formula1>XDO_NOT_DELETE!$A$494:$Z$494</formula1>
    </dataValidation>
    <dataValidation type="list" allowBlank="1" sqref="AA895 Z896">
      <formula1>XDO_NOT_DELETE!$A$886:$Z$886</formula1>
    </dataValidation>
    <dataValidation type="list" allowBlank="1" sqref="AA970 Z971">
      <formula1>XDO_NOT_DELETE!$A$961:$Z$961</formula1>
    </dataValidation>
    <dataValidation type="list" allowBlank="1" sqref="AA664 Z665">
      <formula1>XDO_NOT_DELETE!$A$655:$Z$655</formula1>
    </dataValidation>
    <dataValidation type="list" allowBlank="1" sqref="AA794 Z795">
      <formula1>XDO_NOT_DELETE!$A$785:$Z$785</formula1>
    </dataValidation>
    <dataValidation type="list" allowBlank="1" sqref="AA926 Z927">
      <formula1>XDO_NOT_DELETE!$A$917:$Z$917</formula1>
    </dataValidation>
    <dataValidation type="list" allowBlank="1" sqref="AA840 Z841">
      <formula1>XDO_NOT_DELETE!$A$831:$Z$831</formula1>
    </dataValidation>
    <dataValidation type="list" allowBlank="1" sqref="AA622 Z623">
      <formula1>XDO_NOT_DELETE!$A$613:$Z$613</formula1>
    </dataValidation>
    <dataValidation type="list" allowBlank="1" sqref="AA925 Z926">
      <formula1>XDO_NOT_DELETE!$A$916:$Z$916</formula1>
    </dataValidation>
    <dataValidation type="list" allowBlank="1" showErrorMessage="1" sqref="Y11:Y499">
      <formula1>'Data Validation'!$D$5:$D$10</formula1>
    </dataValidation>
    <dataValidation type="list" allowBlank="1" sqref="AA825 Z826">
      <formula1>XDO_NOT_DELETE!$A$816:$Z$816</formula1>
    </dataValidation>
    <dataValidation type="list" allowBlank="1" sqref="AA955 Z956">
      <formula1>XDO_NOT_DELETE!$A$946:$Z$946</formula1>
    </dataValidation>
    <dataValidation type="list" allowBlank="1" sqref="AA954 Z955">
      <formula1>XDO_NOT_DELETE!$A$945:$Z$945</formula1>
    </dataValidation>
    <dataValidation type="list" allowBlank="1" sqref="AA518 Z519">
      <formula1>XDO_NOT_DELETE!$A$509:$Z$509</formula1>
    </dataValidation>
    <dataValidation type="list" allowBlank="1" sqref="AA648 Z649">
      <formula1>XDO_NOT_DELETE!$A$639:$Z$639</formula1>
    </dataValidation>
    <dataValidation type="list" allowBlank="1" sqref="AA778 Z779">
      <formula1>XDO_NOT_DELETE!$A$769:$Z$769</formula1>
    </dataValidation>
    <dataValidation type="list" allowBlank="1" sqref="AA854 Z855">
      <formula1>XDO_NOT_DELETE!$A$845:$Z$845</formula1>
    </dataValidation>
    <dataValidation type="list" allowBlank="1" sqref="AA824 Z825">
      <formula1>XDO_NOT_DELETE!$A$815:$Z$815</formula1>
    </dataValidation>
    <dataValidation type="list" allowBlank="1" sqref="AA908 Z909">
      <formula1>XDO_NOT_DELETE!$A$899:$Z$899</formula1>
    </dataValidation>
    <dataValidation type="list" allowBlank="1" sqref="AA548 Z549">
      <formula1>XDO_NOT_DELETE!$A$539:$Z$539</formula1>
    </dataValidation>
    <dataValidation type="list" allowBlank="1" sqref="AA678 Z679">
      <formula1>XDO_NOT_DELETE!$A$669:$Z$669</formula1>
    </dataValidation>
    <dataValidation type="list" allowBlank="1" sqref="AA724 Z725">
      <formula1>XDO_NOT_DELETE!$A$715:$Z$715</formula1>
    </dataValidation>
    <dataValidation type="list" allowBlank="1" sqref="AA896 Z897">
      <formula1>XDO_NOT_DELETE!$A$887:$Z$887</formula1>
    </dataValidation>
    <dataValidation type="list" allowBlank="1" sqref="AA777 Z778">
      <formula1>XDO_NOT_DELETE!$A$768:$Z$768</formula1>
    </dataValidation>
    <dataValidation type="list" allowBlank="1" sqref="AA517 Z518">
      <formula1>XDO_NOT_DELETE!$A$508:$Z$508</formula1>
    </dataValidation>
    <dataValidation type="list" allowBlank="1" sqref="AA691 Z692">
      <formula1>XDO_NOT_DELETE!$A$682:$Z$682</formula1>
    </dataValidation>
    <dataValidation type="list" allowBlank="1" sqref="AA953 Z954">
      <formula1>XDO_NOT_DELETE!$A$944:$Z$944</formula1>
    </dataValidation>
    <dataValidation type="list" allowBlank="1" sqref="AA579 Z580">
      <formula1>XDO_NOT_DELETE!$A$570:$Z$570</formula1>
    </dataValidation>
    <dataValidation type="list" allowBlank="1" sqref="AA841 Z842">
      <formula1>XDO_NOT_DELETE!$A$832:$Z$832</formula1>
    </dataValidation>
    <dataValidation type="list" allowBlank="1" sqref="AA665 Z666">
      <formula1>XDO_NOT_DELETE!$A$656:$Z$656</formula1>
    </dataValidation>
    <dataValidation type="list" allowBlank="1" sqref="AA662 Z663">
      <formula1>XDO_NOT_DELETE!$A$653:$Z$653</formula1>
    </dataValidation>
    <dataValidation type="list" allowBlank="1" sqref="AA894 Z895">
      <formula1>XDO_NOT_DELETE!$A$885:$Z$885</formula1>
    </dataValidation>
    <dataValidation type="list" allowBlank="1" sqref="AA546 Z547">
      <formula1>XDO_NOT_DELETE!$A$537:$Z$537</formula1>
    </dataValidation>
    <dataValidation type="list" allowBlank="1" sqref="AA938 Z939">
      <formula1>XDO_NOT_DELETE!$A$929:$Z$929</formula1>
    </dataValidation>
    <dataValidation type="list" allowBlank="1" sqref="AA722 Z723">
      <formula1>XDO_NOT_DELETE!$A$713:$Z$713</formula1>
    </dataValidation>
    <dataValidation type="list" allowBlank="1" sqref="AA870 Z871">
      <formula1>XDO_NOT_DELETE!$A$861:$Z$861</formula1>
    </dataValidation>
    <dataValidation type="list" allowBlank="1" sqref="AA694 Z695">
      <formula1>XDO_NOT_DELETE!$A$685:$Z$685</formula1>
    </dataValidation>
    <dataValidation type="list" allowBlank="1" sqref="AA826 Z827">
      <formula1>XDO_NOT_DELETE!$A$817:$Z$817</formula1>
    </dataValidation>
    <dataValidation type="list" allowBlank="1" sqref="AA610 Z611">
      <formula1>XDO_NOT_DELETE!$A$601:$Z$601</formula1>
    </dataValidation>
    <dataValidation type="list" allowBlank="1" sqref="AA663 Z664">
      <formula1>XDO_NOT_DELETE!$A$654:$Z$654</formula1>
    </dataValidation>
    <dataValidation type="list" allowBlank="1" sqref="AA545 Z546">
      <formula1>XDO_NOT_DELETE!$A$536:$Z$536</formula1>
    </dataValidation>
    <dataValidation type="list" allowBlank="1" sqref="AA839 Z840">
      <formula1>XDO_NOT_DELETE!$A$830:$Z$830</formula1>
    </dataValidation>
    <dataValidation type="list" allowBlank="1" sqref="AA693 Z694">
      <formula1>XDO_NOT_DELETE!$A$684:$Z$684</formula1>
    </dataValidation>
    <dataValidation type="list" allowBlank="1" sqref="AA609 Z610">
      <formula1>XDO_NOT_DELETE!$A$600:$Z$600</formula1>
    </dataValidation>
    <dataValidation type="list" allowBlank="1" sqref="AA869 Z870">
      <formula1>XDO_NOT_DELETE!$A$860:$Z$860</formula1>
    </dataValidation>
    <dataValidation type="list" allowBlank="1" sqref="AA639 Z640">
      <formula1>XDO_NOT_DELETE!$A$630:$Z$630</formula1>
    </dataValidation>
    <dataValidation type="list" allowBlank="1" sqref="AA776 Z777">
      <formula1>XDO_NOT_DELETE!$A$767:$Z$767</formula1>
    </dataValidation>
    <dataValidation type="list" allowBlank="1" showErrorMessage="1" sqref="B11:B499">
      <formula1>'Data Validation'!$H$2:$H$3</formula1>
    </dataValidation>
    <dataValidation type="list" allowBlank="1" sqref="AA952 Z953">
      <formula1>XDO_NOT_DELETE!$A$943:$Z$943</formula1>
    </dataValidation>
    <dataValidation type="list" allowBlank="1" sqref="AA692 Z693">
      <formula1>XDO_NOT_DELETE!$A$683:$Z$683</formula1>
    </dataValidation>
    <dataValidation type="list" allowBlank="1" sqref="AA580 Z581">
      <formula1>XDO_NOT_DELETE!$A$571:$Z$571</formula1>
    </dataValidation>
    <dataValidation type="list" allowBlank="1" sqref="AA721 Z722">
      <formula1>XDO_NOT_DELETE!$A$712:$Z$712</formula1>
    </dataValidation>
    <dataValidation type="list" allowBlank="1" sqref="AA893 Z894">
      <formula1>XDO_NOT_DELETE!$A$884:$Z$884</formula1>
    </dataValidation>
    <dataValidation type="list" allowBlank="1" sqref="AA741 Z742">
      <formula1>XDO_NOT_DELETE!$A$732:$Z$732</formula1>
    </dataValidation>
    <dataValidation type="list" allowBlank="1" sqref="AA871 Z872">
      <formula1>XDO_NOT_DELETE!$A$862:$Z$862</formula1>
    </dataValidation>
    <dataValidation type="list" allowBlank="1" sqref="AA892 Z893">
      <formula1>XDO_NOT_DELETE!$A$883:$Z$883</formula1>
    </dataValidation>
    <dataValidation type="list" allowBlank="1" sqref="AA827 Z828">
      <formula1>XDO_NOT_DELETE!$A$818:$Z$818</formula1>
    </dataValidation>
    <dataValidation type="list" allowBlank="1" showErrorMessage="1" sqref="W11:W499">
      <formula1>'Data Validation'!$L$2:$L$18</formula1>
    </dataValidation>
    <dataValidation type="list" allowBlank="1" sqref="AA565 Z566">
      <formula1>XDO_NOT_DELETE!$A$556:$Z$556</formula1>
    </dataValidation>
    <dataValidation type="list" allowBlank="1" sqref="AA695 Z696">
      <formula1>XDO_NOT_DELETE!$A$686:$Z$686</formula1>
    </dataValidation>
    <dataValidation type="list" allowBlank="1" sqref="AA957 Z958">
      <formula1>XDO_NOT_DELETE!$A$948:$Z$948</formula1>
    </dataValidation>
    <dataValidation type="list" allowBlank="1" sqref="AA797 Z798">
      <formula1>XDO_NOT_DELETE!$A$788:$Z$788</formula1>
    </dataValidation>
    <dataValidation type="list" allowBlank="1" sqref="AA640 Z641">
      <formula1>XDO_NOT_DELETE!$A$631:$Z$631</formula1>
    </dataValidation>
    <dataValidation type="list" allowBlank="1" sqref="AA726 Z727">
      <formula1>XDO_NOT_DELETE!$A$717:$Z$717</formula1>
    </dataValidation>
    <dataValidation type="list" allowBlank="1" sqref="AA877 Z878">
      <formula1>XDO_NOT_DELETE!$A$868:$Z$868</formula1>
    </dataValidation>
    <dataValidation type="list" allowBlank="1" sqref="AA1007 Z1008">
      <formula1>XDO_NOT_DELETE!$A$998:$Z$998</formula1>
    </dataValidation>
    <dataValidation type="list" allowBlank="1" sqref="Z511">
      <formula1>XDO_NOT_DELETE!$A$501:$Z$501</formula1>
    </dataValidation>
    <dataValidation type="list" allowBlank="1" sqref="AA661 Z662">
      <formula1>XDO_NOT_DELETE!$A$652:$Z$652</formula1>
    </dataValidation>
    <dataValidation type="list" allowBlank="1" sqref="AA791 Z792">
      <formula1>XDO_NOT_DELETE!$A$782:$Z$782</formula1>
    </dataValidation>
    <dataValidation type="list" allowBlank="1" sqref="AA566 Z567">
      <formula1>XDO_NOT_DELETE!$A$557:$Z$557</formula1>
    </dataValidation>
    <dataValidation type="list" allowBlank="1" sqref="AA696 Z697">
      <formula1>XDO_NOT_DELETE!$A$687:$Z$687</formula1>
    </dataValidation>
    <dataValidation type="list" allowBlank="1" sqref="AA725 Z726">
      <formula1>XDO_NOT_DELETE!$A$716:$Z$716</formula1>
    </dataValidation>
    <dataValidation type="list" allowBlank="1" sqref="AA790 Z791">
      <formula1>XDO_NOT_DELETE!$A$781:$Z$781</formula1>
    </dataValidation>
    <dataValidation type="list" allowBlank="1" sqref="AA660 Z661">
      <formula1>XDO_NOT_DELETE!$A$651:$Z$651</formula1>
    </dataValidation>
    <dataValidation type="list" allowBlank="1" sqref="AA560 Z561">
      <formula1>XDO_NOT_DELETE!$A$551:$Z$551</formula1>
    </dataValidation>
    <dataValidation type="list" allowBlank="1" sqref="AA973 Z974">
      <formula1>XDO_NOT_DELETE!$A$964:$Z$964</formula1>
    </dataValidation>
    <dataValidation type="list" allowBlank="1" sqref="AA878 Z879">
      <formula1>XDO_NOT_DELETE!$A$869:$Z$869</formula1>
    </dataValidation>
    <dataValidation type="list" allowBlank="1" sqref="AA1008 Z1009">
      <formula1>XDO_NOT_DELETE!$A$999:$Z$999</formula1>
    </dataValidation>
    <dataValidation type="list" allowBlank="1" sqref="AA972 Z973">
      <formula1>XDO_NOT_DELETE!$A$963:$Z$963</formula1>
    </dataValidation>
    <dataValidation type="list" allowBlank="1" sqref="AA559 Z560">
      <formula1>XDO_NOT_DELETE!$A$550:$Z$550</formula1>
    </dataValidation>
    <dataValidation type="list" allowBlank="1" sqref="AA742 Z743">
      <formula1>XDO_NOT_DELETE!$A$733:$Z$733</formula1>
    </dataValidation>
    <dataValidation type="list" allowBlank="1" sqref="AA872 Z873">
      <formula1>XDO_NOT_DELETE!$A$863:$Z$863</formula1>
    </dataValidation>
    <dataValidation type="list" allowBlank="1" sqref="AA796 Z797">
      <formula1>XDO_NOT_DELETE!$A$787:$Z$787</formula1>
    </dataValidation>
    <dataValidation type="list" allowBlank="1" sqref="AA647 Z648">
      <formula1>XDO_NOT_DELETE!$A$638:$Z$638</formula1>
    </dataValidation>
    <dataValidation type="list" allowBlank="1" sqref="AA561 Z562">
      <formula1>XDO_NOT_DELETE!$A$552:$Z$552</formula1>
    </dataValidation>
    <dataValidation type="list" allowBlank="1" sqref="AA823 Z824">
      <formula1>XDO_NOT_DELETE!$A$814:$Z$814</formula1>
    </dataValidation>
    <dataValidation type="list" allowBlank="1" sqref="AA820 Z821">
      <formula1>XDO_NOT_DELETE!$A$811:$Z$811</formula1>
    </dataValidation>
    <dataValidation type="list" allowBlank="1" sqref="AA971 Z972">
      <formula1>XDO_NOT_DELETE!$A$962:$Z$962</formula1>
    </dataValidation>
    <dataValidation type="list" allowBlank="1" sqref="AA644 Z645">
      <formula1>XDO_NOT_DELETE!$A$635:$Z$635</formula1>
    </dataValidation>
    <dataValidation type="list" allowBlank="1" sqref="AA795 Z796">
      <formula1>XDO_NOT_DELETE!$A$786:$Z$786</formula1>
    </dataValidation>
    <dataValidation type="list" allowBlank="1" sqref="Z512">
      <formula1>XDO_NOT_DELETE!$A$502:$Z$502</formula1>
    </dataValidation>
    <dataValidation type="list" allowBlank="1" sqref="AA792 Z793">
      <formula1>XDO_NOT_DELETE!$A$783:$Z$783</formula1>
    </dataValidation>
    <dataValidation type="list" allowBlank="1" sqref="AA873 Z874">
      <formula1>XDO_NOT_DELETE!$A$864:$Z$864</formula1>
    </dataValidation>
    <dataValidation type="list" allowBlank="1" sqref="AA697 Z698">
      <formula1>XDO_NOT_DELETE!$A$688:$Z$688</formula1>
    </dataValidation>
    <dataValidation type="list" allowBlank="1" sqref="AA564 Z565">
      <formula1>XDO_NOT_DELETE!$A$555:$Z$555</formula1>
    </dataValidation>
    <dataValidation type="list" allowBlank="1" sqref="AA956 Z957">
      <formula1>XDO_NOT_DELETE!$A$947:$Z$947</formula1>
    </dataValidation>
    <dataValidation type="list" allowBlank="1" sqref="AA740 Z741">
      <formula1>XDO_NOT_DELETE!$A$731:$Z$731</formula1>
    </dataValidation>
    <dataValidation type="list" allowBlank="1" sqref="AA793 Z794">
      <formula1>XDO_NOT_DELETE!$A$784:$Z$784</formula1>
    </dataValidation>
    <dataValidation type="list" allowBlank="1" sqref="AA969 Z970">
      <formula1>XDO_NOT_DELETE!$A$960:$Z$960</formula1>
    </dataValidation>
    <dataValidation type="list" allowBlank="1" sqref="AA958 Z959">
      <formula1>XDO_NOT_DELETE!$A$949:$Z$949</formula1>
    </dataValidation>
    <dataValidation type="list" allowBlank="1" sqref="AA563 Z564">
      <formula1>XDO_NOT_DELETE!$A$554:$Z$554</formula1>
    </dataValidation>
    <dataValidation type="list" allowBlank="1" sqref="AA739 Z740">
      <formula1>XDO_NOT_DELETE!$A$730:$Z$730</formula1>
    </dataValidation>
    <dataValidation type="list" allowBlank="1" sqref="AA728 Z729">
      <formula1>XDO_NOT_DELETE!$A$719:$Z$719</formula1>
    </dataValidation>
    <dataValidation type="list" allowBlank="1" sqref="AA876 Z877">
      <formula1>XDO_NOT_DELETE!$A$867:$Z$867</formula1>
    </dataValidation>
    <dataValidation type="list" allowBlank="1" sqref="Z510">
      <formula1>XDO_NOT_DELETE!$A$500:$Z$500</formula1>
    </dataValidation>
    <dataValidation type="list" allowBlank="1" sqref="AA646 Z647">
      <formula1>XDO_NOT_DELETE!$A$637:$Z$637</formula1>
    </dataValidation>
    <dataValidation type="list" allowBlank="1" sqref="AA822 Z823">
      <formula1>XDO_NOT_DELETE!$A$813:$Z$813</formula1>
    </dataValidation>
    <dataValidation type="list" allowBlank="1" sqref="AA727 Z728">
      <formula1>XDO_NOT_DELETE!$A$718:$Z$718</formula1>
    </dataValidation>
    <dataValidation type="list" allowBlank="1" sqref="AA562 Z563">
      <formula1>XDO_NOT_DELETE!$A$553:$Z$553</formula1>
    </dataValidation>
    <dataValidation type="list" allowBlank="1" sqref="AA821 Z822">
      <formula1>XDO_NOT_DELETE!$A$812:$Z$812</formula1>
    </dataValidation>
    <dataValidation type="list" allowBlank="1" sqref="AA875 Z876">
      <formula1>XDO_NOT_DELETE!$A$866:$Z$866</formula1>
    </dataValidation>
    <dataValidation type="list" allowBlank="1" sqref="AA645 Z646">
      <formula1>XDO_NOT_DELETE!$A$636:$Z$636</formula1>
    </dataValidation>
  </dataValidations>
  <hyperlinks>
    <hyperlink r:id="rId1" ref="K11"/>
    <hyperlink r:id="rId2" ref="L11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3" max="3" width="25.25"/>
    <col customWidth="1" min="4" max="4" width="16.75"/>
    <col customWidth="1" min="5" max="5" width="1.75"/>
    <col customWidth="1" min="6" max="6" width="14.25"/>
    <col customWidth="1" min="9" max="9" width="14.75"/>
    <col customWidth="1" min="10" max="10" width="17.25"/>
  </cols>
  <sheetData>
    <row r="1">
      <c r="A1" s="93" t="s">
        <v>144</v>
      </c>
      <c r="B1" s="1" t="s">
        <v>145</v>
      </c>
      <c r="C1" s="1" t="s">
        <v>146</v>
      </c>
      <c r="D1" s="1"/>
      <c r="E1" s="1"/>
      <c r="F1" s="1" t="s">
        <v>147</v>
      </c>
      <c r="G1" s="1" t="s">
        <v>148</v>
      </c>
      <c r="H1" s="1" t="s">
        <v>7</v>
      </c>
      <c r="I1" s="1" t="s">
        <v>149</v>
      </c>
      <c r="J1" s="1" t="s">
        <v>150</v>
      </c>
      <c r="K1" s="1" t="s">
        <v>151</v>
      </c>
      <c r="L1" s="1" t="s">
        <v>66</v>
      </c>
    </row>
    <row r="2">
      <c r="A2" s="94" t="s">
        <v>152</v>
      </c>
      <c r="B2" s="1" t="s">
        <v>118</v>
      </c>
      <c r="C2" s="1" t="s">
        <v>153</v>
      </c>
      <c r="D2" s="1"/>
      <c r="E2" s="4"/>
      <c r="F2" s="1" t="s">
        <v>154</v>
      </c>
      <c r="G2" s="95" t="s">
        <v>115</v>
      </c>
      <c r="H2" s="1" t="s">
        <v>126</v>
      </c>
      <c r="I2" s="1" t="s">
        <v>113</v>
      </c>
      <c r="J2" s="96" t="s">
        <v>119</v>
      </c>
      <c r="K2" s="1" t="s">
        <v>155</v>
      </c>
      <c r="L2" s="1" t="s">
        <v>114</v>
      </c>
    </row>
    <row r="3">
      <c r="A3" s="94" t="s">
        <v>156</v>
      </c>
      <c r="B3" s="1" t="s">
        <v>157</v>
      </c>
      <c r="C3" s="1" t="s">
        <v>109</v>
      </c>
      <c r="D3" s="4"/>
      <c r="E3" s="4"/>
      <c r="F3" s="1" t="s">
        <v>158</v>
      </c>
      <c r="G3" s="95" t="s">
        <v>159</v>
      </c>
      <c r="H3" s="1" t="s">
        <v>103</v>
      </c>
      <c r="I3" s="1" t="s">
        <v>160</v>
      </c>
      <c r="J3" s="96" t="s">
        <v>120</v>
      </c>
      <c r="K3" s="4"/>
      <c r="L3" s="1" t="s">
        <v>161</v>
      </c>
    </row>
    <row r="4">
      <c r="A4" s="93" t="s">
        <v>162</v>
      </c>
      <c r="B4" s="1" t="s">
        <v>163</v>
      </c>
      <c r="C4" s="1" t="s">
        <v>164</v>
      </c>
      <c r="D4" s="1" t="s">
        <v>165</v>
      </c>
      <c r="E4" s="4"/>
      <c r="F4" s="1" t="s">
        <v>166</v>
      </c>
      <c r="G4" s="95" t="s">
        <v>167</v>
      </c>
      <c r="I4" s="1" t="s">
        <v>168</v>
      </c>
      <c r="J4" s="97" t="s">
        <v>121</v>
      </c>
      <c r="L4" s="1" t="s">
        <v>169</v>
      </c>
    </row>
    <row r="5">
      <c r="A5" s="93" t="s">
        <v>170</v>
      </c>
      <c r="B5" s="1" t="s">
        <v>171</v>
      </c>
      <c r="C5" s="1" t="s">
        <v>172</v>
      </c>
      <c r="D5" s="1" t="s">
        <v>116</v>
      </c>
      <c r="E5" s="4"/>
      <c r="F5" s="1" t="s">
        <v>173</v>
      </c>
      <c r="G5" s="95" t="s">
        <v>174</v>
      </c>
      <c r="I5" s="1" t="s">
        <v>175</v>
      </c>
      <c r="J5" s="97" t="s">
        <v>122</v>
      </c>
      <c r="L5" s="98" t="s">
        <v>176</v>
      </c>
    </row>
    <row r="6">
      <c r="A6" s="94" t="s">
        <v>177</v>
      </c>
      <c r="B6" s="1" t="s">
        <v>178</v>
      </c>
      <c r="C6" s="4"/>
      <c r="D6" s="1" t="s">
        <v>179</v>
      </c>
      <c r="E6" s="4"/>
      <c r="F6" s="99" t="s">
        <v>180</v>
      </c>
      <c r="G6" s="95" t="s">
        <v>181</v>
      </c>
      <c r="I6" s="1" t="s">
        <v>182</v>
      </c>
      <c r="J6" s="96" t="s">
        <v>123</v>
      </c>
      <c r="L6" s="98" t="s">
        <v>183</v>
      </c>
    </row>
    <row r="7">
      <c r="A7" s="94" t="s">
        <v>184</v>
      </c>
      <c r="B7" s="1" t="s">
        <v>185</v>
      </c>
      <c r="C7" s="4"/>
      <c r="D7" s="1" t="s">
        <v>186</v>
      </c>
      <c r="E7" s="1" t="s">
        <v>187</v>
      </c>
      <c r="F7" s="1" t="s">
        <v>112</v>
      </c>
      <c r="G7" s="95" t="s">
        <v>188</v>
      </c>
      <c r="I7" s="1" t="s">
        <v>189</v>
      </c>
      <c r="J7" s="96" t="s">
        <v>124</v>
      </c>
      <c r="L7" s="1" t="s">
        <v>190</v>
      </c>
    </row>
    <row r="8">
      <c r="A8" s="93" t="s">
        <v>191</v>
      </c>
      <c r="B8" s="1" t="s">
        <v>192</v>
      </c>
      <c r="C8" s="4"/>
      <c r="D8" s="1" t="s">
        <v>193</v>
      </c>
      <c r="E8" s="1" t="s">
        <v>187</v>
      </c>
      <c r="F8" s="1" t="s">
        <v>194</v>
      </c>
      <c r="G8" s="95" t="s">
        <v>195</v>
      </c>
      <c r="I8" s="1" t="s">
        <v>196</v>
      </c>
      <c r="J8" s="97" t="s">
        <v>125</v>
      </c>
      <c r="L8" s="1" t="s">
        <v>197</v>
      </c>
    </row>
    <row r="9">
      <c r="A9" s="100" t="s">
        <v>198</v>
      </c>
      <c r="B9" s="1" t="s">
        <v>199</v>
      </c>
      <c r="C9" s="4"/>
      <c r="D9" s="1" t="s">
        <v>200</v>
      </c>
      <c r="E9" s="1" t="s">
        <v>187</v>
      </c>
      <c r="F9" s="1" t="s">
        <v>201</v>
      </c>
      <c r="G9" s="95" t="s">
        <v>202</v>
      </c>
      <c r="I9" s="1" t="s">
        <v>203</v>
      </c>
      <c r="J9" s="97" t="s">
        <v>127</v>
      </c>
      <c r="L9" s="98" t="s">
        <v>204</v>
      </c>
    </row>
    <row r="10">
      <c r="A10" s="93" t="s">
        <v>205</v>
      </c>
      <c r="B10" s="1" t="s">
        <v>206</v>
      </c>
      <c r="C10" s="4"/>
      <c r="D10" s="1" t="s">
        <v>207</v>
      </c>
      <c r="E10" s="1" t="s">
        <v>187</v>
      </c>
      <c r="G10" s="95" t="s">
        <v>208</v>
      </c>
      <c r="I10" s="1" t="s">
        <v>209</v>
      </c>
      <c r="J10" s="97" t="s">
        <v>128</v>
      </c>
      <c r="L10" s="1" t="s">
        <v>210</v>
      </c>
    </row>
    <row r="11">
      <c r="A11" s="94" t="s">
        <v>211</v>
      </c>
      <c r="B11" s="1" t="s">
        <v>212</v>
      </c>
      <c r="C11" s="4"/>
      <c r="D11" s="1"/>
      <c r="E11" s="1" t="s">
        <v>187</v>
      </c>
      <c r="G11" s="101" t="s">
        <v>213</v>
      </c>
      <c r="I11" s="1" t="s">
        <v>214</v>
      </c>
      <c r="J11" s="96" t="s">
        <v>129</v>
      </c>
      <c r="L11" s="1" t="s">
        <v>215</v>
      </c>
    </row>
    <row r="12">
      <c r="A12" s="94" t="s">
        <v>216</v>
      </c>
      <c r="B12" s="1" t="s">
        <v>217</v>
      </c>
      <c r="C12" s="4"/>
      <c r="E12" s="1"/>
      <c r="G12" s="101" t="s">
        <v>218</v>
      </c>
      <c r="I12" s="1" t="s">
        <v>219</v>
      </c>
      <c r="J12" s="96" t="s">
        <v>130</v>
      </c>
      <c r="L12" s="1" t="s">
        <v>220</v>
      </c>
    </row>
    <row r="13">
      <c r="A13" s="93" t="s">
        <v>221</v>
      </c>
      <c r="B13" s="1" t="s">
        <v>222</v>
      </c>
      <c r="E13" s="4"/>
      <c r="G13" s="101" t="s">
        <v>223</v>
      </c>
      <c r="I13" s="1" t="s">
        <v>224</v>
      </c>
      <c r="J13" s="96" t="s">
        <v>131</v>
      </c>
      <c r="L13" s="1" t="s">
        <v>225</v>
      </c>
    </row>
    <row r="14">
      <c r="A14" s="97" t="s">
        <v>111</v>
      </c>
      <c r="B14" s="1" t="s">
        <v>226</v>
      </c>
      <c r="E14" s="4"/>
      <c r="G14" s="102" t="s">
        <v>227</v>
      </c>
      <c r="I14" s="1" t="s">
        <v>228</v>
      </c>
      <c r="J14" s="96" t="s">
        <v>132</v>
      </c>
      <c r="L14" s="1" t="s">
        <v>229</v>
      </c>
    </row>
    <row r="15">
      <c r="A15" s="94" t="s">
        <v>230</v>
      </c>
      <c r="B15" s="1" t="s">
        <v>231</v>
      </c>
      <c r="E15" s="1" t="s">
        <v>187</v>
      </c>
      <c r="G15" s="102" t="s">
        <v>232</v>
      </c>
      <c r="I15" s="1" t="s">
        <v>233</v>
      </c>
      <c r="J15" s="103" t="s">
        <v>133</v>
      </c>
      <c r="L15" s="1" t="s">
        <v>234</v>
      </c>
    </row>
    <row r="16">
      <c r="A16" s="93" t="s">
        <v>235</v>
      </c>
      <c r="B16" s="99" t="s">
        <v>236</v>
      </c>
      <c r="E16" s="1" t="s">
        <v>187</v>
      </c>
      <c r="G16" s="102" t="s">
        <v>237</v>
      </c>
      <c r="I16" s="1" t="s">
        <v>238</v>
      </c>
      <c r="J16" s="103" t="s">
        <v>134</v>
      </c>
      <c r="L16" s="1" t="s">
        <v>239</v>
      </c>
    </row>
    <row r="17">
      <c r="A17" s="93" t="s">
        <v>240</v>
      </c>
      <c r="E17" s="1" t="s">
        <v>187</v>
      </c>
      <c r="I17" s="1" t="s">
        <v>241</v>
      </c>
      <c r="J17" s="103" t="s">
        <v>135</v>
      </c>
      <c r="L17" s="1" t="s">
        <v>242</v>
      </c>
    </row>
    <row r="18">
      <c r="A18" s="94" t="s">
        <v>243</v>
      </c>
      <c r="C18" s="4"/>
      <c r="E18" s="1" t="s">
        <v>187</v>
      </c>
      <c r="I18" s="1" t="s">
        <v>244</v>
      </c>
      <c r="J18" s="104" t="s">
        <v>136</v>
      </c>
      <c r="L18" s="1" t="s">
        <v>245</v>
      </c>
    </row>
    <row r="19">
      <c r="A19" s="94" t="s">
        <v>246</v>
      </c>
      <c r="C19" s="4"/>
      <c r="E19" s="1" t="s">
        <v>187</v>
      </c>
      <c r="I19" s="1" t="s">
        <v>247</v>
      </c>
      <c r="J19" s="93" t="s">
        <v>137</v>
      </c>
      <c r="L19" s="99" t="s">
        <v>248</v>
      </c>
    </row>
    <row r="20">
      <c r="A20" s="93" t="s">
        <v>249</v>
      </c>
      <c r="C20" s="4"/>
      <c r="E20" s="1" t="s">
        <v>187</v>
      </c>
      <c r="I20" s="1" t="s">
        <v>250</v>
      </c>
      <c r="J20" s="93" t="s">
        <v>138</v>
      </c>
    </row>
    <row r="21">
      <c r="A21" s="93" t="s">
        <v>251</v>
      </c>
      <c r="C21" s="4"/>
      <c r="E21" s="1"/>
      <c r="I21" s="1" t="s">
        <v>252</v>
      </c>
      <c r="J21" s="93" t="s">
        <v>139</v>
      </c>
    </row>
    <row r="22">
      <c r="A22" s="93" t="s">
        <v>253</v>
      </c>
      <c r="C22" s="4"/>
      <c r="E22" s="1"/>
      <c r="I22" s="1" t="s">
        <v>254</v>
      </c>
      <c r="J22" s="103" t="s">
        <v>140</v>
      </c>
    </row>
    <row r="23">
      <c r="A23" s="99" t="s">
        <v>255</v>
      </c>
      <c r="C23" s="4"/>
      <c r="E23" s="4"/>
      <c r="J23" s="103" t="s">
        <v>141</v>
      </c>
    </row>
    <row r="24">
      <c r="A24" s="93" t="s">
        <v>256</v>
      </c>
      <c r="C24" s="4"/>
      <c r="E24" s="4"/>
      <c r="J24" s="105" t="s">
        <v>257</v>
      </c>
    </row>
    <row r="25">
      <c r="A25" s="94" t="s">
        <v>258</v>
      </c>
      <c r="C25" s="4"/>
      <c r="E25" s="4"/>
      <c r="J25" s="105" t="s">
        <v>104</v>
      </c>
    </row>
    <row r="26">
      <c r="A26" s="93" t="s">
        <v>259</v>
      </c>
      <c r="E26" s="1" t="s">
        <v>187</v>
      </c>
      <c r="J26" s="103" t="s">
        <v>143</v>
      </c>
    </row>
    <row r="27">
      <c r="A27" s="93" t="s">
        <v>260</v>
      </c>
      <c r="E27" s="4"/>
    </row>
    <row r="28">
      <c r="A28" s="93" t="s">
        <v>261</v>
      </c>
      <c r="B28" s="4"/>
      <c r="E28" s="4"/>
    </row>
    <row r="29">
      <c r="A29" s="93" t="s">
        <v>262</v>
      </c>
      <c r="B29" s="4"/>
      <c r="E29" s="4"/>
    </row>
    <row r="30">
      <c r="A30" s="93" t="s">
        <v>263</v>
      </c>
      <c r="B30" s="4"/>
      <c r="E30" s="4"/>
    </row>
    <row r="31">
      <c r="A31" s="106" t="s">
        <v>264</v>
      </c>
      <c r="B31" s="4"/>
      <c r="E31" s="4"/>
    </row>
    <row r="32">
      <c r="A32" s="107"/>
      <c r="B32" s="4"/>
      <c r="E32" s="4"/>
    </row>
    <row r="33">
      <c r="A33" s="107"/>
      <c r="B33" s="4"/>
      <c r="E33" s="1" t="s">
        <v>187</v>
      </c>
    </row>
    <row r="34">
      <c r="A34" s="107"/>
      <c r="B34" s="4"/>
      <c r="E34" s="4"/>
    </row>
    <row r="35">
      <c r="A35" s="107"/>
      <c r="B35" s="4"/>
      <c r="C35" s="4"/>
      <c r="E35" s="4"/>
    </row>
    <row r="36">
      <c r="A36" s="107"/>
      <c r="B36" s="4"/>
      <c r="C36" s="4"/>
      <c r="E36" s="4"/>
    </row>
    <row r="37">
      <c r="A37" s="107"/>
      <c r="B37" s="4"/>
      <c r="C37" s="4"/>
      <c r="E37" s="4"/>
    </row>
    <row r="38">
      <c r="A38" s="107"/>
      <c r="B38" s="4"/>
      <c r="C38" s="4"/>
      <c r="E38" s="4"/>
    </row>
    <row r="39">
      <c r="A39" s="107"/>
      <c r="B39" s="4"/>
      <c r="C39" s="4"/>
      <c r="E39" s="4"/>
    </row>
    <row r="40">
      <c r="A40" s="107"/>
      <c r="B40" s="4"/>
      <c r="C40" s="4"/>
      <c r="E40" s="4"/>
    </row>
    <row r="41">
      <c r="A41" s="107"/>
      <c r="B41" s="4"/>
      <c r="C41" s="4"/>
      <c r="E41" s="4"/>
    </row>
    <row r="42">
      <c r="A42" s="107"/>
      <c r="B42" s="4"/>
      <c r="C42" s="4"/>
      <c r="E42" s="4"/>
    </row>
    <row r="43">
      <c r="A43" s="107"/>
      <c r="B43" s="4"/>
      <c r="C43" s="4"/>
      <c r="E43" s="4"/>
    </row>
    <row r="44">
      <c r="A44" s="107"/>
      <c r="B44" s="4"/>
      <c r="C44" s="4"/>
      <c r="E44" s="4"/>
    </row>
    <row r="45">
      <c r="A45" s="107"/>
      <c r="B45" s="4"/>
      <c r="C45" s="4"/>
      <c r="E45" s="4"/>
    </row>
    <row r="46">
      <c r="A46" s="107"/>
      <c r="B46" s="4"/>
      <c r="E46" s="4"/>
    </row>
    <row r="47">
      <c r="A47" s="107"/>
      <c r="B47" s="4"/>
      <c r="E47" s="4"/>
    </row>
    <row r="48">
      <c r="A48" s="107"/>
      <c r="B48" s="4"/>
      <c r="E48" s="4"/>
    </row>
    <row r="49">
      <c r="A49" s="107"/>
      <c r="B49" s="4"/>
      <c r="E49" s="4"/>
    </row>
    <row r="50">
      <c r="A50" s="107"/>
      <c r="B50" s="4"/>
      <c r="E50" s="4"/>
    </row>
    <row r="51">
      <c r="A51" s="107"/>
      <c r="B51" s="4"/>
      <c r="E51" s="4"/>
    </row>
    <row r="52">
      <c r="A52" s="107"/>
      <c r="B52" s="4"/>
      <c r="E52" s="4"/>
    </row>
    <row r="53">
      <c r="A53" s="107"/>
      <c r="B53" s="4"/>
      <c r="E53" s="4"/>
    </row>
    <row r="54">
      <c r="A54" s="107"/>
      <c r="B54" s="4"/>
      <c r="C54" s="108"/>
      <c r="E54" s="4"/>
    </row>
    <row r="55">
      <c r="A55" s="107"/>
      <c r="B55" s="4"/>
      <c r="C55" s="4"/>
      <c r="E55" s="4"/>
    </row>
    <row r="56">
      <c r="A56" s="107"/>
      <c r="B56" s="4"/>
      <c r="C56" s="4"/>
      <c r="E56" s="4"/>
    </row>
    <row r="57">
      <c r="A57" s="107"/>
      <c r="B57" s="4"/>
      <c r="C57" s="4"/>
      <c r="E57" s="4"/>
    </row>
    <row r="58">
      <c r="A58" s="107"/>
      <c r="B58" s="4"/>
      <c r="E58" s="4"/>
    </row>
    <row r="59">
      <c r="A59" s="107"/>
      <c r="B59" s="4"/>
      <c r="E59" s="4"/>
    </row>
    <row r="60">
      <c r="A60" s="107"/>
      <c r="B60" s="4"/>
      <c r="E60" s="4"/>
    </row>
    <row r="61">
      <c r="A61" s="107"/>
      <c r="B61" s="4"/>
      <c r="C61" s="4"/>
      <c r="E61" s="4"/>
    </row>
    <row r="62">
      <c r="A62" s="107"/>
      <c r="B62" s="4"/>
      <c r="C62" s="4"/>
      <c r="E62" s="4"/>
    </row>
    <row r="63">
      <c r="A63" s="107"/>
      <c r="B63" s="4"/>
      <c r="C63" s="4"/>
      <c r="E63" s="4"/>
    </row>
    <row r="64">
      <c r="A64" s="107"/>
      <c r="B64" s="4"/>
      <c r="C64" s="4"/>
      <c r="E64" s="4"/>
    </row>
    <row r="65">
      <c r="A65" s="107"/>
      <c r="B65" s="4"/>
      <c r="C65" s="4"/>
      <c r="E65" s="4"/>
    </row>
    <row r="66">
      <c r="A66" s="107"/>
      <c r="B66" s="4"/>
      <c r="C66" s="4"/>
      <c r="E66" s="4"/>
    </row>
    <row r="67">
      <c r="A67" s="107"/>
      <c r="B67" s="4"/>
      <c r="C67" s="4"/>
      <c r="E67" s="4"/>
    </row>
    <row r="68">
      <c r="A68" s="107"/>
      <c r="B68" s="4"/>
      <c r="C68" s="4"/>
      <c r="E68" s="4"/>
    </row>
    <row r="69">
      <c r="A69" s="107"/>
      <c r="B69" s="4"/>
      <c r="C69" s="4"/>
      <c r="D69" s="4"/>
      <c r="E69" s="4"/>
    </row>
    <row r="70">
      <c r="A70" s="107"/>
      <c r="B70" s="4"/>
      <c r="C70" s="1"/>
      <c r="D70" s="4"/>
      <c r="E70" s="4"/>
    </row>
    <row r="71">
      <c r="A71" s="107"/>
      <c r="B71" s="4"/>
      <c r="C71" s="1"/>
      <c r="D71" s="4"/>
      <c r="E71" s="4"/>
    </row>
    <row r="72">
      <c r="A72" s="107"/>
      <c r="B72" s="4"/>
      <c r="C72" s="1"/>
      <c r="D72" s="4"/>
      <c r="E72" s="4"/>
    </row>
    <row r="73">
      <c r="A73" s="107"/>
      <c r="B73" s="4"/>
      <c r="C73" s="1"/>
      <c r="D73" s="4"/>
      <c r="E73" s="4"/>
    </row>
    <row r="74">
      <c r="A74" s="107"/>
      <c r="B74" s="4"/>
      <c r="C74" s="1"/>
      <c r="D74" s="4"/>
      <c r="E74" s="4"/>
    </row>
    <row r="75">
      <c r="A75" s="107"/>
      <c r="B75" s="4"/>
      <c r="C75" s="1"/>
      <c r="D75" s="1"/>
      <c r="E75" s="4"/>
    </row>
    <row r="76">
      <c r="A76" s="107"/>
      <c r="B76" s="4"/>
      <c r="C76" s="1"/>
      <c r="D76" s="1"/>
      <c r="E76" s="4"/>
    </row>
    <row r="77">
      <c r="A77" s="107"/>
      <c r="B77" s="4"/>
      <c r="C77" s="1"/>
      <c r="D77" s="1"/>
      <c r="E77" s="4"/>
    </row>
    <row r="78">
      <c r="A78" s="107"/>
      <c r="B78" s="4"/>
      <c r="C78" s="1"/>
      <c r="D78" s="1"/>
      <c r="E78" s="4"/>
    </row>
    <row r="79">
      <c r="A79" s="107"/>
      <c r="B79" s="4"/>
      <c r="C79" s="1"/>
      <c r="D79" s="1"/>
      <c r="E79" s="4"/>
    </row>
    <row r="80">
      <c r="A80" s="107"/>
      <c r="B80" s="4"/>
      <c r="C80" s="1"/>
      <c r="D80" s="1"/>
      <c r="E80" s="4"/>
    </row>
    <row r="81">
      <c r="A81" s="107"/>
      <c r="B81" s="4"/>
      <c r="C81" s="1"/>
      <c r="D81" s="1"/>
      <c r="E81" s="4"/>
    </row>
    <row r="82">
      <c r="A82" s="107"/>
      <c r="B82" s="4"/>
      <c r="C82" s="1"/>
      <c r="D82" s="1"/>
      <c r="E82" s="4"/>
    </row>
    <row r="83">
      <c r="A83" s="107"/>
      <c r="B83" s="4"/>
      <c r="C83" s="1"/>
      <c r="D83" s="1"/>
      <c r="E83" s="4"/>
    </row>
    <row r="84">
      <c r="A84" s="107"/>
      <c r="B84" s="4"/>
      <c r="C84" s="1"/>
      <c r="D84" s="1"/>
      <c r="E84" s="4"/>
    </row>
    <row r="85">
      <c r="A85" s="107"/>
      <c r="B85" s="4"/>
      <c r="C85" s="1"/>
      <c r="D85" s="1"/>
      <c r="E85" s="4"/>
    </row>
    <row r="86">
      <c r="A86" s="107"/>
      <c r="B86" s="4"/>
      <c r="C86" s="1"/>
      <c r="D86" s="1"/>
      <c r="E86" s="4"/>
    </row>
    <row r="87">
      <c r="A87" s="107"/>
      <c r="B87" s="4"/>
      <c r="C87" s="1"/>
      <c r="D87" s="1"/>
      <c r="E87" s="4"/>
    </row>
    <row r="88">
      <c r="A88" s="107"/>
      <c r="B88" s="4"/>
      <c r="C88" s="1"/>
      <c r="D88" s="1"/>
      <c r="E88" s="4"/>
    </row>
    <row r="89">
      <c r="A89" s="107"/>
      <c r="B89" s="4"/>
      <c r="C89" s="1"/>
      <c r="D89" s="1"/>
      <c r="E89" s="4"/>
    </row>
    <row r="90">
      <c r="A90" s="107"/>
      <c r="B90" s="4"/>
      <c r="C90" s="1"/>
      <c r="D90" s="1"/>
      <c r="E90" s="4"/>
    </row>
    <row r="91">
      <c r="A91" s="107"/>
      <c r="B91" s="4"/>
      <c r="C91" s="1"/>
      <c r="D91" s="1"/>
      <c r="E91" s="4"/>
    </row>
    <row r="92">
      <c r="A92" s="107"/>
      <c r="B92" s="4"/>
      <c r="C92" s="1"/>
      <c r="D92" s="1"/>
      <c r="E92" s="4"/>
    </row>
    <row r="93">
      <c r="A93" s="107"/>
      <c r="B93" s="4"/>
      <c r="C93" s="1"/>
      <c r="D93" s="1"/>
      <c r="E93" s="4"/>
    </row>
    <row r="94">
      <c r="A94" s="107"/>
      <c r="B94" s="4"/>
      <c r="C94" s="4"/>
      <c r="D94" s="1"/>
      <c r="E94" s="4"/>
    </row>
    <row r="95">
      <c r="A95" s="107"/>
      <c r="B95" s="4"/>
      <c r="C95" s="4"/>
      <c r="D95" s="1"/>
      <c r="E95" s="4"/>
    </row>
    <row r="96">
      <c r="A96" s="107"/>
      <c r="B96" s="4"/>
      <c r="C96" s="4"/>
      <c r="D96" s="1"/>
      <c r="E96" s="4"/>
    </row>
    <row r="97">
      <c r="A97" s="107"/>
      <c r="B97" s="4"/>
      <c r="C97" s="4"/>
      <c r="D97" s="1"/>
      <c r="E97" s="4"/>
    </row>
    <row r="98">
      <c r="A98" s="107"/>
      <c r="B98" s="4"/>
      <c r="C98" s="4"/>
      <c r="D98" s="1"/>
      <c r="E98" s="4"/>
    </row>
    <row r="99">
      <c r="A99" s="107"/>
      <c r="B99" s="4"/>
      <c r="C99" s="4"/>
      <c r="D99" s="4"/>
      <c r="E99" s="4"/>
    </row>
    <row r="100">
      <c r="A100" s="107"/>
      <c r="B100" s="4"/>
      <c r="C100" s="4"/>
      <c r="D100" s="4"/>
      <c r="E100" s="4"/>
    </row>
    <row r="101">
      <c r="A101" s="107"/>
      <c r="B101" s="4"/>
      <c r="C101" s="4"/>
      <c r="D101" s="4"/>
      <c r="E101" s="4"/>
    </row>
    <row r="102">
      <c r="A102" s="107"/>
      <c r="B102" s="4"/>
      <c r="C102" s="4"/>
      <c r="D102" s="4"/>
      <c r="E102" s="4"/>
    </row>
    <row r="103">
      <c r="A103" s="107"/>
      <c r="B103" s="4"/>
      <c r="C103" s="4"/>
      <c r="D103" s="4"/>
      <c r="E103" s="4"/>
    </row>
    <row r="104">
      <c r="A104" s="107"/>
      <c r="B104" s="4"/>
      <c r="C104" s="4"/>
      <c r="D104" s="4"/>
      <c r="E104" s="4"/>
    </row>
    <row r="105">
      <c r="A105" s="107"/>
      <c r="B105" s="4"/>
      <c r="C105" s="4"/>
      <c r="D105" s="4"/>
      <c r="E105" s="4"/>
    </row>
    <row r="106">
      <c r="A106" s="107"/>
      <c r="B106" s="4"/>
      <c r="C106" s="4"/>
      <c r="D106" s="4"/>
      <c r="E106" s="4"/>
    </row>
    <row r="107">
      <c r="A107" s="107"/>
      <c r="B107" s="4"/>
      <c r="C107" s="4"/>
      <c r="D107" s="4"/>
      <c r="E107" s="4"/>
    </row>
    <row r="108">
      <c r="A108" s="107"/>
      <c r="B108" s="4"/>
      <c r="C108" s="4"/>
      <c r="D108" s="4"/>
      <c r="E108" s="4"/>
    </row>
    <row r="109">
      <c r="A109" s="107"/>
      <c r="B109" s="4"/>
      <c r="C109" s="4"/>
      <c r="D109" s="4"/>
      <c r="E109" s="4"/>
    </row>
    <row r="110">
      <c r="A110" s="107"/>
      <c r="B110" s="4"/>
      <c r="C110" s="109"/>
      <c r="D110" s="4"/>
      <c r="E110" s="109"/>
    </row>
    <row r="111">
      <c r="A111" s="107"/>
      <c r="B111" s="4"/>
      <c r="C111" s="109"/>
      <c r="D111" s="4"/>
      <c r="E111" s="109"/>
    </row>
    <row r="112">
      <c r="A112" s="107"/>
      <c r="B112" s="4"/>
      <c r="C112" s="109"/>
      <c r="D112" s="4"/>
      <c r="E112" s="109"/>
    </row>
    <row r="113">
      <c r="A113" s="107"/>
      <c r="B113" s="4"/>
      <c r="C113" s="109"/>
      <c r="D113" s="4"/>
      <c r="E113" s="109"/>
    </row>
    <row r="114">
      <c r="A114" s="107"/>
      <c r="B114" s="109"/>
      <c r="C114" s="109"/>
      <c r="D114" s="4"/>
      <c r="E114" s="109"/>
    </row>
    <row r="115">
      <c r="A115" s="107"/>
      <c r="B115" s="109"/>
      <c r="C115" s="109"/>
      <c r="D115" s="109"/>
      <c r="E115" s="109"/>
    </row>
    <row r="116">
      <c r="A116" s="107"/>
      <c r="B116" s="109"/>
      <c r="C116" s="109"/>
      <c r="D116" s="109"/>
      <c r="E116" s="109"/>
    </row>
    <row r="117">
      <c r="A117" s="107"/>
      <c r="B117" s="109"/>
      <c r="C117" s="109"/>
      <c r="D117" s="109"/>
      <c r="E117" s="109"/>
    </row>
    <row r="118">
      <c r="A118" s="107"/>
      <c r="B118" s="109"/>
      <c r="C118" s="109"/>
      <c r="D118" s="109"/>
      <c r="E118" s="109"/>
    </row>
    <row r="119">
      <c r="A119" s="107"/>
      <c r="B119" s="109"/>
      <c r="C119" s="109"/>
      <c r="D119" s="109"/>
      <c r="E119" s="109"/>
    </row>
    <row r="120">
      <c r="A120" s="107"/>
      <c r="B120" s="109"/>
      <c r="C120" s="109"/>
      <c r="D120" s="109"/>
      <c r="E120" s="109"/>
    </row>
    <row r="121">
      <c r="A121" s="107"/>
      <c r="B121" s="109"/>
      <c r="C121" s="109"/>
      <c r="D121" s="109"/>
      <c r="E121" s="109"/>
    </row>
    <row r="122">
      <c r="A122" s="107"/>
      <c r="B122" s="109"/>
      <c r="C122" s="109"/>
      <c r="D122" s="109"/>
      <c r="E122" s="109"/>
    </row>
    <row r="123">
      <c r="A123" s="107"/>
      <c r="B123" s="109"/>
      <c r="C123" s="109"/>
      <c r="D123" s="109"/>
      <c r="E123" s="109"/>
    </row>
    <row r="124">
      <c r="A124" s="107"/>
      <c r="B124" s="109"/>
      <c r="C124" s="109"/>
      <c r="D124" s="109"/>
      <c r="E124" s="109"/>
    </row>
    <row r="125">
      <c r="A125" s="107"/>
      <c r="B125" s="109"/>
      <c r="C125" s="109"/>
      <c r="D125" s="109"/>
      <c r="E125" s="109"/>
    </row>
    <row r="126">
      <c r="A126" s="107"/>
      <c r="B126" s="109"/>
      <c r="C126" s="109"/>
      <c r="D126" s="109"/>
      <c r="E126" s="109"/>
    </row>
    <row r="127">
      <c r="A127" s="107"/>
      <c r="B127" s="109"/>
      <c r="C127" s="109"/>
      <c r="D127" s="109"/>
      <c r="E127" s="109"/>
    </row>
    <row r="128">
      <c r="A128" s="107"/>
      <c r="B128" s="109"/>
      <c r="C128" s="109"/>
      <c r="D128" s="109"/>
      <c r="E128" s="109"/>
    </row>
    <row r="129">
      <c r="A129" s="107"/>
      <c r="B129" s="109"/>
      <c r="C129" s="109"/>
      <c r="D129" s="109"/>
      <c r="E129" s="109"/>
    </row>
    <row r="130">
      <c r="A130" s="107"/>
      <c r="B130" s="109"/>
      <c r="C130" s="109"/>
      <c r="D130" s="109"/>
      <c r="E130" s="109"/>
    </row>
    <row r="131">
      <c r="A131" s="107"/>
      <c r="B131" s="109"/>
      <c r="C131" s="109"/>
      <c r="D131" s="109"/>
      <c r="E131" s="109"/>
    </row>
    <row r="132">
      <c r="A132" s="107"/>
      <c r="B132" s="109"/>
      <c r="C132" s="109"/>
      <c r="D132" s="109"/>
      <c r="E132" s="109"/>
    </row>
    <row r="133">
      <c r="A133" s="107"/>
      <c r="B133" s="109"/>
      <c r="C133" s="109"/>
      <c r="D133" s="109"/>
      <c r="E133" s="109"/>
    </row>
    <row r="134">
      <c r="A134" s="107"/>
      <c r="B134" s="109"/>
      <c r="C134" s="109"/>
      <c r="D134" s="109"/>
      <c r="E134" s="109"/>
    </row>
    <row r="135">
      <c r="A135" s="107"/>
      <c r="B135" s="109"/>
      <c r="C135" s="109"/>
      <c r="D135" s="109"/>
      <c r="E135" s="109"/>
    </row>
    <row r="136">
      <c r="A136" s="107"/>
      <c r="B136" s="109"/>
      <c r="C136" s="109"/>
      <c r="D136" s="109"/>
      <c r="E136" s="109"/>
    </row>
    <row r="137">
      <c r="A137" s="107"/>
      <c r="B137" s="109"/>
      <c r="C137" s="109"/>
      <c r="D137" s="109"/>
      <c r="E137" s="109"/>
    </row>
    <row r="138">
      <c r="A138" s="107"/>
      <c r="B138" s="109"/>
      <c r="C138" s="109"/>
      <c r="D138" s="109"/>
      <c r="E138" s="109"/>
    </row>
    <row r="139">
      <c r="A139" s="107"/>
      <c r="B139" s="109"/>
      <c r="C139" s="109"/>
      <c r="D139" s="109"/>
      <c r="E139" s="109"/>
    </row>
    <row r="140">
      <c r="A140" s="107"/>
      <c r="B140" s="109"/>
      <c r="C140" s="109"/>
      <c r="D140" s="109"/>
      <c r="E140" s="109"/>
    </row>
    <row r="141">
      <c r="A141" s="107"/>
      <c r="B141" s="109"/>
      <c r="C141" s="109"/>
      <c r="D141" s="109"/>
      <c r="E141" s="109"/>
    </row>
    <row r="142">
      <c r="A142" s="107"/>
      <c r="B142" s="109"/>
      <c r="C142" s="109"/>
      <c r="D142" s="109"/>
      <c r="E142" s="109"/>
    </row>
    <row r="143">
      <c r="A143" s="107"/>
      <c r="B143" s="109"/>
      <c r="C143" s="109"/>
      <c r="D143" s="109"/>
      <c r="E143" s="109"/>
    </row>
    <row r="144">
      <c r="A144" s="107"/>
      <c r="B144" s="109"/>
      <c r="C144" s="109"/>
      <c r="D144" s="109"/>
      <c r="E144" s="109"/>
    </row>
    <row r="145">
      <c r="A145" s="107"/>
      <c r="B145" s="109"/>
      <c r="C145" s="109"/>
      <c r="D145" s="109"/>
      <c r="E145" s="109"/>
    </row>
    <row r="146">
      <c r="A146" s="107"/>
      <c r="B146" s="109"/>
      <c r="C146" s="109"/>
      <c r="D146" s="109"/>
      <c r="E146" s="109"/>
    </row>
    <row r="147">
      <c r="A147" s="107"/>
      <c r="B147" s="109"/>
      <c r="C147" s="109"/>
      <c r="D147" s="109"/>
      <c r="E147" s="109"/>
    </row>
    <row r="148">
      <c r="A148" s="107"/>
      <c r="B148" s="109"/>
      <c r="C148" s="109"/>
      <c r="D148" s="109"/>
      <c r="E148" s="109"/>
    </row>
    <row r="149">
      <c r="A149" s="107"/>
      <c r="B149" s="109"/>
      <c r="C149" s="109"/>
      <c r="D149" s="109"/>
      <c r="E149" s="109"/>
    </row>
    <row r="150">
      <c r="A150" s="107"/>
      <c r="B150" s="109"/>
      <c r="C150" s="109"/>
      <c r="D150" s="109"/>
      <c r="E150" s="109"/>
    </row>
    <row r="151">
      <c r="A151" s="107"/>
      <c r="B151" s="109"/>
      <c r="C151" s="109"/>
      <c r="D151" s="109"/>
      <c r="E151" s="109"/>
    </row>
    <row r="152">
      <c r="A152" s="107"/>
      <c r="B152" s="109"/>
      <c r="C152" s="109"/>
      <c r="D152" s="109"/>
      <c r="E152" s="109"/>
    </row>
    <row r="153">
      <c r="A153" s="107"/>
      <c r="B153" s="109"/>
      <c r="C153" s="109"/>
      <c r="D153" s="109"/>
      <c r="E153" s="109"/>
    </row>
    <row r="154">
      <c r="A154" s="107"/>
      <c r="B154" s="109"/>
      <c r="C154" s="109"/>
      <c r="D154" s="109"/>
      <c r="E154" s="109"/>
    </row>
    <row r="155">
      <c r="A155" s="107"/>
      <c r="B155" s="109"/>
      <c r="C155" s="109"/>
      <c r="D155" s="109"/>
      <c r="E155" s="109"/>
    </row>
    <row r="156">
      <c r="A156" s="107"/>
      <c r="B156" s="109"/>
      <c r="C156" s="109"/>
      <c r="D156" s="109"/>
      <c r="E156" s="109"/>
    </row>
    <row r="157">
      <c r="A157" s="107"/>
      <c r="B157" s="109"/>
      <c r="C157" s="109"/>
      <c r="D157" s="109"/>
      <c r="E157" s="109"/>
    </row>
    <row r="158">
      <c r="A158" s="107"/>
      <c r="B158" s="109"/>
      <c r="C158" s="109"/>
      <c r="D158" s="109"/>
      <c r="E158" s="109"/>
    </row>
    <row r="159">
      <c r="A159" s="107"/>
      <c r="B159" s="109"/>
      <c r="C159" s="109"/>
      <c r="D159" s="109"/>
      <c r="E159" s="109"/>
    </row>
    <row r="160">
      <c r="A160" s="107"/>
      <c r="B160" s="109"/>
      <c r="C160" s="109"/>
      <c r="D160" s="109"/>
      <c r="E160" s="109"/>
    </row>
    <row r="161">
      <c r="A161" s="107"/>
      <c r="B161" s="109"/>
      <c r="C161" s="109"/>
      <c r="D161" s="109"/>
      <c r="E161" s="109"/>
    </row>
    <row r="162">
      <c r="A162" s="107"/>
      <c r="B162" s="109"/>
      <c r="C162" s="109"/>
      <c r="D162" s="109"/>
      <c r="E162" s="109"/>
    </row>
    <row r="163">
      <c r="A163" s="107"/>
      <c r="B163" s="109"/>
      <c r="C163" s="109"/>
      <c r="D163" s="109"/>
      <c r="E163" s="109"/>
    </row>
    <row r="164">
      <c r="A164" s="107"/>
      <c r="B164" s="109"/>
      <c r="C164" s="109"/>
      <c r="D164" s="109"/>
      <c r="E164" s="109"/>
    </row>
    <row r="165">
      <c r="A165" s="107"/>
      <c r="B165" s="109"/>
      <c r="C165" s="109"/>
      <c r="D165" s="109"/>
      <c r="E165" s="109"/>
    </row>
    <row r="166">
      <c r="A166" s="107"/>
      <c r="B166" s="109"/>
      <c r="C166" s="109"/>
      <c r="D166" s="109"/>
      <c r="E166" s="109"/>
    </row>
    <row r="167">
      <c r="A167" s="107"/>
      <c r="B167" s="109"/>
      <c r="C167" s="109"/>
      <c r="D167" s="109"/>
      <c r="E167" s="109"/>
    </row>
    <row r="168">
      <c r="A168" s="107"/>
      <c r="B168" s="109"/>
      <c r="C168" s="109"/>
      <c r="D168" s="109"/>
      <c r="E168" s="109"/>
    </row>
    <row r="169">
      <c r="A169" s="107"/>
      <c r="B169" s="109"/>
      <c r="C169" s="109"/>
      <c r="D169" s="109"/>
      <c r="E169" s="109"/>
    </row>
    <row r="170">
      <c r="A170" s="107"/>
      <c r="B170" s="109"/>
      <c r="C170" s="109"/>
      <c r="D170" s="109"/>
      <c r="E170" s="109"/>
    </row>
    <row r="171">
      <c r="A171" s="107"/>
      <c r="B171" s="109"/>
      <c r="C171" s="109"/>
      <c r="D171" s="109"/>
      <c r="E171" s="109"/>
    </row>
    <row r="172">
      <c r="A172" s="107"/>
      <c r="B172" s="109"/>
      <c r="C172" s="109"/>
      <c r="D172" s="109"/>
      <c r="E172" s="109"/>
    </row>
    <row r="173">
      <c r="A173" s="107"/>
      <c r="B173" s="109"/>
      <c r="C173" s="109"/>
      <c r="D173" s="109"/>
      <c r="E173" s="109"/>
    </row>
    <row r="174">
      <c r="A174" s="107"/>
      <c r="B174" s="109"/>
      <c r="C174" s="109"/>
      <c r="D174" s="109"/>
      <c r="E174" s="109"/>
    </row>
    <row r="175">
      <c r="A175" s="107"/>
      <c r="B175" s="109"/>
      <c r="C175" s="109"/>
      <c r="D175" s="109"/>
      <c r="E175" s="109"/>
    </row>
    <row r="176">
      <c r="A176" s="107"/>
      <c r="B176" s="109"/>
      <c r="C176" s="109"/>
      <c r="D176" s="109"/>
      <c r="E176" s="109"/>
    </row>
    <row r="177">
      <c r="A177" s="107"/>
      <c r="B177" s="109"/>
      <c r="C177" s="109"/>
      <c r="D177" s="109"/>
      <c r="E177" s="109"/>
    </row>
    <row r="178">
      <c r="A178" s="107"/>
      <c r="B178" s="109"/>
      <c r="C178" s="109"/>
      <c r="D178" s="109"/>
      <c r="E178" s="109"/>
    </row>
    <row r="179">
      <c r="A179" s="107"/>
      <c r="B179" s="109"/>
      <c r="C179" s="109"/>
      <c r="D179" s="109"/>
      <c r="E179" s="109"/>
    </row>
    <row r="180">
      <c r="A180" s="107"/>
      <c r="B180" s="109"/>
      <c r="C180" s="109"/>
      <c r="D180" s="109"/>
      <c r="E180" s="109"/>
    </row>
    <row r="181">
      <c r="A181" s="107"/>
      <c r="B181" s="109"/>
      <c r="C181" s="109"/>
      <c r="D181" s="109"/>
      <c r="E181" s="109"/>
    </row>
    <row r="182">
      <c r="A182" s="107"/>
      <c r="B182" s="109"/>
      <c r="C182" s="109"/>
      <c r="D182" s="109"/>
      <c r="E182" s="109"/>
    </row>
    <row r="183">
      <c r="A183" s="107"/>
      <c r="B183" s="109"/>
      <c r="C183" s="109"/>
      <c r="D183" s="109"/>
      <c r="E183" s="109"/>
    </row>
    <row r="184">
      <c r="A184" s="107"/>
      <c r="B184" s="109"/>
      <c r="C184" s="109"/>
      <c r="D184" s="109"/>
      <c r="E184" s="109"/>
    </row>
    <row r="185">
      <c r="A185" s="107"/>
      <c r="B185" s="109"/>
      <c r="C185" s="109"/>
      <c r="D185" s="109"/>
      <c r="E185" s="109"/>
    </row>
    <row r="186">
      <c r="A186" s="107"/>
      <c r="B186" s="109"/>
      <c r="C186" s="109"/>
      <c r="D186" s="109"/>
      <c r="E186" s="109"/>
    </row>
    <row r="187">
      <c r="A187" s="107"/>
      <c r="B187" s="109"/>
      <c r="C187" s="109"/>
      <c r="D187" s="109"/>
      <c r="E187" s="109"/>
    </row>
    <row r="188">
      <c r="A188" s="107"/>
      <c r="B188" s="109"/>
      <c r="C188" s="109"/>
      <c r="D188" s="109"/>
      <c r="E188" s="109"/>
    </row>
    <row r="189">
      <c r="A189" s="107"/>
      <c r="B189" s="109"/>
      <c r="C189" s="109"/>
      <c r="D189" s="109"/>
      <c r="E189" s="109"/>
    </row>
    <row r="190">
      <c r="A190" s="107"/>
      <c r="B190" s="109"/>
      <c r="C190" s="109"/>
      <c r="D190" s="109"/>
      <c r="E190" s="109"/>
    </row>
    <row r="191">
      <c r="A191" s="107"/>
      <c r="B191" s="109"/>
      <c r="C191" s="109"/>
      <c r="D191" s="109"/>
      <c r="E191" s="109"/>
    </row>
    <row r="192">
      <c r="A192" s="107"/>
      <c r="B192" s="109"/>
      <c r="C192" s="109"/>
      <c r="D192" s="109"/>
      <c r="E192" s="109"/>
    </row>
    <row r="193">
      <c r="A193" s="107"/>
      <c r="B193" s="109"/>
      <c r="C193" s="109"/>
      <c r="D193" s="109"/>
      <c r="E193" s="109"/>
    </row>
    <row r="194">
      <c r="A194" s="107"/>
      <c r="B194" s="109"/>
      <c r="C194" s="109"/>
      <c r="D194" s="109"/>
      <c r="E194" s="109"/>
    </row>
    <row r="195">
      <c r="A195" s="107"/>
      <c r="B195" s="109"/>
      <c r="C195" s="109"/>
      <c r="D195" s="109"/>
      <c r="E195" s="109"/>
    </row>
    <row r="196">
      <c r="A196" s="107"/>
      <c r="B196" s="109"/>
      <c r="C196" s="109"/>
      <c r="D196" s="109"/>
      <c r="E196" s="109"/>
    </row>
    <row r="197">
      <c r="A197" s="107"/>
      <c r="B197" s="109"/>
      <c r="C197" s="109"/>
      <c r="D197" s="109"/>
      <c r="E197" s="109"/>
    </row>
    <row r="198">
      <c r="A198" s="107"/>
      <c r="B198" s="109"/>
      <c r="C198" s="109"/>
      <c r="D198" s="109"/>
      <c r="E198" s="109"/>
    </row>
    <row r="199">
      <c r="A199" s="107"/>
      <c r="B199" s="109"/>
      <c r="C199" s="109"/>
      <c r="D199" s="109"/>
      <c r="E199" s="109"/>
    </row>
    <row r="200">
      <c r="A200" s="107"/>
      <c r="B200" s="109"/>
      <c r="C200" s="109"/>
      <c r="D200" s="109"/>
      <c r="E200" s="109"/>
    </row>
    <row r="201">
      <c r="A201" s="107"/>
      <c r="B201" s="109"/>
      <c r="C201" s="109"/>
      <c r="D201" s="109"/>
      <c r="E201" s="109"/>
    </row>
    <row r="202">
      <c r="A202" s="107"/>
      <c r="B202" s="109"/>
      <c r="C202" s="109"/>
      <c r="D202" s="109"/>
      <c r="E202" s="109"/>
    </row>
    <row r="203">
      <c r="A203" s="107"/>
      <c r="B203" s="109"/>
      <c r="C203" s="109"/>
      <c r="D203" s="109"/>
      <c r="E203" s="109"/>
    </row>
    <row r="204">
      <c r="A204" s="107"/>
      <c r="B204" s="109"/>
      <c r="C204" s="109"/>
      <c r="D204" s="109"/>
      <c r="E204" s="109"/>
    </row>
    <row r="205">
      <c r="A205" s="107"/>
      <c r="B205" s="109"/>
      <c r="C205" s="109"/>
      <c r="D205" s="109"/>
      <c r="E205" s="109"/>
    </row>
    <row r="206">
      <c r="A206" s="107"/>
      <c r="B206" s="109"/>
      <c r="C206" s="109"/>
      <c r="D206" s="109"/>
      <c r="E206" s="109"/>
    </row>
    <row r="207">
      <c r="A207" s="107"/>
      <c r="B207" s="109"/>
      <c r="C207" s="109"/>
      <c r="D207" s="109"/>
      <c r="E207" s="109"/>
    </row>
    <row r="208">
      <c r="A208" s="107"/>
      <c r="B208" s="109"/>
      <c r="C208" s="109"/>
      <c r="D208" s="109"/>
      <c r="E208" s="109"/>
    </row>
    <row r="209">
      <c r="A209" s="107"/>
      <c r="B209" s="109"/>
      <c r="C209" s="109"/>
      <c r="D209" s="109"/>
      <c r="E209" s="109"/>
    </row>
    <row r="210">
      <c r="A210" s="107"/>
      <c r="B210" s="109"/>
      <c r="C210" s="109"/>
      <c r="D210" s="109"/>
      <c r="E210" s="109"/>
    </row>
    <row r="211">
      <c r="A211" s="107"/>
      <c r="B211" s="109"/>
      <c r="C211" s="109"/>
      <c r="D211" s="109"/>
      <c r="E211" s="109"/>
    </row>
    <row r="212">
      <c r="A212" s="107"/>
      <c r="B212" s="109"/>
      <c r="C212" s="109"/>
      <c r="D212" s="109"/>
      <c r="E212" s="109"/>
    </row>
    <row r="213">
      <c r="A213" s="107"/>
      <c r="B213" s="109"/>
      <c r="C213" s="109"/>
      <c r="D213" s="109"/>
      <c r="E213" s="109"/>
    </row>
    <row r="214">
      <c r="A214" s="107"/>
      <c r="B214" s="109"/>
      <c r="C214" s="109"/>
      <c r="D214" s="109"/>
      <c r="E214" s="109"/>
    </row>
    <row r="215">
      <c r="A215" s="107"/>
      <c r="B215" s="109"/>
      <c r="C215" s="109"/>
      <c r="D215" s="109"/>
      <c r="E215" s="109"/>
    </row>
    <row r="216">
      <c r="A216" s="107"/>
      <c r="B216" s="109"/>
      <c r="C216" s="109"/>
      <c r="D216" s="109"/>
      <c r="E216" s="109"/>
    </row>
    <row r="217">
      <c r="A217" s="107"/>
      <c r="B217" s="109"/>
      <c r="C217" s="109"/>
      <c r="D217" s="109"/>
      <c r="E217" s="109"/>
    </row>
    <row r="218">
      <c r="A218" s="107"/>
      <c r="B218" s="109"/>
      <c r="C218" s="109"/>
      <c r="D218" s="109"/>
      <c r="E218" s="109"/>
    </row>
    <row r="219">
      <c r="A219" s="107"/>
      <c r="B219" s="109"/>
      <c r="C219" s="109"/>
      <c r="D219" s="109"/>
      <c r="E219" s="109"/>
    </row>
    <row r="220">
      <c r="A220" s="107"/>
      <c r="B220" s="109"/>
      <c r="C220" s="109"/>
      <c r="D220" s="109"/>
      <c r="E220" s="109"/>
    </row>
    <row r="221">
      <c r="A221" s="107"/>
      <c r="B221" s="109"/>
      <c r="C221" s="109"/>
      <c r="D221" s="109"/>
      <c r="E221" s="109"/>
    </row>
    <row r="222">
      <c r="A222" s="107"/>
      <c r="B222" s="109"/>
      <c r="C222" s="109"/>
      <c r="D222" s="109"/>
      <c r="E222" s="109"/>
    </row>
    <row r="223">
      <c r="A223" s="107"/>
      <c r="B223" s="109"/>
      <c r="C223" s="109"/>
      <c r="D223" s="109"/>
      <c r="E223" s="109"/>
    </row>
    <row r="224">
      <c r="A224" s="107"/>
      <c r="B224" s="109"/>
      <c r="C224" s="109"/>
      <c r="D224" s="109"/>
      <c r="E224" s="109"/>
    </row>
    <row r="225">
      <c r="A225" s="107"/>
      <c r="B225" s="109"/>
      <c r="C225" s="109"/>
      <c r="D225" s="109"/>
      <c r="E225" s="109"/>
    </row>
    <row r="226">
      <c r="A226" s="107"/>
      <c r="B226" s="109"/>
      <c r="C226" s="109"/>
      <c r="D226" s="109"/>
      <c r="E226" s="109"/>
    </row>
    <row r="227">
      <c r="A227" s="107"/>
      <c r="B227" s="109"/>
      <c r="C227" s="109"/>
      <c r="D227" s="109"/>
      <c r="E227" s="109"/>
    </row>
    <row r="228">
      <c r="A228" s="107"/>
      <c r="B228" s="109"/>
      <c r="C228" s="109"/>
      <c r="D228" s="109"/>
      <c r="E228" s="109"/>
    </row>
    <row r="229">
      <c r="A229" s="107"/>
      <c r="B229" s="109"/>
      <c r="C229" s="109"/>
      <c r="D229" s="109"/>
      <c r="E229" s="109"/>
    </row>
    <row r="230">
      <c r="A230" s="107"/>
      <c r="B230" s="109"/>
      <c r="C230" s="109"/>
      <c r="D230" s="109"/>
      <c r="E230" s="109"/>
    </row>
    <row r="231">
      <c r="A231" s="107"/>
      <c r="B231" s="109"/>
      <c r="C231" s="109"/>
      <c r="D231" s="109"/>
      <c r="E231" s="109"/>
    </row>
    <row r="232">
      <c r="A232" s="107"/>
      <c r="B232" s="109"/>
      <c r="C232" s="109"/>
      <c r="D232" s="109"/>
      <c r="E232" s="109"/>
    </row>
    <row r="233">
      <c r="A233" s="107"/>
      <c r="B233" s="109"/>
      <c r="C233" s="109"/>
      <c r="D233" s="109"/>
      <c r="E233" s="109"/>
    </row>
    <row r="234">
      <c r="A234" s="107"/>
      <c r="B234" s="109"/>
      <c r="C234" s="109"/>
      <c r="D234" s="109"/>
      <c r="E234" s="109"/>
    </row>
    <row r="235">
      <c r="A235" s="107"/>
      <c r="B235" s="109"/>
      <c r="C235" s="109"/>
      <c r="D235" s="109"/>
      <c r="E235" s="109"/>
    </row>
    <row r="236">
      <c r="A236" s="107"/>
      <c r="B236" s="109"/>
      <c r="C236" s="109"/>
      <c r="D236" s="109"/>
      <c r="E236" s="109"/>
    </row>
    <row r="237">
      <c r="A237" s="107"/>
      <c r="B237" s="109"/>
      <c r="C237" s="109"/>
      <c r="D237" s="109"/>
      <c r="E237" s="109"/>
    </row>
    <row r="238">
      <c r="A238" s="107"/>
      <c r="B238" s="109"/>
      <c r="C238" s="109"/>
      <c r="D238" s="109"/>
      <c r="E238" s="109"/>
    </row>
    <row r="239">
      <c r="A239" s="107"/>
      <c r="B239" s="109"/>
      <c r="C239" s="109"/>
      <c r="D239" s="109"/>
      <c r="E239" s="109"/>
    </row>
    <row r="240">
      <c r="A240" s="107"/>
      <c r="B240" s="109"/>
      <c r="C240" s="109"/>
      <c r="D240" s="109"/>
      <c r="E240" s="109"/>
    </row>
    <row r="241">
      <c r="A241" s="107"/>
      <c r="B241" s="109"/>
      <c r="C241" s="109"/>
      <c r="D241" s="109"/>
      <c r="E241" s="109"/>
    </row>
    <row r="242">
      <c r="A242" s="107"/>
      <c r="B242" s="109"/>
      <c r="C242" s="109"/>
      <c r="D242" s="109"/>
      <c r="E242" s="109"/>
    </row>
    <row r="243">
      <c r="A243" s="107"/>
      <c r="B243" s="109"/>
      <c r="C243" s="109"/>
      <c r="D243" s="109"/>
      <c r="E243" s="109"/>
    </row>
    <row r="244">
      <c r="A244" s="107"/>
      <c r="B244" s="109"/>
      <c r="C244" s="109"/>
      <c r="D244" s="109"/>
      <c r="E244" s="109"/>
    </row>
    <row r="245">
      <c r="A245" s="107"/>
      <c r="B245" s="109"/>
      <c r="C245" s="109"/>
      <c r="D245" s="109"/>
      <c r="E245" s="109"/>
    </row>
    <row r="246">
      <c r="A246" s="107"/>
      <c r="B246" s="109"/>
      <c r="C246" s="109"/>
      <c r="D246" s="109"/>
      <c r="E246" s="109"/>
    </row>
    <row r="247">
      <c r="A247" s="107"/>
      <c r="B247" s="109"/>
      <c r="C247" s="109"/>
      <c r="D247" s="109"/>
      <c r="E247" s="109"/>
    </row>
    <row r="248">
      <c r="A248" s="107"/>
      <c r="B248" s="109"/>
      <c r="C248" s="109"/>
      <c r="D248" s="109"/>
      <c r="E248" s="109"/>
    </row>
    <row r="249">
      <c r="A249" s="107"/>
      <c r="B249" s="109"/>
      <c r="C249" s="109"/>
      <c r="D249" s="109"/>
      <c r="E249" s="109"/>
    </row>
    <row r="250">
      <c r="A250" s="107"/>
      <c r="B250" s="109"/>
      <c r="C250" s="109"/>
      <c r="D250" s="109"/>
      <c r="E250" s="109"/>
    </row>
    <row r="251">
      <c r="A251" s="107"/>
      <c r="B251" s="109"/>
      <c r="C251" s="109"/>
      <c r="D251" s="109"/>
      <c r="E251" s="109"/>
    </row>
    <row r="252">
      <c r="A252" s="107"/>
      <c r="B252" s="109"/>
      <c r="C252" s="109"/>
      <c r="D252" s="109"/>
      <c r="E252" s="109"/>
    </row>
    <row r="253">
      <c r="A253" s="107"/>
      <c r="B253" s="109"/>
      <c r="C253" s="109"/>
      <c r="D253" s="109"/>
      <c r="E253" s="109"/>
    </row>
    <row r="254">
      <c r="A254" s="107"/>
      <c r="B254" s="109"/>
      <c r="C254" s="109"/>
      <c r="D254" s="109"/>
      <c r="E254" s="109"/>
    </row>
    <row r="255">
      <c r="A255" s="107"/>
      <c r="B255" s="109"/>
      <c r="C255" s="109"/>
      <c r="D255" s="109"/>
      <c r="E255" s="109"/>
    </row>
    <row r="256">
      <c r="A256" s="107"/>
      <c r="B256" s="109"/>
      <c r="C256" s="109"/>
      <c r="D256" s="109"/>
      <c r="E256" s="109"/>
    </row>
    <row r="257">
      <c r="A257" s="107"/>
      <c r="B257" s="109"/>
      <c r="C257" s="109"/>
      <c r="D257" s="109"/>
      <c r="E257" s="109"/>
    </row>
    <row r="258">
      <c r="A258" s="107"/>
      <c r="B258" s="109"/>
      <c r="C258" s="109"/>
      <c r="D258" s="109"/>
      <c r="E258" s="109"/>
    </row>
    <row r="259">
      <c r="A259" s="107"/>
      <c r="B259" s="109"/>
      <c r="C259" s="109"/>
      <c r="D259" s="109"/>
      <c r="E259" s="109"/>
    </row>
    <row r="260">
      <c r="A260" s="107"/>
      <c r="B260" s="109"/>
      <c r="C260" s="109"/>
      <c r="D260" s="109"/>
      <c r="E260" s="109"/>
    </row>
    <row r="261">
      <c r="A261" s="107"/>
      <c r="B261" s="109"/>
      <c r="C261" s="109"/>
      <c r="D261" s="109"/>
      <c r="E261" s="109"/>
    </row>
    <row r="262">
      <c r="A262" s="107"/>
      <c r="B262" s="109"/>
      <c r="C262" s="109"/>
      <c r="D262" s="109"/>
      <c r="E262" s="109"/>
    </row>
    <row r="263">
      <c r="A263" s="107"/>
      <c r="B263" s="109"/>
      <c r="C263" s="109"/>
      <c r="D263" s="109"/>
      <c r="E263" s="109"/>
    </row>
    <row r="264">
      <c r="A264" s="107"/>
      <c r="B264" s="109"/>
      <c r="C264" s="109"/>
      <c r="D264" s="109"/>
      <c r="E264" s="109"/>
    </row>
    <row r="265">
      <c r="A265" s="107"/>
      <c r="B265" s="109"/>
      <c r="C265" s="109"/>
      <c r="D265" s="109"/>
      <c r="E265" s="109"/>
    </row>
    <row r="266">
      <c r="A266" s="107"/>
      <c r="B266" s="109"/>
      <c r="C266" s="109"/>
      <c r="D266" s="109"/>
      <c r="E266" s="109"/>
    </row>
    <row r="267">
      <c r="A267" s="107"/>
      <c r="B267" s="109"/>
      <c r="C267" s="109"/>
      <c r="D267" s="109"/>
      <c r="E267" s="109"/>
    </row>
    <row r="268">
      <c r="A268" s="107"/>
      <c r="B268" s="109"/>
      <c r="C268" s="109"/>
      <c r="D268" s="109"/>
      <c r="E268" s="109"/>
    </row>
    <row r="269">
      <c r="A269" s="107"/>
      <c r="B269" s="109"/>
      <c r="C269" s="109"/>
      <c r="D269" s="109"/>
      <c r="E269" s="109"/>
    </row>
    <row r="270">
      <c r="A270" s="107"/>
      <c r="B270" s="109"/>
      <c r="C270" s="109"/>
      <c r="D270" s="109"/>
      <c r="E270" s="109"/>
    </row>
    <row r="271">
      <c r="A271" s="107"/>
      <c r="B271" s="109"/>
      <c r="C271" s="109"/>
      <c r="D271" s="109"/>
      <c r="E271" s="109"/>
    </row>
    <row r="272">
      <c r="A272" s="107"/>
      <c r="B272" s="109"/>
      <c r="C272" s="109"/>
      <c r="D272" s="109"/>
      <c r="E272" s="109"/>
    </row>
    <row r="273">
      <c r="A273" s="107"/>
      <c r="B273" s="109"/>
      <c r="C273" s="109"/>
      <c r="D273" s="109"/>
      <c r="E273" s="109"/>
    </row>
    <row r="274">
      <c r="A274" s="107"/>
      <c r="B274" s="109"/>
      <c r="C274" s="109"/>
      <c r="D274" s="109"/>
      <c r="E274" s="109"/>
    </row>
    <row r="275">
      <c r="A275" s="107"/>
      <c r="B275" s="109"/>
      <c r="C275" s="109"/>
      <c r="D275" s="109"/>
      <c r="E275" s="109"/>
    </row>
    <row r="276">
      <c r="A276" s="107"/>
      <c r="B276" s="109"/>
      <c r="C276" s="109"/>
      <c r="D276" s="109"/>
      <c r="E276" s="109"/>
    </row>
    <row r="277">
      <c r="A277" s="107"/>
      <c r="B277" s="109"/>
      <c r="C277" s="109"/>
      <c r="D277" s="109"/>
      <c r="E277" s="109"/>
    </row>
    <row r="278">
      <c r="A278" s="107"/>
      <c r="B278" s="109"/>
      <c r="C278" s="109"/>
      <c r="D278" s="109"/>
      <c r="E278" s="109"/>
    </row>
    <row r="279">
      <c r="A279" s="107"/>
      <c r="B279" s="109"/>
      <c r="C279" s="109"/>
      <c r="D279" s="109"/>
      <c r="E279" s="109"/>
    </row>
    <row r="280">
      <c r="A280" s="107"/>
      <c r="B280" s="109"/>
      <c r="C280" s="109"/>
      <c r="D280" s="109"/>
      <c r="E280" s="109"/>
    </row>
    <row r="281">
      <c r="A281" s="107"/>
      <c r="B281" s="109"/>
      <c r="C281" s="109"/>
      <c r="D281" s="109"/>
      <c r="E281" s="109"/>
    </row>
    <row r="282">
      <c r="A282" s="107"/>
      <c r="B282" s="109"/>
      <c r="C282" s="109"/>
      <c r="D282" s="109"/>
      <c r="E282" s="109"/>
    </row>
    <row r="283">
      <c r="A283" s="107"/>
      <c r="B283" s="109"/>
      <c r="C283" s="109"/>
      <c r="D283" s="109"/>
      <c r="E283" s="109"/>
    </row>
    <row r="284">
      <c r="A284" s="107"/>
      <c r="B284" s="109"/>
      <c r="C284" s="109"/>
      <c r="D284" s="109"/>
      <c r="E284" s="109"/>
    </row>
    <row r="285">
      <c r="A285" s="107"/>
      <c r="B285" s="109"/>
      <c r="C285" s="109"/>
      <c r="D285" s="109"/>
      <c r="E285" s="109"/>
    </row>
    <row r="286">
      <c r="A286" s="107"/>
      <c r="B286" s="109"/>
      <c r="C286" s="109"/>
      <c r="D286" s="109"/>
      <c r="E286" s="109"/>
    </row>
    <row r="287">
      <c r="A287" s="107"/>
      <c r="B287" s="109"/>
      <c r="C287" s="109"/>
      <c r="D287" s="109"/>
      <c r="E287" s="109"/>
    </row>
    <row r="288">
      <c r="A288" s="107"/>
      <c r="B288" s="109"/>
      <c r="C288" s="109"/>
      <c r="D288" s="109"/>
      <c r="E288" s="109"/>
    </row>
    <row r="289">
      <c r="A289" s="107"/>
      <c r="B289" s="109"/>
      <c r="C289" s="109"/>
      <c r="D289" s="109"/>
      <c r="E289" s="109"/>
    </row>
    <row r="290">
      <c r="A290" s="107"/>
      <c r="B290" s="109"/>
      <c r="C290" s="109"/>
      <c r="D290" s="109"/>
      <c r="E290" s="109"/>
    </row>
    <row r="291">
      <c r="A291" s="107"/>
      <c r="B291" s="109"/>
      <c r="C291" s="109"/>
      <c r="D291" s="109"/>
      <c r="E291" s="109"/>
    </row>
    <row r="292">
      <c r="A292" s="107"/>
      <c r="B292" s="109"/>
      <c r="C292" s="109"/>
      <c r="D292" s="109"/>
      <c r="E292" s="109"/>
    </row>
    <row r="293">
      <c r="A293" s="107"/>
      <c r="B293" s="109"/>
      <c r="C293" s="109"/>
      <c r="D293" s="109"/>
      <c r="E293" s="109"/>
    </row>
    <row r="294">
      <c r="A294" s="107"/>
      <c r="B294" s="109"/>
      <c r="C294" s="109"/>
      <c r="D294" s="109"/>
      <c r="E294" s="109"/>
    </row>
    <row r="295">
      <c r="A295" s="107"/>
      <c r="B295" s="109"/>
      <c r="C295" s="109"/>
      <c r="D295" s="109"/>
      <c r="E295" s="109"/>
    </row>
    <row r="296">
      <c r="A296" s="107"/>
      <c r="B296" s="109"/>
      <c r="C296" s="109"/>
      <c r="D296" s="109"/>
      <c r="E296" s="109"/>
    </row>
    <row r="297">
      <c r="A297" s="107"/>
      <c r="B297" s="109"/>
      <c r="C297" s="109"/>
      <c r="D297" s="109"/>
      <c r="E297" s="109"/>
    </row>
    <row r="298">
      <c r="A298" s="107"/>
      <c r="B298" s="109"/>
      <c r="C298" s="109"/>
      <c r="D298" s="109"/>
      <c r="E298" s="109"/>
    </row>
    <row r="299">
      <c r="A299" s="107"/>
      <c r="B299" s="109"/>
      <c r="C299" s="109"/>
      <c r="D299" s="109"/>
      <c r="E299" s="109"/>
    </row>
    <row r="300">
      <c r="A300" s="107"/>
      <c r="B300" s="109"/>
      <c r="C300" s="109"/>
      <c r="D300" s="109"/>
      <c r="E300" s="109"/>
    </row>
    <row r="301">
      <c r="A301" s="107"/>
      <c r="B301" s="109"/>
      <c r="C301" s="109"/>
      <c r="D301" s="109"/>
      <c r="E301" s="109"/>
    </row>
    <row r="302">
      <c r="A302" s="107"/>
      <c r="B302" s="109"/>
      <c r="C302" s="109"/>
      <c r="D302" s="109"/>
      <c r="E302" s="109"/>
    </row>
    <row r="303">
      <c r="A303" s="107"/>
      <c r="B303" s="109"/>
      <c r="C303" s="109"/>
      <c r="D303" s="109"/>
      <c r="E303" s="109"/>
    </row>
    <row r="304">
      <c r="A304" s="107"/>
      <c r="B304" s="109"/>
      <c r="C304" s="109"/>
      <c r="D304" s="109"/>
      <c r="E304" s="109"/>
    </row>
    <row r="305">
      <c r="A305" s="107"/>
      <c r="B305" s="109"/>
      <c r="C305" s="109"/>
      <c r="D305" s="109"/>
      <c r="E305" s="109"/>
    </row>
    <row r="306">
      <c r="A306" s="107"/>
      <c r="B306" s="109"/>
      <c r="C306" s="109"/>
      <c r="D306" s="109"/>
      <c r="E306" s="109"/>
    </row>
    <row r="307">
      <c r="A307" s="107"/>
      <c r="B307" s="109"/>
      <c r="C307" s="109"/>
      <c r="D307" s="109"/>
      <c r="E307" s="109"/>
    </row>
    <row r="308">
      <c r="A308" s="107"/>
      <c r="B308" s="109"/>
      <c r="C308" s="109"/>
      <c r="D308" s="109"/>
      <c r="E308" s="109"/>
    </row>
    <row r="309">
      <c r="A309" s="107"/>
      <c r="B309" s="109"/>
      <c r="C309" s="109"/>
      <c r="D309" s="109"/>
      <c r="E309" s="109"/>
    </row>
    <row r="310">
      <c r="A310" s="107"/>
      <c r="B310" s="109"/>
      <c r="C310" s="109"/>
      <c r="D310" s="109"/>
      <c r="E310" s="109"/>
    </row>
    <row r="311">
      <c r="A311" s="107"/>
      <c r="B311" s="109"/>
      <c r="C311" s="109"/>
      <c r="D311" s="109"/>
      <c r="E311" s="109"/>
    </row>
    <row r="312">
      <c r="A312" s="107"/>
      <c r="B312" s="109"/>
      <c r="C312" s="109"/>
      <c r="D312" s="109"/>
      <c r="E312" s="109"/>
    </row>
    <row r="313">
      <c r="A313" s="107"/>
      <c r="B313" s="109"/>
      <c r="C313" s="109"/>
      <c r="D313" s="109"/>
      <c r="E313" s="109"/>
    </row>
    <row r="314">
      <c r="A314" s="107"/>
      <c r="B314" s="109"/>
      <c r="C314" s="109"/>
      <c r="D314" s="109"/>
      <c r="E314" s="109"/>
    </row>
    <row r="315">
      <c r="A315" s="107"/>
      <c r="B315" s="109"/>
      <c r="C315" s="109"/>
      <c r="D315" s="109"/>
      <c r="E315" s="109"/>
    </row>
    <row r="316">
      <c r="A316" s="107"/>
      <c r="B316" s="109"/>
      <c r="C316" s="109"/>
      <c r="D316" s="109"/>
      <c r="E316" s="109"/>
    </row>
    <row r="317">
      <c r="A317" s="107"/>
      <c r="B317" s="109"/>
      <c r="C317" s="109"/>
      <c r="D317" s="109"/>
      <c r="E317" s="109"/>
    </row>
    <row r="318">
      <c r="A318" s="107"/>
      <c r="B318" s="109"/>
      <c r="C318" s="109"/>
      <c r="D318" s="109"/>
      <c r="E318" s="109"/>
    </row>
    <row r="319">
      <c r="A319" s="107"/>
      <c r="B319" s="109"/>
      <c r="C319" s="109"/>
      <c r="D319" s="109"/>
      <c r="E319" s="109"/>
    </row>
    <row r="320">
      <c r="A320" s="107"/>
      <c r="B320" s="109"/>
      <c r="C320" s="109"/>
      <c r="D320" s="109"/>
      <c r="E320" s="109"/>
    </row>
    <row r="321">
      <c r="A321" s="107"/>
      <c r="B321" s="109"/>
      <c r="C321" s="109"/>
      <c r="D321" s="109"/>
      <c r="E321" s="109"/>
    </row>
    <row r="322">
      <c r="A322" s="107"/>
      <c r="B322" s="109"/>
      <c r="C322" s="109"/>
      <c r="D322" s="109"/>
      <c r="E322" s="109"/>
    </row>
    <row r="323">
      <c r="A323" s="107"/>
      <c r="B323" s="109"/>
      <c r="C323" s="109"/>
      <c r="D323" s="109"/>
      <c r="E323" s="109"/>
    </row>
    <row r="324">
      <c r="A324" s="107"/>
      <c r="B324" s="109"/>
      <c r="C324" s="109"/>
      <c r="D324" s="109"/>
      <c r="E324" s="109"/>
    </row>
    <row r="325">
      <c r="A325" s="107"/>
      <c r="B325" s="109"/>
      <c r="C325" s="109"/>
      <c r="D325" s="109"/>
      <c r="E325" s="109"/>
    </row>
    <row r="326">
      <c r="A326" s="107"/>
      <c r="B326" s="109"/>
      <c r="C326" s="109"/>
      <c r="D326" s="109"/>
      <c r="E326" s="109"/>
    </row>
    <row r="327">
      <c r="A327" s="107"/>
      <c r="B327" s="109"/>
      <c r="C327" s="109"/>
      <c r="D327" s="109"/>
      <c r="E327" s="109"/>
    </row>
    <row r="328">
      <c r="A328" s="107"/>
      <c r="B328" s="109"/>
      <c r="C328" s="109"/>
      <c r="D328" s="109"/>
      <c r="E328" s="109"/>
    </row>
    <row r="329">
      <c r="A329" s="107"/>
      <c r="B329" s="109"/>
      <c r="C329" s="109"/>
      <c r="D329" s="109"/>
      <c r="E329" s="109"/>
    </row>
    <row r="330">
      <c r="A330" s="107"/>
      <c r="B330" s="109"/>
      <c r="C330" s="109"/>
      <c r="D330" s="109"/>
      <c r="E330" s="109"/>
    </row>
    <row r="331">
      <c r="A331" s="107"/>
      <c r="B331" s="109"/>
      <c r="C331" s="109"/>
      <c r="D331" s="109"/>
      <c r="E331" s="109"/>
    </row>
    <row r="332">
      <c r="A332" s="107"/>
      <c r="B332" s="109"/>
      <c r="C332" s="109"/>
      <c r="D332" s="109"/>
      <c r="E332" s="109"/>
    </row>
    <row r="333">
      <c r="A333" s="107"/>
      <c r="B333" s="109"/>
      <c r="C333" s="109"/>
      <c r="D333" s="109"/>
      <c r="E333" s="109"/>
    </row>
    <row r="334">
      <c r="A334" s="107"/>
      <c r="B334" s="109"/>
      <c r="C334" s="109"/>
      <c r="D334" s="109"/>
      <c r="E334" s="109"/>
    </row>
    <row r="335">
      <c r="A335" s="107"/>
      <c r="B335" s="109"/>
      <c r="C335" s="109"/>
      <c r="D335" s="109"/>
      <c r="E335" s="109"/>
    </row>
    <row r="336">
      <c r="A336" s="107"/>
      <c r="B336" s="109"/>
      <c r="C336" s="109"/>
      <c r="D336" s="109"/>
      <c r="E336" s="109"/>
    </row>
    <row r="337">
      <c r="A337" s="107"/>
      <c r="B337" s="109"/>
      <c r="C337" s="109"/>
      <c r="D337" s="109"/>
      <c r="E337" s="109"/>
    </row>
    <row r="338">
      <c r="A338" s="107"/>
      <c r="B338" s="109"/>
      <c r="C338" s="109"/>
      <c r="D338" s="109"/>
      <c r="E338" s="109"/>
    </row>
    <row r="339">
      <c r="A339" s="107"/>
      <c r="B339" s="109"/>
      <c r="C339" s="109"/>
      <c r="D339" s="109"/>
      <c r="E339" s="109"/>
    </row>
    <row r="340">
      <c r="A340" s="107"/>
      <c r="B340" s="109"/>
      <c r="C340" s="109"/>
      <c r="D340" s="109"/>
      <c r="E340" s="109"/>
    </row>
    <row r="341">
      <c r="A341" s="107"/>
      <c r="B341" s="109"/>
      <c r="C341" s="109"/>
      <c r="D341" s="109"/>
      <c r="E341" s="109"/>
    </row>
    <row r="342">
      <c r="A342" s="107"/>
      <c r="B342" s="109"/>
      <c r="C342" s="109"/>
      <c r="D342" s="109"/>
      <c r="E342" s="109"/>
    </row>
    <row r="343">
      <c r="A343" s="107"/>
      <c r="B343" s="109"/>
      <c r="C343" s="109"/>
      <c r="D343" s="109"/>
      <c r="E343" s="109"/>
    </row>
    <row r="344">
      <c r="A344" s="107"/>
      <c r="B344" s="109"/>
      <c r="C344" s="109"/>
      <c r="D344" s="109"/>
      <c r="E344" s="109"/>
    </row>
    <row r="345">
      <c r="A345" s="107"/>
      <c r="B345" s="109"/>
      <c r="C345" s="109"/>
      <c r="D345" s="109"/>
      <c r="E345" s="109"/>
    </row>
    <row r="346">
      <c r="A346" s="107"/>
      <c r="B346" s="109"/>
      <c r="C346" s="109"/>
      <c r="D346" s="109"/>
      <c r="E346" s="109"/>
    </row>
    <row r="347">
      <c r="A347" s="107"/>
      <c r="B347" s="109"/>
      <c r="C347" s="109"/>
      <c r="D347" s="109"/>
      <c r="E347" s="109"/>
    </row>
    <row r="348">
      <c r="A348" s="107"/>
      <c r="B348" s="109"/>
      <c r="C348" s="109"/>
      <c r="D348" s="109"/>
      <c r="E348" s="109"/>
    </row>
    <row r="349">
      <c r="A349" s="107"/>
      <c r="B349" s="109"/>
      <c r="C349" s="109"/>
      <c r="D349" s="109"/>
      <c r="E349" s="109"/>
    </row>
    <row r="350">
      <c r="A350" s="107"/>
      <c r="B350" s="109"/>
      <c r="C350" s="109"/>
      <c r="D350" s="109"/>
      <c r="E350" s="109"/>
    </row>
    <row r="351">
      <c r="A351" s="107"/>
      <c r="B351" s="109"/>
      <c r="C351" s="109"/>
      <c r="D351" s="109"/>
      <c r="E351" s="109"/>
    </row>
    <row r="352">
      <c r="A352" s="107"/>
      <c r="B352" s="109"/>
      <c r="C352" s="109"/>
      <c r="D352" s="109"/>
      <c r="E352" s="109"/>
    </row>
    <row r="353">
      <c r="A353" s="107"/>
      <c r="B353" s="109"/>
      <c r="C353" s="109"/>
      <c r="D353" s="109"/>
      <c r="E353" s="109"/>
    </row>
    <row r="354">
      <c r="A354" s="107"/>
      <c r="B354" s="109"/>
      <c r="C354" s="109"/>
      <c r="D354" s="109"/>
      <c r="E354" s="109"/>
    </row>
    <row r="355">
      <c r="A355" s="107"/>
      <c r="B355" s="109"/>
      <c r="C355" s="109"/>
      <c r="D355" s="109"/>
      <c r="E355" s="109"/>
    </row>
    <row r="356">
      <c r="A356" s="107"/>
      <c r="B356" s="109"/>
      <c r="C356" s="109"/>
      <c r="D356" s="109"/>
      <c r="E356" s="109"/>
    </row>
    <row r="357">
      <c r="A357" s="107"/>
      <c r="B357" s="109"/>
      <c r="C357" s="109"/>
      <c r="D357" s="109"/>
      <c r="E357" s="109"/>
    </row>
    <row r="358">
      <c r="A358" s="107"/>
      <c r="B358" s="109"/>
      <c r="C358" s="109"/>
      <c r="D358" s="109"/>
      <c r="E358" s="109"/>
    </row>
    <row r="359">
      <c r="A359" s="107"/>
      <c r="B359" s="109"/>
      <c r="C359" s="109"/>
      <c r="D359" s="109"/>
      <c r="E359" s="109"/>
    </row>
    <row r="360">
      <c r="A360" s="107"/>
      <c r="B360" s="109"/>
      <c r="C360" s="109"/>
      <c r="D360" s="109"/>
      <c r="E360" s="109"/>
    </row>
    <row r="361">
      <c r="A361" s="107"/>
      <c r="B361" s="109"/>
      <c r="C361" s="109"/>
      <c r="D361" s="109"/>
      <c r="E361" s="109"/>
    </row>
    <row r="362">
      <c r="A362" s="107"/>
      <c r="B362" s="109"/>
      <c r="C362" s="109"/>
      <c r="D362" s="109"/>
      <c r="E362" s="109"/>
    </row>
    <row r="363">
      <c r="A363" s="107"/>
      <c r="B363" s="109"/>
      <c r="C363" s="109"/>
      <c r="D363" s="109"/>
      <c r="E363" s="109"/>
    </row>
    <row r="364">
      <c r="A364" s="107"/>
      <c r="B364" s="109"/>
      <c r="C364" s="109"/>
      <c r="D364" s="109"/>
      <c r="E364" s="109"/>
    </row>
    <row r="365">
      <c r="A365" s="107"/>
      <c r="B365" s="109"/>
      <c r="C365" s="109"/>
      <c r="D365" s="109"/>
      <c r="E365" s="109"/>
    </row>
    <row r="366">
      <c r="A366" s="107"/>
      <c r="B366" s="109"/>
      <c r="C366" s="109"/>
      <c r="D366" s="109"/>
      <c r="E366" s="109"/>
    </row>
    <row r="367">
      <c r="A367" s="107"/>
      <c r="B367" s="109"/>
      <c r="C367" s="109"/>
      <c r="D367" s="109"/>
      <c r="E367" s="109"/>
    </row>
    <row r="368">
      <c r="A368" s="107"/>
      <c r="B368" s="109"/>
      <c r="C368" s="109"/>
      <c r="D368" s="109"/>
      <c r="E368" s="109"/>
    </row>
    <row r="369">
      <c r="A369" s="107"/>
      <c r="B369" s="109"/>
      <c r="C369" s="109"/>
      <c r="D369" s="109"/>
      <c r="E369" s="109"/>
    </row>
    <row r="370">
      <c r="A370" s="107"/>
      <c r="B370" s="109"/>
      <c r="C370" s="109"/>
      <c r="D370" s="109"/>
      <c r="E370" s="109"/>
    </row>
    <row r="371">
      <c r="A371" s="107"/>
      <c r="B371" s="109"/>
      <c r="C371" s="109"/>
      <c r="D371" s="109"/>
      <c r="E371" s="109"/>
    </row>
    <row r="372">
      <c r="A372" s="107"/>
      <c r="B372" s="109"/>
      <c r="C372" s="109"/>
      <c r="D372" s="109"/>
      <c r="E372" s="109"/>
    </row>
    <row r="373">
      <c r="A373" s="107"/>
      <c r="B373" s="109"/>
      <c r="C373" s="109"/>
      <c r="D373" s="109"/>
      <c r="E373" s="109"/>
    </row>
    <row r="374">
      <c r="A374" s="107"/>
      <c r="B374" s="109"/>
      <c r="C374" s="109"/>
      <c r="D374" s="109"/>
      <c r="E374" s="109"/>
    </row>
    <row r="375">
      <c r="A375" s="107"/>
      <c r="B375" s="109"/>
      <c r="C375" s="109"/>
      <c r="D375" s="109"/>
      <c r="E375" s="109"/>
    </row>
    <row r="376">
      <c r="A376" s="107"/>
      <c r="B376" s="109"/>
      <c r="C376" s="109"/>
      <c r="D376" s="109"/>
      <c r="E376" s="109"/>
    </row>
    <row r="377">
      <c r="A377" s="107"/>
      <c r="B377" s="109"/>
      <c r="C377" s="109"/>
      <c r="D377" s="109"/>
      <c r="E377" s="109"/>
    </row>
    <row r="378">
      <c r="A378" s="107"/>
      <c r="B378" s="109"/>
      <c r="C378" s="109"/>
      <c r="D378" s="109"/>
      <c r="E378" s="109"/>
    </row>
    <row r="379">
      <c r="A379" s="107"/>
      <c r="B379" s="109"/>
      <c r="C379" s="109"/>
      <c r="D379" s="109"/>
      <c r="E379" s="109"/>
    </row>
    <row r="380">
      <c r="A380" s="107"/>
      <c r="B380" s="109"/>
      <c r="C380" s="109"/>
      <c r="D380" s="109"/>
      <c r="E380" s="109"/>
    </row>
    <row r="381">
      <c r="A381" s="107"/>
      <c r="B381" s="109"/>
      <c r="C381" s="109"/>
      <c r="D381" s="109"/>
      <c r="E381" s="109"/>
    </row>
    <row r="382">
      <c r="A382" s="107"/>
      <c r="B382" s="109"/>
      <c r="C382" s="109"/>
      <c r="D382" s="109"/>
      <c r="E382" s="109"/>
    </row>
    <row r="383">
      <c r="A383" s="107"/>
      <c r="B383" s="109"/>
      <c r="C383" s="109"/>
      <c r="D383" s="109"/>
      <c r="E383" s="109"/>
    </row>
    <row r="384">
      <c r="A384" s="107"/>
      <c r="B384" s="109"/>
      <c r="C384" s="109"/>
      <c r="D384" s="109"/>
      <c r="E384" s="109"/>
    </row>
    <row r="385">
      <c r="A385" s="107"/>
      <c r="B385" s="109"/>
      <c r="C385" s="109"/>
      <c r="D385" s="109"/>
      <c r="E385" s="109"/>
    </row>
    <row r="386">
      <c r="A386" s="107"/>
      <c r="B386" s="109"/>
      <c r="C386" s="109"/>
      <c r="D386" s="109"/>
      <c r="E386" s="109"/>
    </row>
    <row r="387">
      <c r="A387" s="107"/>
      <c r="B387" s="109"/>
      <c r="C387" s="109"/>
      <c r="D387" s="109"/>
      <c r="E387" s="109"/>
    </row>
    <row r="388">
      <c r="A388" s="107"/>
      <c r="B388" s="109"/>
      <c r="C388" s="109"/>
      <c r="D388" s="109"/>
      <c r="E388" s="109"/>
    </row>
    <row r="389">
      <c r="A389" s="107"/>
      <c r="B389" s="109"/>
      <c r="C389" s="109"/>
      <c r="D389" s="109"/>
      <c r="E389" s="109"/>
    </row>
    <row r="390">
      <c r="A390" s="107"/>
      <c r="B390" s="109"/>
      <c r="C390" s="109"/>
      <c r="D390" s="109"/>
      <c r="E390" s="109"/>
    </row>
    <row r="391">
      <c r="A391" s="107"/>
      <c r="B391" s="109"/>
      <c r="C391" s="109"/>
      <c r="D391" s="109"/>
      <c r="E391" s="109"/>
    </row>
    <row r="392">
      <c r="A392" s="107"/>
      <c r="B392" s="109"/>
      <c r="C392" s="109"/>
      <c r="D392" s="109"/>
      <c r="E392" s="109"/>
    </row>
    <row r="393">
      <c r="A393" s="107"/>
      <c r="B393" s="109"/>
      <c r="C393" s="109"/>
      <c r="D393" s="109"/>
      <c r="E393" s="109"/>
    </row>
    <row r="394">
      <c r="A394" s="107"/>
      <c r="B394" s="109"/>
      <c r="C394" s="109"/>
      <c r="D394" s="109"/>
      <c r="E394" s="109"/>
    </row>
    <row r="395">
      <c r="A395" s="107"/>
      <c r="B395" s="109"/>
      <c r="C395" s="109"/>
      <c r="D395" s="109"/>
      <c r="E395" s="109"/>
    </row>
    <row r="396">
      <c r="A396" s="107"/>
      <c r="B396" s="109"/>
      <c r="C396" s="109"/>
      <c r="D396" s="109"/>
      <c r="E396" s="109"/>
    </row>
    <row r="397">
      <c r="A397" s="107"/>
      <c r="B397" s="109"/>
      <c r="C397" s="109"/>
      <c r="D397" s="109"/>
      <c r="E397" s="109"/>
    </row>
    <row r="398">
      <c r="A398" s="107"/>
      <c r="B398" s="109"/>
      <c r="C398" s="109"/>
      <c r="D398" s="109"/>
      <c r="E398" s="109"/>
    </row>
    <row r="399">
      <c r="A399" s="107"/>
      <c r="B399" s="109"/>
      <c r="C399" s="109"/>
      <c r="D399" s="109"/>
      <c r="E399" s="109"/>
    </row>
    <row r="400">
      <c r="A400" s="107"/>
      <c r="B400" s="109"/>
      <c r="C400" s="109"/>
      <c r="D400" s="109"/>
      <c r="E400" s="109"/>
    </row>
    <row r="401">
      <c r="A401" s="107"/>
      <c r="B401" s="109"/>
      <c r="C401" s="109"/>
      <c r="D401" s="109"/>
      <c r="E401" s="109"/>
    </row>
    <row r="402">
      <c r="A402" s="107"/>
      <c r="B402" s="109"/>
      <c r="C402" s="109"/>
      <c r="D402" s="109"/>
      <c r="E402" s="109"/>
    </row>
    <row r="403">
      <c r="A403" s="107"/>
      <c r="B403" s="109"/>
      <c r="C403" s="109"/>
      <c r="D403" s="109"/>
      <c r="E403" s="109"/>
    </row>
    <row r="404">
      <c r="A404" s="107"/>
      <c r="B404" s="109"/>
      <c r="C404" s="109"/>
      <c r="D404" s="109"/>
      <c r="E404" s="109"/>
    </row>
    <row r="405">
      <c r="A405" s="107"/>
      <c r="B405" s="109"/>
      <c r="C405" s="109"/>
      <c r="D405" s="109"/>
      <c r="E405" s="109"/>
    </row>
    <row r="406">
      <c r="A406" s="107"/>
      <c r="B406" s="109"/>
      <c r="C406" s="109"/>
      <c r="D406" s="109"/>
      <c r="E406" s="109"/>
    </row>
    <row r="407">
      <c r="A407" s="107"/>
      <c r="B407" s="109"/>
      <c r="C407" s="109"/>
      <c r="D407" s="109"/>
      <c r="E407" s="109"/>
    </row>
    <row r="408">
      <c r="A408" s="107"/>
      <c r="B408" s="109"/>
      <c r="C408" s="109"/>
      <c r="D408" s="109"/>
      <c r="E408" s="109"/>
    </row>
    <row r="409">
      <c r="A409" s="107"/>
      <c r="B409" s="109"/>
      <c r="C409" s="109"/>
      <c r="D409" s="109"/>
      <c r="E409" s="109"/>
    </row>
    <row r="410">
      <c r="A410" s="107"/>
      <c r="B410" s="109"/>
      <c r="C410" s="109"/>
      <c r="D410" s="109"/>
      <c r="E410" s="109"/>
    </row>
    <row r="411">
      <c r="A411" s="107"/>
      <c r="B411" s="109"/>
      <c r="C411" s="109"/>
      <c r="D411" s="109"/>
      <c r="E411" s="109"/>
    </row>
    <row r="412">
      <c r="A412" s="107"/>
      <c r="B412" s="109"/>
      <c r="C412" s="109"/>
      <c r="D412" s="109"/>
      <c r="E412" s="109"/>
    </row>
    <row r="413">
      <c r="A413" s="107"/>
      <c r="B413" s="109"/>
      <c r="C413" s="109"/>
      <c r="D413" s="109"/>
      <c r="E413" s="109"/>
    </row>
    <row r="414">
      <c r="A414" s="107"/>
      <c r="B414" s="109"/>
      <c r="C414" s="109"/>
      <c r="D414" s="109"/>
      <c r="E414" s="109"/>
    </row>
    <row r="415">
      <c r="A415" s="107"/>
      <c r="B415" s="109"/>
      <c r="C415" s="109"/>
      <c r="D415" s="109"/>
      <c r="E415" s="109"/>
    </row>
    <row r="416">
      <c r="A416" s="107"/>
      <c r="B416" s="109"/>
      <c r="C416" s="109"/>
      <c r="D416" s="109"/>
      <c r="E416" s="109"/>
    </row>
    <row r="417">
      <c r="A417" s="107"/>
      <c r="B417" s="109"/>
      <c r="C417" s="109"/>
      <c r="D417" s="109"/>
      <c r="E417" s="109"/>
    </row>
    <row r="418">
      <c r="A418" s="107"/>
      <c r="B418" s="109"/>
      <c r="C418" s="109"/>
      <c r="D418" s="109"/>
      <c r="E418" s="109"/>
    </row>
    <row r="419">
      <c r="A419" s="107"/>
      <c r="B419" s="109"/>
      <c r="C419" s="109"/>
      <c r="D419" s="109"/>
      <c r="E419" s="109"/>
    </row>
    <row r="420">
      <c r="A420" s="107"/>
      <c r="B420" s="109"/>
      <c r="C420" s="109"/>
      <c r="D420" s="109"/>
      <c r="E420" s="109"/>
    </row>
    <row r="421">
      <c r="A421" s="107"/>
      <c r="B421" s="109"/>
      <c r="C421" s="109"/>
      <c r="D421" s="109"/>
      <c r="E421" s="109"/>
    </row>
    <row r="422">
      <c r="A422" s="107"/>
      <c r="B422" s="109"/>
      <c r="C422" s="109"/>
      <c r="D422" s="109"/>
      <c r="E422" s="109"/>
    </row>
    <row r="423">
      <c r="A423" s="107"/>
      <c r="B423" s="109"/>
      <c r="C423" s="109"/>
      <c r="D423" s="109"/>
      <c r="E423" s="109"/>
    </row>
    <row r="424">
      <c r="A424" s="107"/>
      <c r="B424" s="109"/>
      <c r="C424" s="109"/>
      <c r="D424" s="109"/>
      <c r="E424" s="109"/>
    </row>
    <row r="425">
      <c r="A425" s="107"/>
      <c r="B425" s="109"/>
      <c r="C425" s="109"/>
      <c r="D425" s="109"/>
      <c r="E425" s="109"/>
    </row>
    <row r="426">
      <c r="A426" s="107"/>
      <c r="B426" s="109"/>
      <c r="C426" s="109"/>
      <c r="D426" s="109"/>
      <c r="E426" s="109"/>
    </row>
    <row r="427">
      <c r="A427" s="107"/>
      <c r="B427" s="109"/>
      <c r="C427" s="109"/>
      <c r="D427" s="109"/>
      <c r="E427" s="109"/>
    </row>
    <row r="428">
      <c r="A428" s="107"/>
      <c r="B428" s="109"/>
      <c r="C428" s="109"/>
      <c r="D428" s="109"/>
      <c r="E428" s="109"/>
    </row>
    <row r="429">
      <c r="A429" s="107"/>
      <c r="B429" s="109"/>
      <c r="C429" s="109"/>
      <c r="D429" s="109"/>
      <c r="E429" s="109"/>
    </row>
    <row r="430">
      <c r="A430" s="107"/>
      <c r="B430" s="109"/>
      <c r="C430" s="109"/>
      <c r="D430" s="109"/>
      <c r="E430" s="109"/>
    </row>
    <row r="431">
      <c r="A431" s="107"/>
      <c r="B431" s="109"/>
      <c r="C431" s="109"/>
      <c r="D431" s="109"/>
      <c r="E431" s="109"/>
    </row>
    <row r="432">
      <c r="A432" s="107"/>
      <c r="B432" s="109"/>
      <c r="C432" s="109"/>
      <c r="D432" s="109"/>
      <c r="E432" s="109"/>
    </row>
    <row r="433">
      <c r="A433" s="107"/>
      <c r="B433" s="109"/>
      <c r="C433" s="109"/>
      <c r="D433" s="109"/>
      <c r="E433" s="109"/>
    </row>
    <row r="434">
      <c r="A434" s="107"/>
      <c r="B434" s="109"/>
      <c r="C434" s="109"/>
      <c r="D434" s="109"/>
      <c r="E434" s="109"/>
    </row>
    <row r="435">
      <c r="A435" s="107"/>
      <c r="B435" s="109"/>
      <c r="C435" s="109"/>
      <c r="D435" s="109"/>
      <c r="E435" s="109"/>
    </row>
    <row r="436">
      <c r="A436" s="107"/>
      <c r="B436" s="109"/>
      <c r="C436" s="109"/>
      <c r="D436" s="109"/>
      <c r="E436" s="109"/>
    </row>
    <row r="437">
      <c r="A437" s="107"/>
      <c r="B437" s="109"/>
      <c r="C437" s="109"/>
      <c r="D437" s="109"/>
      <c r="E437" s="109"/>
    </row>
    <row r="438">
      <c r="A438" s="107"/>
      <c r="B438" s="109"/>
      <c r="C438" s="109"/>
      <c r="D438" s="109"/>
      <c r="E438" s="109"/>
    </row>
    <row r="439">
      <c r="A439" s="107"/>
      <c r="B439" s="109"/>
      <c r="C439" s="109"/>
      <c r="D439" s="109"/>
      <c r="E439" s="109"/>
    </row>
    <row r="440">
      <c r="A440" s="107"/>
      <c r="B440" s="109"/>
      <c r="C440" s="109"/>
      <c r="D440" s="109"/>
      <c r="E440" s="109"/>
    </row>
    <row r="441">
      <c r="A441" s="107"/>
      <c r="B441" s="109"/>
      <c r="C441" s="109"/>
      <c r="D441" s="109"/>
      <c r="E441" s="109"/>
    </row>
    <row r="442">
      <c r="A442" s="107"/>
      <c r="B442" s="109"/>
      <c r="C442" s="109"/>
      <c r="D442" s="109"/>
      <c r="E442" s="109"/>
    </row>
    <row r="443">
      <c r="A443" s="107"/>
      <c r="B443" s="109"/>
      <c r="C443" s="109"/>
      <c r="D443" s="109"/>
      <c r="E443" s="109"/>
    </row>
    <row r="444">
      <c r="A444" s="107"/>
      <c r="B444" s="109"/>
      <c r="C444" s="109"/>
      <c r="D444" s="109"/>
      <c r="E444" s="109"/>
    </row>
    <row r="445">
      <c r="A445" s="107"/>
      <c r="B445" s="109"/>
      <c r="C445" s="109"/>
      <c r="D445" s="109"/>
      <c r="E445" s="109"/>
    </row>
    <row r="446">
      <c r="A446" s="107"/>
      <c r="B446" s="109"/>
      <c r="C446" s="109"/>
      <c r="D446" s="109"/>
      <c r="E446" s="109"/>
    </row>
    <row r="447">
      <c r="A447" s="107"/>
      <c r="B447" s="109"/>
      <c r="C447" s="109"/>
      <c r="D447" s="109"/>
      <c r="E447" s="109"/>
    </row>
    <row r="448">
      <c r="A448" s="107"/>
      <c r="B448" s="109"/>
      <c r="C448" s="109"/>
      <c r="D448" s="109"/>
      <c r="E448" s="109"/>
    </row>
    <row r="449">
      <c r="A449" s="107"/>
      <c r="B449" s="109"/>
      <c r="C449" s="109"/>
      <c r="D449" s="109"/>
      <c r="E449" s="109"/>
    </row>
    <row r="450">
      <c r="A450" s="107"/>
      <c r="B450" s="109"/>
      <c r="C450" s="109"/>
      <c r="D450" s="109"/>
      <c r="E450" s="109"/>
    </row>
    <row r="451">
      <c r="A451" s="107"/>
      <c r="B451" s="109"/>
      <c r="C451" s="109"/>
      <c r="D451" s="109"/>
      <c r="E451" s="109"/>
    </row>
    <row r="452">
      <c r="A452" s="107"/>
      <c r="B452" s="109"/>
      <c r="C452" s="109"/>
      <c r="D452" s="109"/>
      <c r="E452" s="109"/>
    </row>
    <row r="453">
      <c r="A453" s="107"/>
      <c r="B453" s="109"/>
      <c r="C453" s="109"/>
      <c r="D453" s="109"/>
      <c r="E453" s="109"/>
    </row>
    <row r="454">
      <c r="A454" s="107"/>
      <c r="B454" s="109"/>
      <c r="C454" s="109"/>
      <c r="D454" s="109"/>
      <c r="E454" s="109"/>
    </row>
    <row r="455">
      <c r="A455" s="107"/>
      <c r="B455" s="109"/>
      <c r="C455" s="109"/>
      <c r="D455" s="109"/>
      <c r="E455" s="109"/>
    </row>
    <row r="456">
      <c r="A456" s="107"/>
      <c r="B456" s="109"/>
      <c r="C456" s="109"/>
      <c r="D456" s="109"/>
      <c r="E456" s="109"/>
    </row>
    <row r="457">
      <c r="A457" s="107"/>
      <c r="B457" s="109"/>
      <c r="C457" s="109"/>
      <c r="D457" s="109"/>
      <c r="E457" s="109"/>
    </row>
    <row r="458">
      <c r="A458" s="107"/>
      <c r="B458" s="109"/>
      <c r="C458" s="109"/>
      <c r="D458" s="109"/>
      <c r="E458" s="109"/>
    </row>
    <row r="459">
      <c r="A459" s="107"/>
      <c r="B459" s="109"/>
      <c r="C459" s="109"/>
      <c r="D459" s="109"/>
      <c r="E459" s="109"/>
    </row>
    <row r="460">
      <c r="A460" s="107"/>
      <c r="B460" s="109"/>
      <c r="C460" s="109"/>
      <c r="D460" s="109"/>
      <c r="E460" s="109"/>
    </row>
    <row r="461">
      <c r="A461" s="107"/>
      <c r="B461" s="109"/>
      <c r="C461" s="109"/>
      <c r="D461" s="109"/>
      <c r="E461" s="109"/>
    </row>
    <row r="462">
      <c r="A462" s="107"/>
      <c r="B462" s="109"/>
      <c r="C462" s="109"/>
      <c r="D462" s="109"/>
      <c r="E462" s="109"/>
    </row>
    <row r="463">
      <c r="A463" s="107"/>
      <c r="B463" s="109"/>
      <c r="C463" s="109"/>
      <c r="D463" s="109"/>
      <c r="E463" s="109"/>
    </row>
    <row r="464">
      <c r="A464" s="107"/>
      <c r="B464" s="109"/>
      <c r="C464" s="109"/>
      <c r="D464" s="109"/>
      <c r="E464" s="109"/>
    </row>
    <row r="465">
      <c r="A465" s="107"/>
      <c r="B465" s="109"/>
      <c r="C465" s="109"/>
      <c r="D465" s="109"/>
      <c r="E465" s="109"/>
    </row>
    <row r="466">
      <c r="A466" s="107"/>
      <c r="B466" s="109"/>
      <c r="C466" s="109"/>
      <c r="D466" s="109"/>
      <c r="E466" s="109"/>
    </row>
    <row r="467">
      <c r="A467" s="107"/>
      <c r="B467" s="109"/>
      <c r="C467" s="109"/>
      <c r="D467" s="109"/>
      <c r="E467" s="109"/>
    </row>
    <row r="468">
      <c r="A468" s="107"/>
      <c r="B468" s="109"/>
      <c r="C468" s="109"/>
      <c r="D468" s="109"/>
      <c r="E468" s="109"/>
    </row>
    <row r="469">
      <c r="A469" s="107"/>
      <c r="B469" s="109"/>
      <c r="C469" s="109"/>
      <c r="D469" s="109"/>
      <c r="E469" s="109"/>
    </row>
    <row r="470">
      <c r="A470" s="107"/>
      <c r="B470" s="109"/>
      <c r="C470" s="109"/>
      <c r="D470" s="109"/>
      <c r="E470" s="109"/>
    </row>
    <row r="471">
      <c r="A471" s="107"/>
      <c r="B471" s="109"/>
      <c r="C471" s="109"/>
      <c r="D471" s="109"/>
      <c r="E471" s="109"/>
    </row>
    <row r="472">
      <c r="A472" s="107"/>
      <c r="B472" s="109"/>
      <c r="C472" s="109"/>
      <c r="D472" s="109"/>
      <c r="E472" s="109"/>
    </row>
    <row r="473">
      <c r="A473" s="107"/>
      <c r="B473" s="109"/>
      <c r="C473" s="109"/>
      <c r="D473" s="109"/>
      <c r="E473" s="109"/>
    </row>
    <row r="474">
      <c r="A474" s="107"/>
      <c r="B474" s="109"/>
      <c r="C474" s="109"/>
      <c r="D474" s="109"/>
      <c r="E474" s="109"/>
    </row>
    <row r="475">
      <c r="A475" s="107"/>
      <c r="B475" s="109"/>
      <c r="C475" s="109"/>
      <c r="D475" s="109"/>
      <c r="E475" s="109"/>
    </row>
    <row r="476">
      <c r="A476" s="107"/>
      <c r="B476" s="109"/>
      <c r="C476" s="109"/>
      <c r="D476" s="109"/>
      <c r="E476" s="109"/>
    </row>
    <row r="477">
      <c r="A477" s="107"/>
      <c r="B477" s="109"/>
      <c r="C477" s="109"/>
      <c r="D477" s="109"/>
      <c r="E477" s="109"/>
    </row>
    <row r="478">
      <c r="A478" s="107"/>
      <c r="B478" s="109"/>
      <c r="C478" s="109"/>
      <c r="D478" s="109"/>
      <c r="E478" s="109"/>
    </row>
    <row r="479">
      <c r="A479" s="107"/>
      <c r="B479" s="109"/>
      <c r="C479" s="109"/>
      <c r="D479" s="109"/>
      <c r="E479" s="109"/>
    </row>
    <row r="480">
      <c r="A480" s="107"/>
      <c r="B480" s="109"/>
      <c r="C480" s="109"/>
      <c r="D480" s="109"/>
      <c r="E480" s="109"/>
    </row>
    <row r="481">
      <c r="A481" s="107"/>
      <c r="B481" s="109"/>
      <c r="C481" s="109"/>
      <c r="D481" s="109"/>
      <c r="E481" s="109"/>
    </row>
    <row r="482">
      <c r="A482" s="107"/>
      <c r="B482" s="109"/>
      <c r="C482" s="109"/>
      <c r="D482" s="109"/>
      <c r="E482" s="109"/>
    </row>
    <row r="483">
      <c r="A483" s="107"/>
      <c r="B483" s="109"/>
      <c r="C483" s="109"/>
      <c r="D483" s="109"/>
      <c r="E483" s="109"/>
    </row>
    <row r="484">
      <c r="A484" s="107"/>
      <c r="B484" s="109"/>
      <c r="C484" s="109"/>
      <c r="D484" s="109"/>
      <c r="E484" s="109"/>
    </row>
    <row r="485">
      <c r="A485" s="107"/>
      <c r="B485" s="109"/>
      <c r="C485" s="109"/>
      <c r="D485" s="109"/>
      <c r="E485" s="109"/>
    </row>
    <row r="486">
      <c r="A486" s="107"/>
      <c r="B486" s="109"/>
      <c r="C486" s="109"/>
      <c r="D486" s="109"/>
      <c r="E486" s="109"/>
    </row>
    <row r="487">
      <c r="A487" s="107"/>
      <c r="B487" s="109"/>
      <c r="C487" s="109"/>
      <c r="D487" s="109"/>
      <c r="E487" s="109"/>
    </row>
    <row r="488">
      <c r="A488" s="107"/>
      <c r="B488" s="109"/>
      <c r="C488" s="109"/>
      <c r="D488" s="109"/>
      <c r="E488" s="109"/>
    </row>
    <row r="489">
      <c r="A489" s="107"/>
      <c r="B489" s="109"/>
      <c r="C489" s="109"/>
      <c r="D489" s="109"/>
      <c r="E489" s="109"/>
    </row>
    <row r="490">
      <c r="A490" s="107"/>
      <c r="B490" s="109"/>
      <c r="C490" s="109"/>
      <c r="D490" s="109"/>
      <c r="E490" s="109"/>
    </row>
    <row r="491">
      <c r="A491" s="107"/>
      <c r="B491" s="109"/>
      <c r="C491" s="109"/>
      <c r="D491" s="109"/>
      <c r="E491" s="109"/>
    </row>
    <row r="492">
      <c r="A492" s="107"/>
      <c r="B492" s="109"/>
      <c r="C492" s="109"/>
      <c r="D492" s="109"/>
      <c r="E492" s="109"/>
    </row>
    <row r="493">
      <c r="A493" s="107"/>
      <c r="B493" s="109"/>
      <c r="C493" s="109"/>
      <c r="D493" s="109"/>
      <c r="E493" s="109"/>
    </row>
    <row r="494">
      <c r="A494" s="107"/>
      <c r="B494" s="109"/>
      <c r="C494" s="109"/>
      <c r="D494" s="109"/>
      <c r="E494" s="109"/>
    </row>
    <row r="495">
      <c r="A495" s="107"/>
      <c r="B495" s="109"/>
      <c r="C495" s="109"/>
      <c r="D495" s="109"/>
      <c r="E495" s="109"/>
    </row>
    <row r="496">
      <c r="A496" s="107"/>
      <c r="B496" s="109"/>
      <c r="C496" s="109"/>
      <c r="D496" s="109"/>
      <c r="E496" s="109"/>
    </row>
    <row r="497">
      <c r="A497" s="107"/>
      <c r="B497" s="109"/>
      <c r="C497" s="109"/>
      <c r="D497" s="109"/>
      <c r="E497" s="109"/>
    </row>
    <row r="498">
      <c r="A498" s="107"/>
      <c r="B498" s="109"/>
      <c r="C498" s="109"/>
      <c r="D498" s="109"/>
      <c r="E498" s="109"/>
    </row>
    <row r="499">
      <c r="A499" s="107"/>
      <c r="B499" s="109"/>
      <c r="C499" s="109"/>
      <c r="D499" s="109"/>
      <c r="E499" s="109"/>
    </row>
    <row r="500">
      <c r="A500" s="107"/>
      <c r="B500" s="109"/>
      <c r="C500" s="109"/>
      <c r="D500" s="109"/>
      <c r="E500" s="109"/>
    </row>
    <row r="501">
      <c r="A501" s="107"/>
      <c r="B501" s="109"/>
      <c r="C501" s="109"/>
      <c r="D501" s="109"/>
      <c r="E501" s="109"/>
    </row>
    <row r="502">
      <c r="A502" s="107"/>
      <c r="B502" s="109"/>
      <c r="C502" s="109"/>
      <c r="D502" s="109"/>
      <c r="E502" s="109"/>
    </row>
    <row r="503">
      <c r="A503" s="107"/>
      <c r="B503" s="109"/>
      <c r="C503" s="109"/>
      <c r="D503" s="109"/>
      <c r="E503" s="109"/>
    </row>
    <row r="504">
      <c r="A504" s="107"/>
      <c r="B504" s="109"/>
      <c r="C504" s="109"/>
      <c r="D504" s="109"/>
      <c r="E504" s="109"/>
    </row>
    <row r="505">
      <c r="A505" s="107"/>
      <c r="B505" s="109"/>
      <c r="C505" s="109"/>
      <c r="D505" s="109"/>
      <c r="E505" s="109"/>
    </row>
    <row r="506">
      <c r="A506" s="107"/>
      <c r="B506" s="109"/>
      <c r="C506" s="109"/>
      <c r="D506" s="109"/>
      <c r="E506" s="109"/>
    </row>
    <row r="507">
      <c r="A507" s="107"/>
      <c r="B507" s="109"/>
      <c r="C507" s="109"/>
      <c r="D507" s="109"/>
      <c r="E507" s="109"/>
    </row>
    <row r="508">
      <c r="A508" s="107"/>
      <c r="B508" s="109"/>
      <c r="C508" s="109"/>
      <c r="D508" s="109"/>
      <c r="E508" s="109"/>
    </row>
    <row r="509">
      <c r="A509" s="107"/>
      <c r="B509" s="109"/>
      <c r="C509" s="109"/>
      <c r="D509" s="109"/>
      <c r="E509" s="109"/>
    </row>
    <row r="510">
      <c r="A510" s="107"/>
      <c r="B510" s="109"/>
      <c r="C510" s="109"/>
      <c r="D510" s="109"/>
      <c r="E510" s="109"/>
    </row>
    <row r="511">
      <c r="A511" s="107"/>
      <c r="B511" s="109"/>
      <c r="C511" s="109"/>
      <c r="D511" s="109"/>
      <c r="E511" s="109"/>
    </row>
    <row r="512">
      <c r="A512" s="107"/>
      <c r="B512" s="109"/>
      <c r="C512" s="109"/>
      <c r="D512" s="109"/>
      <c r="E512" s="109"/>
    </row>
    <row r="513">
      <c r="A513" s="107"/>
      <c r="B513" s="109"/>
      <c r="C513" s="109"/>
      <c r="D513" s="109"/>
      <c r="E513" s="109"/>
    </row>
    <row r="514">
      <c r="A514" s="107"/>
      <c r="B514" s="109"/>
      <c r="C514" s="109"/>
      <c r="D514" s="109"/>
      <c r="E514" s="109"/>
    </row>
    <row r="515">
      <c r="A515" s="107"/>
      <c r="B515" s="109"/>
      <c r="C515" s="109"/>
      <c r="D515" s="109"/>
      <c r="E515" s="109"/>
    </row>
    <row r="516">
      <c r="A516" s="107"/>
      <c r="B516" s="109"/>
      <c r="C516" s="109"/>
      <c r="D516" s="109"/>
      <c r="E516" s="109"/>
    </row>
    <row r="517">
      <c r="A517" s="107"/>
      <c r="B517" s="109"/>
      <c r="C517" s="109"/>
      <c r="D517" s="109"/>
      <c r="E517" s="109"/>
    </row>
    <row r="518">
      <c r="A518" s="107"/>
      <c r="B518" s="109"/>
      <c r="C518" s="109"/>
      <c r="D518" s="109"/>
      <c r="E518" s="109"/>
    </row>
    <row r="519">
      <c r="A519" s="107"/>
      <c r="B519" s="109"/>
      <c r="C519" s="109"/>
      <c r="D519" s="109"/>
      <c r="E519" s="109"/>
    </row>
    <row r="520">
      <c r="A520" s="107"/>
      <c r="B520" s="109"/>
      <c r="C520" s="109"/>
      <c r="D520" s="109"/>
      <c r="E520" s="109"/>
    </row>
    <row r="521">
      <c r="A521" s="107"/>
      <c r="B521" s="109"/>
      <c r="C521" s="109"/>
      <c r="D521" s="109"/>
      <c r="E521" s="109"/>
    </row>
    <row r="522">
      <c r="A522" s="107"/>
      <c r="B522" s="109"/>
      <c r="C522" s="109"/>
      <c r="D522" s="109"/>
      <c r="E522" s="109"/>
    </row>
    <row r="523">
      <c r="A523" s="107"/>
      <c r="B523" s="109"/>
      <c r="C523" s="109"/>
      <c r="D523" s="109"/>
      <c r="E523" s="109"/>
    </row>
    <row r="524">
      <c r="A524" s="107"/>
      <c r="B524" s="109"/>
      <c r="C524" s="109"/>
      <c r="D524" s="109"/>
      <c r="E524" s="109"/>
    </row>
    <row r="525">
      <c r="A525" s="107"/>
      <c r="B525" s="109"/>
      <c r="C525" s="109"/>
      <c r="D525" s="109"/>
      <c r="E525" s="109"/>
    </row>
    <row r="526">
      <c r="A526" s="107"/>
      <c r="B526" s="109"/>
      <c r="C526" s="109"/>
      <c r="D526" s="109"/>
      <c r="E526" s="109"/>
    </row>
    <row r="527">
      <c r="A527" s="107"/>
      <c r="B527" s="109"/>
      <c r="C527" s="109"/>
      <c r="D527" s="109"/>
      <c r="E527" s="109"/>
    </row>
    <row r="528">
      <c r="A528" s="107"/>
      <c r="B528" s="109"/>
      <c r="C528" s="109"/>
      <c r="D528" s="109"/>
      <c r="E528" s="109"/>
    </row>
    <row r="529">
      <c r="A529" s="107"/>
      <c r="B529" s="109"/>
      <c r="C529" s="109"/>
      <c r="D529" s="109"/>
      <c r="E529" s="109"/>
    </row>
    <row r="530">
      <c r="A530" s="107"/>
      <c r="B530" s="109"/>
      <c r="C530" s="109"/>
      <c r="D530" s="109"/>
      <c r="E530" s="109"/>
    </row>
    <row r="531">
      <c r="A531" s="107"/>
      <c r="B531" s="109"/>
      <c r="C531" s="109"/>
      <c r="D531" s="109"/>
      <c r="E531" s="109"/>
    </row>
    <row r="532">
      <c r="A532" s="107"/>
      <c r="B532" s="109"/>
      <c r="C532" s="109"/>
      <c r="D532" s="109"/>
      <c r="E532" s="109"/>
    </row>
    <row r="533">
      <c r="A533" s="107"/>
      <c r="B533" s="109"/>
      <c r="C533" s="109"/>
      <c r="D533" s="109"/>
      <c r="E533" s="109"/>
    </row>
    <row r="534">
      <c r="A534" s="107"/>
      <c r="B534" s="109"/>
      <c r="C534" s="109"/>
      <c r="D534" s="109"/>
      <c r="E534" s="109"/>
    </row>
    <row r="535">
      <c r="A535" s="107"/>
      <c r="B535" s="109"/>
      <c r="C535" s="109"/>
      <c r="D535" s="109"/>
      <c r="E535" s="109"/>
    </row>
    <row r="536">
      <c r="A536" s="107"/>
      <c r="B536" s="109"/>
      <c r="C536" s="109"/>
      <c r="D536" s="109"/>
      <c r="E536" s="109"/>
    </row>
    <row r="537">
      <c r="A537" s="107"/>
      <c r="B537" s="109"/>
      <c r="C537" s="109"/>
      <c r="D537" s="109"/>
      <c r="E537" s="109"/>
    </row>
    <row r="538">
      <c r="A538" s="107"/>
      <c r="B538" s="109"/>
      <c r="C538" s="109"/>
      <c r="D538" s="109"/>
      <c r="E538" s="109"/>
    </row>
    <row r="539">
      <c r="A539" s="107"/>
      <c r="B539" s="109"/>
      <c r="C539" s="109"/>
      <c r="D539" s="109"/>
      <c r="E539" s="109"/>
    </row>
    <row r="540">
      <c r="A540" s="107"/>
      <c r="B540" s="109"/>
      <c r="C540" s="109"/>
      <c r="D540" s="109"/>
      <c r="E540" s="109"/>
    </row>
    <row r="541">
      <c r="A541" s="107"/>
      <c r="B541" s="109"/>
      <c r="C541" s="109"/>
      <c r="D541" s="109"/>
      <c r="E541" s="109"/>
    </row>
    <row r="542">
      <c r="A542" s="107"/>
      <c r="B542" s="109"/>
      <c r="C542" s="109"/>
      <c r="D542" s="109"/>
      <c r="E542" s="109"/>
    </row>
    <row r="543">
      <c r="A543" s="107"/>
      <c r="B543" s="109"/>
      <c r="C543" s="109"/>
      <c r="D543" s="109"/>
      <c r="E543" s="109"/>
    </row>
    <row r="544">
      <c r="A544" s="107"/>
      <c r="B544" s="109"/>
      <c r="C544" s="109"/>
      <c r="D544" s="109"/>
      <c r="E544" s="109"/>
    </row>
    <row r="545">
      <c r="A545" s="107"/>
      <c r="B545" s="109"/>
      <c r="C545" s="109"/>
      <c r="D545" s="109"/>
      <c r="E545" s="109"/>
    </row>
    <row r="546">
      <c r="A546" s="107"/>
      <c r="B546" s="109"/>
      <c r="C546" s="109"/>
      <c r="D546" s="109"/>
      <c r="E546" s="109"/>
    </row>
    <row r="547">
      <c r="A547" s="107"/>
      <c r="B547" s="109"/>
      <c r="C547" s="109"/>
      <c r="D547" s="109"/>
      <c r="E547" s="109"/>
    </row>
    <row r="548">
      <c r="A548" s="107"/>
      <c r="B548" s="109"/>
      <c r="C548" s="109"/>
      <c r="D548" s="109"/>
      <c r="E548" s="109"/>
    </row>
    <row r="549">
      <c r="A549" s="107"/>
      <c r="B549" s="109"/>
      <c r="C549" s="109"/>
      <c r="D549" s="109"/>
      <c r="E549" s="109"/>
    </row>
    <row r="550">
      <c r="A550" s="107"/>
      <c r="B550" s="109"/>
      <c r="C550" s="109"/>
      <c r="D550" s="109"/>
      <c r="E550" s="109"/>
    </row>
    <row r="551">
      <c r="A551" s="107"/>
      <c r="B551" s="109"/>
      <c r="C551" s="109"/>
      <c r="D551" s="109"/>
      <c r="E551" s="109"/>
    </row>
    <row r="552">
      <c r="A552" s="107"/>
      <c r="B552" s="109"/>
      <c r="C552" s="109"/>
      <c r="D552" s="109"/>
      <c r="E552" s="109"/>
    </row>
    <row r="553">
      <c r="A553" s="107"/>
      <c r="B553" s="109"/>
      <c r="C553" s="109"/>
      <c r="D553" s="109"/>
      <c r="E553" s="109"/>
    </row>
    <row r="554">
      <c r="A554" s="107"/>
      <c r="B554" s="109"/>
      <c r="C554" s="109"/>
      <c r="D554" s="109"/>
      <c r="E554" s="109"/>
    </row>
    <row r="555">
      <c r="A555" s="107"/>
      <c r="B555" s="109"/>
      <c r="C555" s="109"/>
      <c r="D555" s="109"/>
      <c r="E555" s="109"/>
    </row>
    <row r="556">
      <c r="A556" s="107"/>
      <c r="B556" s="109"/>
      <c r="C556" s="109"/>
      <c r="D556" s="109"/>
      <c r="E556" s="109"/>
    </row>
    <row r="557">
      <c r="A557" s="107"/>
      <c r="B557" s="109"/>
      <c r="C557" s="109"/>
      <c r="D557" s="109"/>
      <c r="E557" s="109"/>
    </row>
    <row r="558">
      <c r="A558" s="107"/>
      <c r="B558" s="109"/>
      <c r="C558" s="109"/>
      <c r="D558" s="109"/>
      <c r="E558" s="109"/>
    </row>
    <row r="559">
      <c r="A559" s="107"/>
      <c r="B559" s="109"/>
      <c r="C559" s="109"/>
      <c r="D559" s="109"/>
      <c r="E559" s="109"/>
    </row>
    <row r="560">
      <c r="A560" s="107"/>
      <c r="B560" s="109"/>
      <c r="C560" s="109"/>
      <c r="D560" s="109"/>
      <c r="E560" s="109"/>
    </row>
    <row r="561">
      <c r="A561" s="107"/>
      <c r="B561" s="109"/>
      <c r="C561" s="109"/>
      <c r="D561" s="109"/>
      <c r="E561" s="109"/>
    </row>
    <row r="562">
      <c r="A562" s="107"/>
      <c r="B562" s="109"/>
      <c r="C562" s="109"/>
      <c r="D562" s="109"/>
      <c r="E562" s="109"/>
    </row>
    <row r="563">
      <c r="A563" s="107"/>
      <c r="B563" s="109"/>
      <c r="C563" s="109"/>
      <c r="D563" s="109"/>
      <c r="E563" s="109"/>
    </row>
    <row r="564">
      <c r="A564" s="107"/>
      <c r="B564" s="109"/>
      <c r="C564" s="109"/>
      <c r="D564" s="109"/>
      <c r="E564" s="109"/>
    </row>
    <row r="565">
      <c r="A565" s="107"/>
      <c r="B565" s="109"/>
      <c r="C565" s="109"/>
      <c r="D565" s="109"/>
      <c r="E565" s="109"/>
    </row>
    <row r="566">
      <c r="A566" s="107"/>
      <c r="B566" s="109"/>
      <c r="C566" s="109"/>
      <c r="D566" s="109"/>
      <c r="E566" s="109"/>
    </row>
    <row r="567">
      <c r="A567" s="107"/>
      <c r="B567" s="109"/>
      <c r="C567" s="109"/>
      <c r="D567" s="109"/>
      <c r="E567" s="109"/>
    </row>
    <row r="568">
      <c r="A568" s="107"/>
      <c r="B568" s="109"/>
      <c r="C568" s="109"/>
      <c r="D568" s="109"/>
      <c r="E568" s="109"/>
    </row>
    <row r="569">
      <c r="A569" s="107"/>
      <c r="B569" s="109"/>
      <c r="C569" s="109"/>
      <c r="D569" s="109"/>
      <c r="E569" s="109"/>
    </row>
    <row r="570">
      <c r="A570" s="107"/>
      <c r="B570" s="109"/>
      <c r="C570" s="109"/>
      <c r="D570" s="109"/>
      <c r="E570" s="109"/>
    </row>
    <row r="571">
      <c r="A571" s="107"/>
      <c r="B571" s="109"/>
      <c r="C571" s="109"/>
      <c r="D571" s="109"/>
      <c r="E571" s="109"/>
    </row>
    <row r="572">
      <c r="A572" s="107"/>
      <c r="B572" s="109"/>
      <c r="C572" s="109"/>
      <c r="D572" s="109"/>
      <c r="E572" s="109"/>
    </row>
    <row r="573">
      <c r="A573" s="107"/>
      <c r="B573" s="109"/>
      <c r="C573" s="109"/>
      <c r="D573" s="109"/>
      <c r="E573" s="109"/>
    </row>
    <row r="574">
      <c r="A574" s="107"/>
      <c r="B574" s="109"/>
      <c r="C574" s="109"/>
      <c r="D574" s="109"/>
      <c r="E574" s="109"/>
    </row>
    <row r="575">
      <c r="A575" s="107"/>
      <c r="B575" s="109"/>
      <c r="C575" s="109"/>
      <c r="D575" s="109"/>
      <c r="E575" s="109"/>
    </row>
    <row r="576">
      <c r="A576" s="107"/>
      <c r="B576" s="109"/>
      <c r="C576" s="109"/>
      <c r="D576" s="109"/>
      <c r="E576" s="109"/>
    </row>
    <row r="577">
      <c r="A577" s="107"/>
      <c r="B577" s="109"/>
      <c r="C577" s="109"/>
      <c r="D577" s="109"/>
      <c r="E577" s="109"/>
    </row>
    <row r="578">
      <c r="A578" s="107"/>
      <c r="B578" s="109"/>
      <c r="C578" s="109"/>
      <c r="D578" s="109"/>
      <c r="E578" s="109"/>
    </row>
    <row r="579">
      <c r="A579" s="107"/>
      <c r="B579" s="109"/>
      <c r="C579" s="109"/>
      <c r="D579" s="109"/>
      <c r="E579" s="109"/>
    </row>
    <row r="580">
      <c r="A580" s="107"/>
      <c r="B580" s="109"/>
      <c r="C580" s="109"/>
      <c r="D580" s="109"/>
      <c r="E580" s="109"/>
    </row>
    <row r="581">
      <c r="A581" s="107"/>
      <c r="B581" s="109"/>
      <c r="C581" s="109"/>
      <c r="D581" s="109"/>
      <c r="E581" s="109"/>
    </row>
    <row r="582">
      <c r="A582" s="107"/>
      <c r="B582" s="109"/>
      <c r="C582" s="109"/>
      <c r="D582" s="109"/>
      <c r="E582" s="109"/>
    </row>
    <row r="583">
      <c r="A583" s="107"/>
      <c r="B583" s="109"/>
      <c r="C583" s="109"/>
      <c r="D583" s="109"/>
      <c r="E583" s="109"/>
    </row>
    <row r="584">
      <c r="A584" s="107"/>
      <c r="B584" s="109"/>
      <c r="C584" s="109"/>
      <c r="D584" s="109"/>
      <c r="E584" s="109"/>
    </row>
    <row r="585">
      <c r="A585" s="107"/>
      <c r="B585" s="109"/>
      <c r="C585" s="109"/>
      <c r="D585" s="109"/>
      <c r="E585" s="109"/>
    </row>
    <row r="586">
      <c r="A586" s="107"/>
      <c r="B586" s="109"/>
      <c r="C586" s="109"/>
      <c r="D586" s="109"/>
      <c r="E586" s="109"/>
    </row>
    <row r="587">
      <c r="A587" s="107"/>
      <c r="B587" s="109"/>
      <c r="C587" s="109"/>
      <c r="D587" s="109"/>
      <c r="E587" s="109"/>
    </row>
    <row r="588">
      <c r="A588" s="107"/>
      <c r="B588" s="109"/>
      <c r="C588" s="109"/>
      <c r="D588" s="109"/>
      <c r="E588" s="109"/>
    </row>
    <row r="589">
      <c r="A589" s="107"/>
      <c r="B589" s="109"/>
      <c r="C589" s="109"/>
      <c r="D589" s="109"/>
      <c r="E589" s="109"/>
    </row>
    <row r="590">
      <c r="A590" s="107"/>
      <c r="B590" s="109"/>
      <c r="C590" s="109"/>
      <c r="D590" s="109"/>
      <c r="E590" s="109"/>
    </row>
    <row r="591">
      <c r="A591" s="107"/>
      <c r="B591" s="109"/>
      <c r="C591" s="109"/>
      <c r="D591" s="109"/>
      <c r="E591" s="109"/>
    </row>
    <row r="592">
      <c r="A592" s="107"/>
      <c r="B592" s="109"/>
      <c r="C592" s="109"/>
      <c r="D592" s="109"/>
      <c r="E592" s="109"/>
    </row>
    <row r="593">
      <c r="A593" s="107"/>
      <c r="B593" s="109"/>
      <c r="C593" s="109"/>
      <c r="D593" s="109"/>
      <c r="E593" s="109"/>
    </row>
    <row r="594">
      <c r="A594" s="107"/>
      <c r="B594" s="109"/>
      <c r="C594" s="109"/>
      <c r="D594" s="109"/>
      <c r="E594" s="109"/>
    </row>
    <row r="595">
      <c r="A595" s="107"/>
      <c r="B595" s="109"/>
      <c r="C595" s="109"/>
      <c r="D595" s="109"/>
      <c r="E595" s="109"/>
    </row>
    <row r="596">
      <c r="A596" s="107"/>
      <c r="B596" s="109"/>
      <c r="C596" s="109"/>
      <c r="D596" s="109"/>
      <c r="E596" s="109"/>
    </row>
    <row r="597">
      <c r="A597" s="107"/>
      <c r="B597" s="109"/>
      <c r="C597" s="109"/>
      <c r="D597" s="109"/>
      <c r="E597" s="109"/>
    </row>
    <row r="598">
      <c r="A598" s="107"/>
      <c r="B598" s="109"/>
      <c r="C598" s="109"/>
      <c r="D598" s="109"/>
      <c r="E598" s="109"/>
    </row>
    <row r="599">
      <c r="A599" s="107"/>
      <c r="B599" s="109"/>
      <c r="C599" s="109"/>
      <c r="D599" s="109"/>
      <c r="E599" s="109"/>
    </row>
    <row r="600">
      <c r="A600" s="107"/>
      <c r="B600" s="109"/>
      <c r="C600" s="109"/>
      <c r="D600" s="109"/>
      <c r="E600" s="109"/>
    </row>
    <row r="601">
      <c r="A601" s="107"/>
      <c r="B601" s="109"/>
      <c r="C601" s="109"/>
      <c r="D601" s="109"/>
      <c r="E601" s="109"/>
    </row>
    <row r="602">
      <c r="A602" s="107"/>
      <c r="B602" s="109"/>
      <c r="C602" s="109"/>
      <c r="D602" s="109"/>
      <c r="E602" s="109"/>
    </row>
    <row r="603">
      <c r="A603" s="107"/>
      <c r="B603" s="109"/>
      <c r="C603" s="109"/>
      <c r="D603" s="109"/>
      <c r="E603" s="109"/>
    </row>
    <row r="604">
      <c r="A604" s="107"/>
      <c r="B604" s="109"/>
      <c r="C604" s="109"/>
      <c r="D604" s="109"/>
      <c r="E604" s="109"/>
    </row>
    <row r="605">
      <c r="A605" s="107"/>
      <c r="B605" s="109"/>
      <c r="C605" s="109"/>
      <c r="D605" s="109"/>
      <c r="E605" s="109"/>
    </row>
    <row r="606">
      <c r="A606" s="107"/>
      <c r="B606" s="109"/>
      <c r="C606" s="109"/>
      <c r="D606" s="109"/>
      <c r="E606" s="109"/>
    </row>
    <row r="607">
      <c r="A607" s="107"/>
      <c r="B607" s="109"/>
      <c r="C607" s="109"/>
      <c r="D607" s="109"/>
      <c r="E607" s="109"/>
    </row>
    <row r="608">
      <c r="A608" s="107"/>
      <c r="B608" s="109"/>
      <c r="C608" s="109"/>
      <c r="D608" s="109"/>
      <c r="E608" s="109"/>
    </row>
    <row r="609">
      <c r="A609" s="107"/>
      <c r="B609" s="109"/>
      <c r="C609" s="109"/>
      <c r="D609" s="109"/>
      <c r="E609" s="109"/>
    </row>
    <row r="610">
      <c r="A610" s="107"/>
      <c r="B610" s="109"/>
      <c r="C610" s="109"/>
      <c r="D610" s="109"/>
      <c r="E610" s="109"/>
    </row>
    <row r="611">
      <c r="A611" s="107"/>
      <c r="B611" s="109"/>
      <c r="C611" s="109"/>
      <c r="D611" s="109"/>
      <c r="E611" s="109"/>
    </row>
    <row r="612">
      <c r="A612" s="107"/>
      <c r="B612" s="109"/>
      <c r="C612" s="109"/>
      <c r="D612" s="109"/>
      <c r="E612" s="109"/>
    </row>
    <row r="613">
      <c r="A613" s="107"/>
      <c r="B613" s="109"/>
      <c r="C613" s="109"/>
      <c r="D613" s="109"/>
      <c r="E613" s="109"/>
    </row>
    <row r="614">
      <c r="A614" s="107"/>
      <c r="B614" s="109"/>
      <c r="C614" s="109"/>
      <c r="D614" s="109"/>
      <c r="E614" s="109"/>
    </row>
    <row r="615">
      <c r="A615" s="107"/>
      <c r="B615" s="109"/>
      <c r="C615" s="109"/>
      <c r="D615" s="109"/>
      <c r="E615" s="109"/>
    </row>
    <row r="616">
      <c r="A616" s="107"/>
      <c r="B616" s="109"/>
      <c r="C616" s="109"/>
      <c r="D616" s="109"/>
      <c r="E616" s="109"/>
    </row>
    <row r="617">
      <c r="A617" s="107"/>
      <c r="B617" s="109"/>
      <c r="C617" s="109"/>
      <c r="D617" s="109"/>
      <c r="E617" s="109"/>
    </row>
    <row r="618">
      <c r="A618" s="107"/>
      <c r="B618" s="109"/>
      <c r="C618" s="109"/>
      <c r="D618" s="109"/>
      <c r="E618" s="109"/>
    </row>
    <row r="619">
      <c r="A619" s="107"/>
      <c r="B619" s="109"/>
      <c r="C619" s="109"/>
      <c r="D619" s="109"/>
      <c r="E619" s="109"/>
    </row>
    <row r="620">
      <c r="A620" s="107"/>
      <c r="B620" s="109"/>
      <c r="C620" s="109"/>
      <c r="D620" s="109"/>
      <c r="E620" s="109"/>
    </row>
    <row r="621">
      <c r="A621" s="107"/>
      <c r="B621" s="109"/>
      <c r="C621" s="109"/>
      <c r="D621" s="109"/>
      <c r="E621" s="109"/>
    </row>
    <row r="622">
      <c r="A622" s="107"/>
      <c r="B622" s="109"/>
      <c r="C622" s="109"/>
      <c r="D622" s="109"/>
      <c r="E622" s="109"/>
    </row>
    <row r="623">
      <c r="A623" s="107"/>
      <c r="B623" s="109"/>
      <c r="C623" s="109"/>
      <c r="D623" s="109"/>
      <c r="E623" s="109"/>
    </row>
    <row r="624">
      <c r="A624" s="107"/>
      <c r="B624" s="109"/>
      <c r="C624" s="109"/>
      <c r="D624" s="109"/>
      <c r="E624" s="109"/>
    </row>
    <row r="625">
      <c r="A625" s="107"/>
      <c r="B625" s="109"/>
      <c r="C625" s="109"/>
      <c r="D625" s="109"/>
      <c r="E625" s="109"/>
    </row>
    <row r="626">
      <c r="A626" s="107"/>
      <c r="B626" s="109"/>
      <c r="C626" s="109"/>
      <c r="D626" s="109"/>
      <c r="E626" s="109"/>
    </row>
    <row r="627">
      <c r="A627" s="107"/>
      <c r="B627" s="109"/>
      <c r="C627" s="109"/>
      <c r="D627" s="109"/>
      <c r="E627" s="109"/>
    </row>
    <row r="628">
      <c r="A628" s="107"/>
      <c r="B628" s="109"/>
      <c r="C628" s="109"/>
      <c r="D628" s="109"/>
      <c r="E628" s="109"/>
    </row>
    <row r="629">
      <c r="A629" s="107"/>
      <c r="B629" s="109"/>
      <c r="C629" s="109"/>
      <c r="D629" s="109"/>
      <c r="E629" s="109"/>
    </row>
    <row r="630">
      <c r="A630" s="107"/>
      <c r="B630" s="109"/>
      <c r="C630" s="109"/>
      <c r="D630" s="109"/>
      <c r="E630" s="109"/>
    </row>
    <row r="631">
      <c r="A631" s="107"/>
      <c r="B631" s="109"/>
      <c r="C631" s="109"/>
      <c r="D631" s="109"/>
      <c r="E631" s="109"/>
    </row>
    <row r="632">
      <c r="A632" s="107"/>
      <c r="B632" s="109"/>
      <c r="C632" s="109"/>
      <c r="D632" s="109"/>
      <c r="E632" s="109"/>
    </row>
    <row r="633">
      <c r="A633" s="107"/>
      <c r="B633" s="109"/>
      <c r="C633" s="109"/>
      <c r="D633" s="109"/>
      <c r="E633" s="109"/>
    </row>
    <row r="634">
      <c r="A634" s="107"/>
      <c r="B634" s="109"/>
      <c r="C634" s="109"/>
      <c r="D634" s="109"/>
      <c r="E634" s="109"/>
    </row>
    <row r="635">
      <c r="A635" s="107"/>
      <c r="B635" s="109"/>
      <c r="C635" s="109"/>
      <c r="D635" s="109"/>
      <c r="E635" s="109"/>
    </row>
    <row r="636">
      <c r="A636" s="107"/>
      <c r="B636" s="109"/>
      <c r="C636" s="109"/>
      <c r="D636" s="109"/>
      <c r="E636" s="109"/>
    </row>
    <row r="637">
      <c r="A637" s="107"/>
      <c r="B637" s="109"/>
      <c r="C637" s="109"/>
      <c r="D637" s="109"/>
      <c r="E637" s="109"/>
    </row>
    <row r="638">
      <c r="A638" s="107"/>
      <c r="B638" s="109"/>
      <c r="C638" s="109"/>
      <c r="D638" s="109"/>
      <c r="E638" s="109"/>
    </row>
    <row r="639">
      <c r="A639" s="107"/>
      <c r="B639" s="109"/>
      <c r="C639" s="109"/>
      <c r="D639" s="109"/>
      <c r="E639" s="109"/>
    </row>
    <row r="640">
      <c r="A640" s="107"/>
      <c r="B640" s="109"/>
      <c r="C640" s="109"/>
      <c r="D640" s="109"/>
      <c r="E640" s="109"/>
    </row>
    <row r="641">
      <c r="A641" s="107"/>
      <c r="B641" s="109"/>
      <c r="C641" s="109"/>
      <c r="D641" s="109"/>
      <c r="E641" s="109"/>
    </row>
    <row r="642">
      <c r="A642" s="107"/>
      <c r="B642" s="109"/>
      <c r="C642" s="109"/>
      <c r="D642" s="109"/>
      <c r="E642" s="109"/>
    </row>
    <row r="643">
      <c r="A643" s="107"/>
      <c r="B643" s="109"/>
      <c r="C643" s="109"/>
      <c r="D643" s="109"/>
      <c r="E643" s="109"/>
    </row>
    <row r="644">
      <c r="A644" s="107"/>
      <c r="B644" s="109"/>
      <c r="C644" s="109"/>
      <c r="D644" s="109"/>
      <c r="E644" s="109"/>
    </row>
    <row r="645">
      <c r="A645" s="107"/>
      <c r="B645" s="109"/>
      <c r="C645" s="109"/>
      <c r="D645" s="109"/>
      <c r="E645" s="109"/>
    </row>
    <row r="646">
      <c r="A646" s="107"/>
      <c r="B646" s="109"/>
      <c r="C646" s="109"/>
      <c r="D646" s="109"/>
      <c r="E646" s="109"/>
    </row>
    <row r="647">
      <c r="A647" s="107"/>
      <c r="B647" s="109"/>
      <c r="C647" s="109"/>
      <c r="D647" s="109"/>
      <c r="E647" s="109"/>
    </row>
    <row r="648">
      <c r="A648" s="107"/>
      <c r="B648" s="109"/>
      <c r="C648" s="109"/>
      <c r="D648" s="109"/>
      <c r="E648" s="109"/>
    </row>
    <row r="649">
      <c r="A649" s="107"/>
      <c r="B649" s="109"/>
      <c r="C649" s="109"/>
      <c r="D649" s="109"/>
      <c r="E649" s="109"/>
    </row>
    <row r="650">
      <c r="A650" s="107"/>
      <c r="B650" s="109"/>
      <c r="C650" s="109"/>
      <c r="D650" s="109"/>
      <c r="E650" s="109"/>
    </row>
    <row r="651">
      <c r="A651" s="107"/>
      <c r="B651" s="109"/>
      <c r="C651" s="109"/>
      <c r="D651" s="109"/>
      <c r="E651" s="109"/>
    </row>
    <row r="652">
      <c r="A652" s="107"/>
      <c r="B652" s="109"/>
      <c r="C652" s="109"/>
      <c r="D652" s="109"/>
      <c r="E652" s="109"/>
    </row>
    <row r="653">
      <c r="A653" s="107"/>
      <c r="B653" s="109"/>
      <c r="C653" s="109"/>
      <c r="D653" s="109"/>
      <c r="E653" s="109"/>
    </row>
    <row r="654">
      <c r="A654" s="107"/>
      <c r="B654" s="109"/>
      <c r="C654" s="109"/>
      <c r="D654" s="109"/>
      <c r="E654" s="109"/>
    </row>
    <row r="655">
      <c r="A655" s="107"/>
      <c r="B655" s="109"/>
      <c r="C655" s="109"/>
      <c r="D655" s="109"/>
      <c r="E655" s="109"/>
    </row>
    <row r="656">
      <c r="A656" s="107"/>
      <c r="B656" s="109"/>
      <c r="C656" s="109"/>
      <c r="D656" s="109"/>
      <c r="E656" s="109"/>
    </row>
    <row r="657">
      <c r="A657" s="107"/>
      <c r="B657" s="109"/>
      <c r="C657" s="109"/>
      <c r="D657" s="109"/>
      <c r="E657" s="109"/>
    </row>
    <row r="658">
      <c r="A658" s="107"/>
      <c r="B658" s="109"/>
      <c r="C658" s="109"/>
      <c r="D658" s="109"/>
      <c r="E658" s="109"/>
    </row>
    <row r="659">
      <c r="A659" s="107"/>
      <c r="B659" s="109"/>
      <c r="C659" s="109"/>
      <c r="D659" s="109"/>
      <c r="E659" s="109"/>
    </row>
    <row r="660">
      <c r="A660" s="107"/>
      <c r="B660" s="109"/>
      <c r="C660" s="109"/>
      <c r="D660" s="109"/>
      <c r="E660" s="109"/>
    </row>
    <row r="661">
      <c r="A661" s="107"/>
      <c r="B661" s="109"/>
      <c r="C661" s="109"/>
      <c r="D661" s="109"/>
      <c r="E661" s="109"/>
    </row>
    <row r="662">
      <c r="A662" s="107"/>
      <c r="B662" s="109"/>
      <c r="C662" s="109"/>
      <c r="D662" s="109"/>
      <c r="E662" s="109"/>
    </row>
    <row r="663">
      <c r="A663" s="107"/>
      <c r="B663" s="109"/>
      <c r="C663" s="109"/>
      <c r="D663" s="109"/>
      <c r="E663" s="109"/>
    </row>
    <row r="664">
      <c r="A664" s="107"/>
      <c r="B664" s="109"/>
      <c r="C664" s="109"/>
      <c r="D664" s="109"/>
      <c r="E664" s="109"/>
    </row>
    <row r="665">
      <c r="A665" s="107"/>
      <c r="B665" s="109"/>
      <c r="C665" s="109"/>
      <c r="D665" s="109"/>
      <c r="E665" s="109"/>
    </row>
    <row r="666">
      <c r="A666" s="107"/>
      <c r="B666" s="109"/>
      <c r="C666" s="109"/>
      <c r="D666" s="109"/>
      <c r="E666" s="109"/>
    </row>
    <row r="667">
      <c r="A667" s="107"/>
      <c r="B667" s="109"/>
      <c r="C667" s="109"/>
      <c r="D667" s="109"/>
      <c r="E667" s="109"/>
    </row>
    <row r="668">
      <c r="A668" s="107"/>
      <c r="B668" s="109"/>
      <c r="C668" s="109"/>
      <c r="D668" s="109"/>
      <c r="E668" s="109"/>
    </row>
    <row r="669">
      <c r="A669" s="107"/>
      <c r="B669" s="109"/>
      <c r="C669" s="109"/>
      <c r="D669" s="109"/>
      <c r="E669" s="109"/>
    </row>
    <row r="670">
      <c r="A670" s="107"/>
      <c r="B670" s="109"/>
      <c r="C670" s="109"/>
      <c r="D670" s="109"/>
      <c r="E670" s="109"/>
    </row>
    <row r="671">
      <c r="A671" s="107"/>
      <c r="B671" s="109"/>
      <c r="C671" s="109"/>
      <c r="D671" s="109"/>
      <c r="E671" s="109"/>
    </row>
    <row r="672">
      <c r="A672" s="107"/>
      <c r="B672" s="109"/>
      <c r="C672" s="109"/>
      <c r="D672" s="109"/>
      <c r="E672" s="109"/>
    </row>
    <row r="673">
      <c r="A673" s="107"/>
      <c r="B673" s="109"/>
      <c r="C673" s="109"/>
      <c r="D673" s="109"/>
      <c r="E673" s="109"/>
    </row>
    <row r="674">
      <c r="A674" s="107"/>
      <c r="B674" s="109"/>
      <c r="C674" s="109"/>
      <c r="D674" s="109"/>
      <c r="E674" s="109"/>
    </row>
    <row r="675">
      <c r="A675" s="107"/>
      <c r="B675" s="109"/>
      <c r="C675" s="109"/>
      <c r="D675" s="109"/>
      <c r="E675" s="109"/>
    </row>
    <row r="676">
      <c r="A676" s="107"/>
      <c r="B676" s="109"/>
      <c r="C676" s="109"/>
      <c r="D676" s="109"/>
      <c r="E676" s="109"/>
    </row>
    <row r="677">
      <c r="A677" s="107"/>
      <c r="B677" s="109"/>
      <c r="C677" s="109"/>
      <c r="D677" s="109"/>
      <c r="E677" s="109"/>
    </row>
    <row r="678">
      <c r="A678" s="107"/>
      <c r="B678" s="109"/>
      <c r="C678" s="109"/>
      <c r="D678" s="109"/>
      <c r="E678" s="109"/>
    </row>
    <row r="679">
      <c r="A679" s="107"/>
      <c r="B679" s="109"/>
      <c r="C679" s="109"/>
      <c r="D679" s="109"/>
      <c r="E679" s="109"/>
    </row>
    <row r="680">
      <c r="A680" s="107"/>
      <c r="B680" s="109"/>
      <c r="C680" s="109"/>
      <c r="D680" s="109"/>
      <c r="E680" s="109"/>
    </row>
    <row r="681">
      <c r="A681" s="107"/>
      <c r="B681" s="109"/>
      <c r="C681" s="109"/>
      <c r="D681" s="109"/>
      <c r="E681" s="109"/>
    </row>
    <row r="682">
      <c r="A682" s="107"/>
      <c r="B682" s="109"/>
      <c r="C682" s="109"/>
      <c r="D682" s="109"/>
      <c r="E682" s="109"/>
    </row>
    <row r="683">
      <c r="A683" s="107"/>
      <c r="B683" s="109"/>
      <c r="C683" s="109"/>
      <c r="D683" s="109"/>
      <c r="E683" s="109"/>
    </row>
    <row r="684">
      <c r="A684" s="107"/>
      <c r="B684" s="109"/>
      <c r="C684" s="109"/>
      <c r="D684" s="109"/>
      <c r="E684" s="109"/>
    </row>
    <row r="685">
      <c r="A685" s="107"/>
      <c r="B685" s="109"/>
      <c r="C685" s="109"/>
      <c r="D685" s="109"/>
      <c r="E685" s="109"/>
    </row>
    <row r="686">
      <c r="A686" s="107"/>
      <c r="B686" s="109"/>
      <c r="C686" s="109"/>
      <c r="D686" s="109"/>
      <c r="E686" s="109"/>
    </row>
    <row r="687">
      <c r="A687" s="107"/>
      <c r="B687" s="109"/>
      <c r="C687" s="109"/>
      <c r="D687" s="109"/>
      <c r="E687" s="109"/>
    </row>
    <row r="688">
      <c r="A688" s="107"/>
      <c r="B688" s="109"/>
      <c r="C688" s="109"/>
      <c r="D688" s="109"/>
      <c r="E688" s="109"/>
    </row>
    <row r="689">
      <c r="A689" s="107"/>
      <c r="B689" s="109"/>
      <c r="C689" s="109"/>
      <c r="D689" s="109"/>
      <c r="E689" s="109"/>
    </row>
    <row r="690">
      <c r="A690" s="107"/>
      <c r="B690" s="109"/>
      <c r="C690" s="109"/>
      <c r="D690" s="109"/>
      <c r="E690" s="109"/>
    </row>
    <row r="691">
      <c r="A691" s="107"/>
      <c r="B691" s="109"/>
      <c r="C691" s="109"/>
      <c r="D691" s="109"/>
      <c r="E691" s="109"/>
    </row>
    <row r="692">
      <c r="A692" s="107"/>
      <c r="B692" s="109"/>
      <c r="C692" s="109"/>
      <c r="D692" s="109"/>
      <c r="E692" s="109"/>
    </row>
    <row r="693">
      <c r="A693" s="107"/>
      <c r="B693" s="109"/>
      <c r="C693" s="109"/>
      <c r="D693" s="109"/>
      <c r="E693" s="109"/>
    </row>
    <row r="694">
      <c r="A694" s="107"/>
      <c r="B694" s="109"/>
      <c r="C694" s="109"/>
      <c r="D694" s="109"/>
      <c r="E694" s="109"/>
    </row>
    <row r="695">
      <c r="A695" s="107"/>
      <c r="B695" s="109"/>
      <c r="C695" s="109"/>
      <c r="D695" s="109"/>
      <c r="E695" s="109"/>
    </row>
    <row r="696">
      <c r="A696" s="107"/>
      <c r="B696" s="109"/>
      <c r="C696" s="109"/>
      <c r="D696" s="109"/>
      <c r="E696" s="109"/>
    </row>
    <row r="697">
      <c r="A697" s="107"/>
      <c r="B697" s="109"/>
      <c r="C697" s="109"/>
      <c r="D697" s="109"/>
      <c r="E697" s="109"/>
    </row>
    <row r="698">
      <c r="A698" s="107"/>
      <c r="B698" s="109"/>
      <c r="C698" s="109"/>
      <c r="D698" s="109"/>
      <c r="E698" s="109"/>
    </row>
    <row r="699">
      <c r="A699" s="107"/>
      <c r="B699" s="109"/>
      <c r="C699" s="109"/>
      <c r="D699" s="109"/>
      <c r="E699" s="109"/>
    </row>
    <row r="700">
      <c r="A700" s="107"/>
      <c r="B700" s="109"/>
      <c r="C700" s="109"/>
      <c r="D700" s="109"/>
      <c r="E700" s="109"/>
    </row>
    <row r="701">
      <c r="A701" s="107"/>
      <c r="B701" s="109"/>
      <c r="C701" s="109"/>
      <c r="D701" s="109"/>
      <c r="E701" s="109"/>
    </row>
    <row r="702">
      <c r="A702" s="107"/>
      <c r="B702" s="109"/>
      <c r="C702" s="109"/>
      <c r="D702" s="109"/>
      <c r="E702" s="109"/>
    </row>
    <row r="703">
      <c r="A703" s="107"/>
      <c r="B703" s="109"/>
      <c r="C703" s="109"/>
      <c r="D703" s="109"/>
      <c r="E703" s="109"/>
    </row>
    <row r="704">
      <c r="A704" s="107"/>
      <c r="B704" s="109"/>
      <c r="C704" s="109"/>
      <c r="D704" s="109"/>
      <c r="E704" s="109"/>
    </row>
    <row r="705">
      <c r="A705" s="107"/>
      <c r="B705" s="109"/>
      <c r="C705" s="109"/>
      <c r="D705" s="109"/>
      <c r="E705" s="109"/>
    </row>
    <row r="706">
      <c r="A706" s="107"/>
      <c r="B706" s="109"/>
      <c r="C706" s="109"/>
      <c r="D706" s="109"/>
      <c r="E706" s="109"/>
    </row>
    <row r="707">
      <c r="A707" s="107"/>
      <c r="B707" s="109"/>
      <c r="C707" s="109"/>
      <c r="D707" s="109"/>
      <c r="E707" s="109"/>
    </row>
    <row r="708">
      <c r="A708" s="107"/>
      <c r="B708" s="109"/>
      <c r="C708" s="109"/>
      <c r="D708" s="109"/>
      <c r="E708" s="109"/>
    </row>
    <row r="709">
      <c r="A709" s="107"/>
      <c r="B709" s="109"/>
      <c r="C709" s="109"/>
      <c r="D709" s="109"/>
      <c r="E709" s="109"/>
    </row>
    <row r="710">
      <c r="A710" s="107"/>
      <c r="B710" s="109"/>
      <c r="C710" s="109"/>
      <c r="D710" s="109"/>
      <c r="E710" s="109"/>
    </row>
    <row r="711">
      <c r="A711" s="107"/>
      <c r="B711" s="109"/>
      <c r="C711" s="109"/>
      <c r="D711" s="109"/>
      <c r="E711" s="109"/>
    </row>
    <row r="712">
      <c r="A712" s="107"/>
      <c r="B712" s="109"/>
      <c r="C712" s="109"/>
      <c r="D712" s="109"/>
      <c r="E712" s="109"/>
    </row>
    <row r="713">
      <c r="A713" s="107"/>
      <c r="B713" s="109"/>
      <c r="C713" s="109"/>
      <c r="D713" s="109"/>
      <c r="E713" s="109"/>
    </row>
    <row r="714">
      <c r="A714" s="107"/>
      <c r="B714" s="109"/>
      <c r="C714" s="109"/>
      <c r="D714" s="109"/>
      <c r="E714" s="109"/>
    </row>
    <row r="715">
      <c r="A715" s="107"/>
      <c r="B715" s="109"/>
      <c r="C715" s="109"/>
      <c r="D715" s="109"/>
      <c r="E715" s="109"/>
    </row>
    <row r="716">
      <c r="A716" s="107"/>
      <c r="B716" s="109"/>
      <c r="C716" s="109"/>
      <c r="D716" s="109"/>
      <c r="E716" s="109"/>
    </row>
    <row r="717">
      <c r="A717" s="107"/>
      <c r="B717" s="109"/>
      <c r="C717" s="109"/>
      <c r="D717" s="109"/>
      <c r="E717" s="109"/>
    </row>
    <row r="718">
      <c r="A718" s="107"/>
      <c r="B718" s="109"/>
      <c r="C718" s="109"/>
      <c r="D718" s="109"/>
      <c r="E718" s="109"/>
    </row>
    <row r="719">
      <c r="A719" s="107"/>
      <c r="B719" s="109"/>
      <c r="C719" s="109"/>
      <c r="D719" s="109"/>
      <c r="E719" s="109"/>
    </row>
    <row r="720">
      <c r="A720" s="107"/>
      <c r="B720" s="109"/>
      <c r="C720" s="109"/>
      <c r="D720" s="109"/>
      <c r="E720" s="109"/>
    </row>
    <row r="721">
      <c r="A721" s="107"/>
      <c r="B721" s="109"/>
      <c r="C721" s="109"/>
      <c r="D721" s="109"/>
      <c r="E721" s="109"/>
    </row>
    <row r="722">
      <c r="A722" s="107"/>
      <c r="B722" s="109"/>
      <c r="C722" s="109"/>
      <c r="D722" s="109"/>
      <c r="E722" s="109"/>
    </row>
    <row r="723">
      <c r="A723" s="107"/>
      <c r="B723" s="109"/>
      <c r="C723" s="109"/>
      <c r="D723" s="109"/>
      <c r="E723" s="109"/>
    </row>
    <row r="724">
      <c r="A724" s="107"/>
      <c r="B724" s="109"/>
      <c r="C724" s="109"/>
      <c r="D724" s="109"/>
      <c r="E724" s="109"/>
    </row>
    <row r="725">
      <c r="A725" s="107"/>
      <c r="B725" s="109"/>
      <c r="C725" s="109"/>
      <c r="D725" s="109"/>
      <c r="E725" s="109"/>
    </row>
    <row r="726">
      <c r="A726" s="107"/>
      <c r="B726" s="109"/>
      <c r="C726" s="109"/>
      <c r="D726" s="109"/>
      <c r="E726" s="109"/>
    </row>
    <row r="727">
      <c r="A727" s="107"/>
      <c r="B727" s="109"/>
      <c r="C727" s="109"/>
      <c r="D727" s="109"/>
      <c r="E727" s="109"/>
    </row>
    <row r="728">
      <c r="A728" s="107"/>
      <c r="B728" s="109"/>
      <c r="C728" s="109"/>
      <c r="D728" s="109"/>
      <c r="E728" s="109"/>
    </row>
    <row r="729">
      <c r="A729" s="107"/>
      <c r="B729" s="109"/>
      <c r="C729" s="109"/>
      <c r="D729" s="109"/>
      <c r="E729" s="109"/>
    </row>
    <row r="730">
      <c r="A730" s="107"/>
      <c r="B730" s="109"/>
      <c r="C730" s="109"/>
      <c r="D730" s="109"/>
      <c r="E730" s="109"/>
    </row>
    <row r="731">
      <c r="A731" s="107"/>
      <c r="B731" s="109"/>
      <c r="C731" s="109"/>
      <c r="D731" s="109"/>
      <c r="E731" s="109"/>
    </row>
    <row r="732">
      <c r="A732" s="107"/>
      <c r="B732" s="109"/>
      <c r="C732" s="109"/>
      <c r="D732" s="109"/>
      <c r="E732" s="109"/>
    </row>
    <row r="733">
      <c r="A733" s="107"/>
      <c r="B733" s="109"/>
      <c r="C733" s="109"/>
      <c r="D733" s="109"/>
      <c r="E733" s="109"/>
    </row>
    <row r="734">
      <c r="A734" s="107"/>
      <c r="B734" s="109"/>
      <c r="C734" s="109"/>
      <c r="D734" s="109"/>
      <c r="E734" s="109"/>
    </row>
    <row r="735">
      <c r="A735" s="107"/>
      <c r="B735" s="109"/>
      <c r="C735" s="109"/>
      <c r="D735" s="109"/>
      <c r="E735" s="109"/>
    </row>
    <row r="736">
      <c r="A736" s="107"/>
      <c r="B736" s="109"/>
      <c r="C736" s="109"/>
      <c r="D736" s="109"/>
      <c r="E736" s="109"/>
    </row>
    <row r="737">
      <c r="A737" s="107"/>
      <c r="B737" s="109"/>
      <c r="C737" s="109"/>
      <c r="D737" s="109"/>
      <c r="E737" s="109"/>
    </row>
    <row r="738">
      <c r="A738" s="107"/>
      <c r="B738" s="109"/>
      <c r="C738" s="109"/>
      <c r="D738" s="109"/>
      <c r="E738" s="109"/>
    </row>
    <row r="739">
      <c r="A739" s="107"/>
      <c r="B739" s="109"/>
      <c r="C739" s="109"/>
      <c r="D739" s="109"/>
      <c r="E739" s="109"/>
    </row>
    <row r="740">
      <c r="A740" s="107"/>
      <c r="B740" s="109"/>
      <c r="C740" s="109"/>
      <c r="D740" s="109"/>
      <c r="E740" s="109"/>
    </row>
    <row r="741">
      <c r="A741" s="107"/>
      <c r="B741" s="109"/>
      <c r="C741" s="109"/>
      <c r="D741" s="109"/>
      <c r="E741" s="109"/>
    </row>
    <row r="742">
      <c r="A742" s="107"/>
      <c r="B742" s="109"/>
      <c r="C742" s="109"/>
      <c r="D742" s="109"/>
      <c r="E742" s="109"/>
    </row>
    <row r="743">
      <c r="A743" s="107"/>
      <c r="B743" s="109"/>
      <c r="C743" s="109"/>
      <c r="D743" s="109"/>
      <c r="E743" s="109"/>
    </row>
    <row r="744">
      <c r="A744" s="107"/>
      <c r="B744" s="109"/>
      <c r="C744" s="109"/>
      <c r="D744" s="109"/>
      <c r="E744" s="109"/>
    </row>
    <row r="745">
      <c r="A745" s="107"/>
      <c r="B745" s="109"/>
      <c r="C745" s="109"/>
      <c r="D745" s="109"/>
      <c r="E745" s="109"/>
    </row>
    <row r="746">
      <c r="A746" s="107"/>
      <c r="B746" s="109"/>
      <c r="C746" s="109"/>
      <c r="D746" s="109"/>
      <c r="E746" s="109"/>
    </row>
    <row r="747">
      <c r="A747" s="107"/>
      <c r="B747" s="109"/>
      <c r="C747" s="109"/>
      <c r="D747" s="109"/>
      <c r="E747" s="109"/>
    </row>
    <row r="748">
      <c r="A748" s="107"/>
      <c r="B748" s="109"/>
      <c r="C748" s="109"/>
      <c r="D748" s="109"/>
      <c r="E748" s="109"/>
    </row>
    <row r="749">
      <c r="A749" s="107"/>
      <c r="B749" s="109"/>
      <c r="C749" s="109"/>
      <c r="D749" s="109"/>
      <c r="E749" s="109"/>
    </row>
    <row r="750">
      <c r="A750" s="107"/>
      <c r="B750" s="109"/>
      <c r="C750" s="109"/>
      <c r="D750" s="109"/>
      <c r="E750" s="109"/>
    </row>
    <row r="751">
      <c r="A751" s="107"/>
      <c r="B751" s="109"/>
      <c r="C751" s="109"/>
      <c r="D751" s="109"/>
      <c r="E751" s="109"/>
    </row>
    <row r="752">
      <c r="A752" s="107"/>
      <c r="B752" s="109"/>
      <c r="C752" s="109"/>
      <c r="D752" s="109"/>
      <c r="E752" s="109"/>
    </row>
    <row r="753">
      <c r="A753" s="107"/>
      <c r="B753" s="109"/>
      <c r="C753" s="109"/>
      <c r="D753" s="109"/>
      <c r="E753" s="109"/>
    </row>
    <row r="754">
      <c r="A754" s="107"/>
      <c r="B754" s="109"/>
      <c r="C754" s="109"/>
      <c r="D754" s="109"/>
      <c r="E754" s="109"/>
    </row>
    <row r="755">
      <c r="A755" s="107"/>
      <c r="B755" s="109"/>
      <c r="C755" s="109"/>
      <c r="D755" s="109"/>
      <c r="E755" s="109"/>
    </row>
    <row r="756">
      <c r="A756" s="107"/>
      <c r="B756" s="109"/>
      <c r="C756" s="109"/>
      <c r="D756" s="109"/>
      <c r="E756" s="109"/>
    </row>
    <row r="757">
      <c r="A757" s="107"/>
      <c r="B757" s="109"/>
      <c r="C757" s="109"/>
      <c r="D757" s="109"/>
      <c r="E757" s="109"/>
    </row>
    <row r="758">
      <c r="A758" s="107"/>
      <c r="B758" s="109"/>
      <c r="C758" s="109"/>
      <c r="D758" s="109"/>
      <c r="E758" s="109"/>
    </row>
    <row r="759">
      <c r="A759" s="107"/>
      <c r="B759" s="109"/>
      <c r="C759" s="109"/>
      <c r="D759" s="109"/>
      <c r="E759" s="109"/>
    </row>
    <row r="760">
      <c r="A760" s="107"/>
      <c r="B760" s="109"/>
      <c r="C760" s="109"/>
      <c r="D760" s="109"/>
      <c r="E760" s="109"/>
    </row>
    <row r="761">
      <c r="A761" s="107"/>
      <c r="B761" s="109"/>
      <c r="C761" s="109"/>
      <c r="D761" s="109"/>
      <c r="E761" s="109"/>
    </row>
    <row r="762">
      <c r="A762" s="107"/>
      <c r="B762" s="109"/>
      <c r="C762" s="109"/>
      <c r="D762" s="109"/>
      <c r="E762" s="109"/>
    </row>
    <row r="763">
      <c r="A763" s="107"/>
      <c r="B763" s="109"/>
      <c r="C763" s="109"/>
      <c r="D763" s="109"/>
      <c r="E763" s="109"/>
    </row>
    <row r="764">
      <c r="A764" s="107"/>
      <c r="B764" s="109"/>
      <c r="C764" s="109"/>
      <c r="D764" s="109"/>
      <c r="E764" s="109"/>
    </row>
    <row r="765">
      <c r="A765" s="107"/>
      <c r="B765" s="109"/>
      <c r="C765" s="109"/>
      <c r="D765" s="109"/>
      <c r="E765" s="109"/>
    </row>
    <row r="766">
      <c r="A766" s="107"/>
      <c r="B766" s="109"/>
      <c r="C766" s="109"/>
      <c r="D766" s="109"/>
      <c r="E766" s="109"/>
    </row>
    <row r="767">
      <c r="A767" s="107"/>
      <c r="B767" s="109"/>
      <c r="C767" s="109"/>
      <c r="D767" s="109"/>
      <c r="E767" s="109"/>
    </row>
    <row r="768">
      <c r="A768" s="107"/>
      <c r="B768" s="109"/>
      <c r="C768" s="109"/>
      <c r="D768" s="109"/>
      <c r="E768" s="109"/>
    </row>
    <row r="769">
      <c r="A769" s="107"/>
      <c r="B769" s="109"/>
      <c r="C769" s="109"/>
      <c r="D769" s="109"/>
      <c r="E769" s="109"/>
    </row>
    <row r="770">
      <c r="A770" s="107"/>
      <c r="B770" s="109"/>
      <c r="C770" s="109"/>
      <c r="D770" s="109"/>
      <c r="E770" s="109"/>
    </row>
    <row r="771">
      <c r="A771" s="107"/>
      <c r="B771" s="109"/>
      <c r="C771" s="109"/>
      <c r="D771" s="109"/>
      <c r="E771" s="109"/>
    </row>
    <row r="772">
      <c r="A772" s="107"/>
      <c r="B772" s="109"/>
      <c r="C772" s="109"/>
      <c r="D772" s="109"/>
      <c r="E772" s="109"/>
    </row>
    <row r="773">
      <c r="A773" s="107"/>
      <c r="B773" s="109"/>
      <c r="C773" s="109"/>
      <c r="D773" s="109"/>
      <c r="E773" s="109"/>
    </row>
    <row r="774">
      <c r="A774" s="107"/>
      <c r="B774" s="109"/>
      <c r="C774" s="109"/>
      <c r="D774" s="109"/>
      <c r="E774" s="109"/>
    </row>
    <row r="775">
      <c r="A775" s="107"/>
      <c r="B775" s="109"/>
      <c r="C775" s="109"/>
      <c r="D775" s="109"/>
      <c r="E775" s="109"/>
    </row>
    <row r="776">
      <c r="A776" s="107"/>
      <c r="B776" s="109"/>
      <c r="C776" s="109"/>
      <c r="D776" s="109"/>
      <c r="E776" s="109"/>
    </row>
    <row r="777">
      <c r="A777" s="107"/>
      <c r="B777" s="109"/>
      <c r="C777" s="109"/>
      <c r="D777" s="109"/>
      <c r="E777" s="109"/>
    </row>
    <row r="778">
      <c r="A778" s="107"/>
      <c r="B778" s="109"/>
      <c r="C778" s="109"/>
      <c r="D778" s="109"/>
      <c r="E778" s="109"/>
    </row>
    <row r="779">
      <c r="A779" s="107"/>
      <c r="B779" s="109"/>
      <c r="C779" s="109"/>
      <c r="D779" s="109"/>
      <c r="E779" s="109"/>
    </row>
    <row r="780">
      <c r="A780" s="107"/>
      <c r="B780" s="109"/>
      <c r="C780" s="109"/>
      <c r="D780" s="109"/>
      <c r="E780" s="109"/>
    </row>
    <row r="781">
      <c r="A781" s="107"/>
      <c r="B781" s="109"/>
      <c r="C781" s="109"/>
      <c r="D781" s="109"/>
      <c r="E781" s="109"/>
    </row>
    <row r="782">
      <c r="A782" s="107"/>
      <c r="B782" s="109"/>
      <c r="C782" s="109"/>
      <c r="D782" s="109"/>
      <c r="E782" s="109"/>
    </row>
    <row r="783">
      <c r="A783" s="107"/>
      <c r="B783" s="109"/>
      <c r="C783" s="109"/>
      <c r="D783" s="109"/>
      <c r="E783" s="109"/>
    </row>
    <row r="784">
      <c r="A784" s="107"/>
      <c r="B784" s="109"/>
      <c r="C784" s="109"/>
      <c r="D784" s="109"/>
      <c r="E784" s="109"/>
    </row>
    <row r="785">
      <c r="A785" s="107"/>
      <c r="B785" s="109"/>
      <c r="C785" s="109"/>
      <c r="D785" s="109"/>
      <c r="E785" s="109"/>
    </row>
    <row r="786">
      <c r="A786" s="107"/>
      <c r="B786" s="109"/>
      <c r="C786" s="109"/>
      <c r="D786" s="109"/>
      <c r="E786" s="109"/>
    </row>
    <row r="787">
      <c r="A787" s="107"/>
      <c r="B787" s="109"/>
      <c r="C787" s="109"/>
      <c r="D787" s="109"/>
      <c r="E787" s="109"/>
    </row>
    <row r="788">
      <c r="A788" s="107"/>
      <c r="B788" s="109"/>
      <c r="C788" s="109"/>
      <c r="D788" s="109"/>
      <c r="E788" s="109"/>
    </row>
    <row r="789">
      <c r="A789" s="107"/>
      <c r="B789" s="109"/>
      <c r="C789" s="109"/>
      <c r="D789" s="109"/>
      <c r="E789" s="109"/>
    </row>
    <row r="790">
      <c r="A790" s="107"/>
      <c r="B790" s="109"/>
      <c r="C790" s="109"/>
      <c r="D790" s="109"/>
      <c r="E790" s="109"/>
    </row>
    <row r="791">
      <c r="A791" s="107"/>
      <c r="B791" s="109"/>
      <c r="C791" s="109"/>
      <c r="D791" s="109"/>
      <c r="E791" s="109"/>
    </row>
    <row r="792">
      <c r="A792" s="107"/>
      <c r="B792" s="109"/>
      <c r="C792" s="109"/>
      <c r="D792" s="109"/>
      <c r="E792" s="109"/>
    </row>
    <row r="793">
      <c r="A793" s="107"/>
      <c r="B793" s="109"/>
      <c r="C793" s="109"/>
      <c r="D793" s="109"/>
      <c r="E793" s="109"/>
    </row>
    <row r="794">
      <c r="A794" s="107"/>
      <c r="B794" s="109"/>
      <c r="C794" s="109"/>
      <c r="D794" s="109"/>
      <c r="E794" s="109"/>
    </row>
    <row r="795">
      <c r="A795" s="107"/>
      <c r="B795" s="109"/>
      <c r="C795" s="109"/>
      <c r="D795" s="109"/>
      <c r="E795" s="109"/>
    </row>
    <row r="796">
      <c r="A796" s="107"/>
      <c r="B796" s="109"/>
      <c r="C796" s="109"/>
      <c r="D796" s="109"/>
      <c r="E796" s="109"/>
    </row>
    <row r="797">
      <c r="A797" s="107"/>
      <c r="B797" s="109"/>
      <c r="C797" s="109"/>
      <c r="D797" s="109"/>
      <c r="E797" s="109"/>
    </row>
    <row r="798">
      <c r="A798" s="107"/>
      <c r="B798" s="109"/>
      <c r="C798" s="109"/>
      <c r="D798" s="109"/>
      <c r="E798" s="109"/>
    </row>
    <row r="799">
      <c r="A799" s="107"/>
      <c r="B799" s="109"/>
      <c r="C799" s="109"/>
      <c r="D799" s="109"/>
      <c r="E799" s="109"/>
    </row>
    <row r="800">
      <c r="A800" s="107"/>
      <c r="B800" s="109"/>
      <c r="C800" s="109"/>
      <c r="D800" s="109"/>
      <c r="E800" s="109"/>
    </row>
    <row r="801">
      <c r="A801" s="107"/>
      <c r="B801" s="109"/>
      <c r="C801" s="109"/>
      <c r="D801" s="109"/>
      <c r="E801" s="109"/>
    </row>
    <row r="802">
      <c r="A802" s="107"/>
      <c r="B802" s="109"/>
      <c r="C802" s="109"/>
      <c r="D802" s="109"/>
      <c r="E802" s="109"/>
    </row>
    <row r="803">
      <c r="A803" s="107"/>
      <c r="B803" s="109"/>
      <c r="C803" s="109"/>
      <c r="D803" s="109"/>
      <c r="E803" s="109"/>
    </row>
    <row r="804">
      <c r="A804" s="107"/>
      <c r="B804" s="109"/>
      <c r="C804" s="109"/>
      <c r="D804" s="109"/>
      <c r="E804" s="109"/>
    </row>
    <row r="805">
      <c r="A805" s="107"/>
      <c r="B805" s="109"/>
      <c r="C805" s="109"/>
      <c r="D805" s="109"/>
      <c r="E805" s="109"/>
    </row>
    <row r="806">
      <c r="A806" s="107"/>
      <c r="B806" s="109"/>
      <c r="C806" s="109"/>
      <c r="D806" s="109"/>
      <c r="E806" s="109"/>
    </row>
    <row r="807">
      <c r="A807" s="107"/>
      <c r="B807" s="109"/>
      <c r="C807" s="109"/>
      <c r="D807" s="109"/>
      <c r="E807" s="109"/>
    </row>
    <row r="808">
      <c r="A808" s="107"/>
      <c r="B808" s="109"/>
      <c r="C808" s="109"/>
      <c r="D808" s="109"/>
      <c r="E808" s="109"/>
    </row>
    <row r="809">
      <c r="A809" s="107"/>
      <c r="B809" s="109"/>
      <c r="C809" s="109"/>
      <c r="D809" s="109"/>
      <c r="E809" s="109"/>
    </row>
    <row r="810">
      <c r="A810" s="107"/>
      <c r="B810" s="109"/>
      <c r="C810" s="109"/>
      <c r="D810" s="109"/>
      <c r="E810" s="109"/>
    </row>
    <row r="811">
      <c r="A811" s="107"/>
      <c r="B811" s="109"/>
      <c r="C811" s="109"/>
      <c r="D811" s="109"/>
      <c r="E811" s="109"/>
    </row>
    <row r="812">
      <c r="A812" s="107"/>
      <c r="B812" s="109"/>
      <c r="C812" s="109"/>
      <c r="D812" s="109"/>
      <c r="E812" s="109"/>
    </row>
    <row r="813">
      <c r="A813" s="107"/>
      <c r="B813" s="109"/>
      <c r="C813" s="109"/>
      <c r="D813" s="109"/>
      <c r="E813" s="109"/>
    </row>
    <row r="814">
      <c r="A814" s="107"/>
      <c r="B814" s="109"/>
      <c r="C814" s="109"/>
      <c r="D814" s="109"/>
      <c r="E814" s="109"/>
    </row>
    <row r="815">
      <c r="A815" s="107"/>
      <c r="B815" s="109"/>
      <c r="C815" s="109"/>
      <c r="D815" s="109"/>
      <c r="E815" s="109"/>
    </row>
    <row r="816">
      <c r="A816" s="107"/>
      <c r="B816" s="109"/>
      <c r="C816" s="109"/>
      <c r="D816" s="109"/>
      <c r="E816" s="109"/>
    </row>
    <row r="817">
      <c r="A817" s="107"/>
      <c r="B817" s="109"/>
      <c r="C817" s="109"/>
      <c r="D817" s="109"/>
      <c r="E817" s="109"/>
    </row>
    <row r="818">
      <c r="A818" s="107"/>
      <c r="B818" s="109"/>
      <c r="C818" s="109"/>
      <c r="D818" s="109"/>
      <c r="E818" s="109"/>
    </row>
    <row r="819">
      <c r="A819" s="107"/>
      <c r="B819" s="109"/>
      <c r="C819" s="109"/>
      <c r="D819" s="109"/>
      <c r="E819" s="109"/>
    </row>
    <row r="820">
      <c r="A820" s="107"/>
      <c r="B820" s="109"/>
      <c r="C820" s="109"/>
      <c r="D820" s="109"/>
      <c r="E820" s="109"/>
    </row>
    <row r="821">
      <c r="A821" s="107"/>
      <c r="B821" s="109"/>
      <c r="C821" s="109"/>
      <c r="D821" s="109"/>
      <c r="E821" s="109"/>
    </row>
    <row r="822">
      <c r="A822" s="107"/>
      <c r="B822" s="109"/>
      <c r="C822" s="109"/>
      <c r="D822" s="109"/>
      <c r="E822" s="109"/>
    </row>
    <row r="823">
      <c r="A823" s="107"/>
      <c r="B823" s="109"/>
      <c r="C823" s="109"/>
      <c r="D823" s="109"/>
      <c r="E823" s="109"/>
    </row>
    <row r="824">
      <c r="A824" s="107"/>
      <c r="B824" s="109"/>
      <c r="C824" s="109"/>
      <c r="D824" s="109"/>
      <c r="E824" s="109"/>
    </row>
    <row r="825">
      <c r="A825" s="107"/>
      <c r="B825" s="109"/>
      <c r="C825" s="109"/>
      <c r="D825" s="109"/>
      <c r="E825" s="109"/>
    </row>
    <row r="826">
      <c r="A826" s="107"/>
      <c r="B826" s="109"/>
      <c r="C826" s="109"/>
      <c r="D826" s="109"/>
      <c r="E826" s="109"/>
    </row>
    <row r="827">
      <c r="A827" s="107"/>
      <c r="B827" s="109"/>
      <c r="C827" s="109"/>
      <c r="D827" s="109"/>
      <c r="E827" s="109"/>
    </row>
    <row r="828">
      <c r="A828" s="107"/>
      <c r="B828" s="109"/>
      <c r="C828" s="109"/>
      <c r="D828" s="109"/>
      <c r="E828" s="109"/>
    </row>
    <row r="829">
      <c r="A829" s="107"/>
      <c r="B829" s="109"/>
      <c r="C829" s="109"/>
      <c r="D829" s="109"/>
      <c r="E829" s="109"/>
    </row>
    <row r="830">
      <c r="A830" s="107"/>
      <c r="B830" s="109"/>
      <c r="C830" s="109"/>
      <c r="D830" s="109"/>
      <c r="E830" s="109"/>
    </row>
    <row r="831">
      <c r="A831" s="107"/>
      <c r="B831" s="109"/>
      <c r="C831" s="109"/>
      <c r="D831" s="109"/>
      <c r="E831" s="109"/>
    </row>
    <row r="832">
      <c r="A832" s="107"/>
      <c r="B832" s="109"/>
      <c r="C832" s="109"/>
      <c r="D832" s="109"/>
      <c r="E832" s="109"/>
    </row>
    <row r="833">
      <c r="A833" s="107"/>
      <c r="B833" s="109"/>
      <c r="C833" s="109"/>
      <c r="D833" s="109"/>
      <c r="E833" s="109"/>
    </row>
    <row r="834">
      <c r="A834" s="107"/>
      <c r="B834" s="109"/>
      <c r="C834" s="109"/>
      <c r="D834" s="109"/>
      <c r="E834" s="109"/>
    </row>
    <row r="835">
      <c r="A835" s="107"/>
      <c r="B835" s="109"/>
      <c r="C835" s="109"/>
      <c r="D835" s="109"/>
      <c r="E835" s="109"/>
    </row>
    <row r="836">
      <c r="A836" s="107"/>
      <c r="B836" s="109"/>
      <c r="C836" s="109"/>
      <c r="D836" s="109"/>
      <c r="E836" s="109"/>
    </row>
    <row r="837">
      <c r="A837" s="107"/>
      <c r="B837" s="109"/>
      <c r="C837" s="109"/>
      <c r="D837" s="109"/>
      <c r="E837" s="109"/>
    </row>
    <row r="838">
      <c r="A838" s="107"/>
      <c r="B838" s="109"/>
      <c r="C838" s="109"/>
      <c r="D838" s="109"/>
      <c r="E838" s="109"/>
    </row>
    <row r="839">
      <c r="A839" s="107"/>
      <c r="B839" s="109"/>
      <c r="C839" s="109"/>
      <c r="D839" s="109"/>
      <c r="E839" s="109"/>
    </row>
    <row r="840">
      <c r="A840" s="107"/>
      <c r="B840" s="109"/>
      <c r="C840" s="109"/>
      <c r="D840" s="109"/>
      <c r="E840" s="109"/>
    </row>
    <row r="841">
      <c r="A841" s="107"/>
      <c r="B841" s="109"/>
      <c r="C841" s="109"/>
      <c r="D841" s="109"/>
      <c r="E841" s="109"/>
    </row>
    <row r="842">
      <c r="A842" s="107"/>
      <c r="B842" s="109"/>
      <c r="C842" s="109"/>
      <c r="D842" s="109"/>
      <c r="E842" s="109"/>
    </row>
    <row r="843">
      <c r="A843" s="107"/>
      <c r="B843" s="109"/>
      <c r="C843" s="109"/>
      <c r="D843" s="109"/>
      <c r="E843" s="109"/>
    </row>
    <row r="844">
      <c r="A844" s="107"/>
      <c r="B844" s="109"/>
      <c r="C844" s="109"/>
      <c r="D844" s="109"/>
      <c r="E844" s="109"/>
    </row>
    <row r="845">
      <c r="A845" s="107"/>
      <c r="B845" s="109"/>
      <c r="C845" s="109"/>
      <c r="D845" s="109"/>
      <c r="E845" s="109"/>
    </row>
    <row r="846">
      <c r="A846" s="107"/>
      <c r="B846" s="109"/>
      <c r="C846" s="109"/>
      <c r="D846" s="109"/>
      <c r="E846" s="109"/>
    </row>
    <row r="847">
      <c r="A847" s="107"/>
      <c r="B847" s="109"/>
      <c r="C847" s="109"/>
      <c r="D847" s="109"/>
      <c r="E847" s="109"/>
    </row>
    <row r="848">
      <c r="A848" s="107"/>
      <c r="B848" s="109"/>
      <c r="C848" s="109"/>
      <c r="D848" s="109"/>
      <c r="E848" s="109"/>
    </row>
    <row r="849">
      <c r="A849" s="107"/>
      <c r="B849" s="109"/>
      <c r="C849" s="109"/>
      <c r="D849" s="109"/>
      <c r="E849" s="109"/>
    </row>
    <row r="850">
      <c r="A850" s="107"/>
      <c r="B850" s="109"/>
      <c r="C850" s="109"/>
      <c r="D850" s="109"/>
      <c r="E850" s="109"/>
    </row>
    <row r="851">
      <c r="A851" s="107"/>
      <c r="B851" s="109"/>
      <c r="C851" s="109"/>
      <c r="D851" s="109"/>
      <c r="E851" s="109"/>
    </row>
    <row r="852">
      <c r="A852" s="107"/>
      <c r="B852" s="109"/>
      <c r="C852" s="109"/>
      <c r="D852" s="109"/>
      <c r="E852" s="109"/>
    </row>
    <row r="853">
      <c r="A853" s="107"/>
      <c r="B853" s="109"/>
      <c r="C853" s="109"/>
      <c r="D853" s="109"/>
      <c r="E853" s="109"/>
    </row>
    <row r="854">
      <c r="A854" s="107"/>
      <c r="B854" s="109"/>
      <c r="C854" s="109"/>
      <c r="D854" s="109"/>
      <c r="E854" s="109"/>
    </row>
    <row r="855">
      <c r="A855" s="107"/>
      <c r="B855" s="109"/>
      <c r="C855" s="109"/>
      <c r="D855" s="109"/>
      <c r="E855" s="109"/>
    </row>
    <row r="856">
      <c r="A856" s="107"/>
      <c r="B856" s="109"/>
      <c r="C856" s="109"/>
      <c r="D856" s="109"/>
      <c r="E856" s="109"/>
    </row>
    <row r="857">
      <c r="A857" s="107"/>
      <c r="B857" s="109"/>
      <c r="C857" s="109"/>
      <c r="D857" s="109"/>
      <c r="E857" s="109"/>
    </row>
    <row r="858">
      <c r="A858" s="107"/>
      <c r="B858" s="109"/>
      <c r="C858" s="109"/>
      <c r="D858" s="109"/>
      <c r="E858" s="109"/>
    </row>
    <row r="859">
      <c r="A859" s="107"/>
      <c r="B859" s="109"/>
      <c r="C859" s="109"/>
      <c r="D859" s="109"/>
      <c r="E859" s="109"/>
    </row>
    <row r="860">
      <c r="A860" s="107"/>
      <c r="B860" s="109"/>
      <c r="C860" s="109"/>
      <c r="D860" s="109"/>
      <c r="E860" s="109"/>
    </row>
    <row r="861">
      <c r="A861" s="107"/>
      <c r="B861" s="109"/>
      <c r="C861" s="109"/>
      <c r="D861" s="109"/>
      <c r="E861" s="109"/>
    </row>
    <row r="862">
      <c r="A862" s="107"/>
      <c r="B862" s="109"/>
      <c r="C862" s="109"/>
      <c r="D862" s="109"/>
      <c r="E862" s="109"/>
    </row>
    <row r="863">
      <c r="A863" s="107"/>
      <c r="B863" s="109"/>
      <c r="C863" s="109"/>
      <c r="D863" s="109"/>
      <c r="E863" s="109"/>
    </row>
    <row r="864">
      <c r="A864" s="107"/>
      <c r="B864" s="109"/>
      <c r="C864" s="109"/>
      <c r="D864" s="109"/>
      <c r="E864" s="109"/>
    </row>
    <row r="865">
      <c r="A865" s="107"/>
      <c r="B865" s="109"/>
      <c r="C865" s="109"/>
      <c r="D865" s="109"/>
      <c r="E865" s="109"/>
    </row>
    <row r="866">
      <c r="A866" s="107"/>
      <c r="B866" s="109"/>
      <c r="C866" s="109"/>
      <c r="D866" s="109"/>
      <c r="E866" s="109"/>
    </row>
    <row r="867">
      <c r="A867" s="107"/>
      <c r="B867" s="109"/>
      <c r="C867" s="109"/>
      <c r="D867" s="109"/>
      <c r="E867" s="109"/>
    </row>
    <row r="868">
      <c r="A868" s="107"/>
      <c r="B868" s="109"/>
      <c r="C868" s="109"/>
      <c r="D868" s="109"/>
      <c r="E868" s="109"/>
    </row>
    <row r="869">
      <c r="A869" s="107"/>
      <c r="B869" s="109"/>
      <c r="C869" s="109"/>
      <c r="D869" s="109"/>
      <c r="E869" s="109"/>
    </row>
    <row r="870">
      <c r="A870" s="107"/>
      <c r="B870" s="109"/>
      <c r="C870" s="109"/>
      <c r="D870" s="109"/>
      <c r="E870" s="109"/>
    </row>
    <row r="871">
      <c r="A871" s="107"/>
      <c r="B871" s="109"/>
      <c r="C871" s="109"/>
      <c r="D871" s="109"/>
      <c r="E871" s="109"/>
    </row>
    <row r="872">
      <c r="A872" s="107"/>
      <c r="B872" s="109"/>
      <c r="C872" s="109"/>
      <c r="D872" s="109"/>
      <c r="E872" s="109"/>
    </row>
    <row r="873">
      <c r="A873" s="107"/>
      <c r="B873" s="109"/>
      <c r="C873" s="109"/>
      <c r="D873" s="109"/>
      <c r="E873" s="109"/>
    </row>
    <row r="874">
      <c r="A874" s="107"/>
      <c r="B874" s="109"/>
      <c r="C874" s="109"/>
      <c r="D874" s="109"/>
      <c r="E874" s="109"/>
    </row>
    <row r="875">
      <c r="A875" s="107"/>
      <c r="B875" s="109"/>
      <c r="C875" s="109"/>
      <c r="D875" s="109"/>
      <c r="E875" s="109"/>
    </row>
    <row r="876">
      <c r="A876" s="107"/>
      <c r="B876" s="109"/>
      <c r="C876" s="109"/>
      <c r="D876" s="109"/>
      <c r="E876" s="109"/>
    </row>
    <row r="877">
      <c r="A877" s="107"/>
      <c r="B877" s="109"/>
      <c r="C877" s="109"/>
      <c r="D877" s="109"/>
      <c r="E877" s="109"/>
    </row>
    <row r="878">
      <c r="A878" s="107"/>
      <c r="B878" s="109"/>
      <c r="C878" s="109"/>
      <c r="D878" s="109"/>
      <c r="E878" s="109"/>
    </row>
    <row r="879">
      <c r="A879" s="107"/>
      <c r="B879" s="109"/>
      <c r="C879" s="109"/>
      <c r="D879" s="109"/>
      <c r="E879" s="109"/>
    </row>
    <row r="880">
      <c r="A880" s="107"/>
      <c r="B880" s="109"/>
      <c r="C880" s="109"/>
      <c r="D880" s="109"/>
      <c r="E880" s="109"/>
    </row>
    <row r="881">
      <c r="A881" s="107"/>
      <c r="B881" s="109"/>
      <c r="C881" s="109"/>
      <c r="D881" s="109"/>
      <c r="E881" s="109"/>
    </row>
    <row r="882">
      <c r="A882" s="107"/>
      <c r="B882" s="109"/>
      <c r="C882" s="109"/>
      <c r="D882" s="109"/>
      <c r="E882" s="109"/>
    </row>
    <row r="883">
      <c r="A883" s="107"/>
      <c r="B883" s="109"/>
      <c r="C883" s="109"/>
      <c r="D883" s="109"/>
      <c r="E883" s="109"/>
    </row>
    <row r="884">
      <c r="A884" s="107"/>
      <c r="B884" s="109"/>
      <c r="C884" s="109"/>
      <c r="D884" s="109"/>
      <c r="E884" s="109"/>
    </row>
    <row r="885">
      <c r="A885" s="107"/>
      <c r="B885" s="109"/>
      <c r="C885" s="109"/>
      <c r="D885" s="109"/>
      <c r="E885" s="109"/>
    </row>
    <row r="886">
      <c r="A886" s="107"/>
      <c r="B886" s="109"/>
      <c r="C886" s="109"/>
      <c r="D886" s="109"/>
      <c r="E886" s="109"/>
    </row>
    <row r="887">
      <c r="A887" s="107"/>
      <c r="B887" s="109"/>
      <c r="C887" s="109"/>
      <c r="D887" s="109"/>
      <c r="E887" s="109"/>
    </row>
    <row r="888">
      <c r="A888" s="107"/>
      <c r="B888" s="109"/>
      <c r="C888" s="109"/>
      <c r="D888" s="109"/>
      <c r="E888" s="109"/>
    </row>
    <row r="889">
      <c r="A889" s="107"/>
      <c r="B889" s="109"/>
      <c r="C889" s="109"/>
      <c r="D889" s="109"/>
      <c r="E889" s="109"/>
    </row>
    <row r="890">
      <c r="A890" s="107"/>
      <c r="B890" s="109"/>
      <c r="C890" s="109"/>
      <c r="D890" s="109"/>
      <c r="E890" s="109"/>
    </row>
    <row r="891">
      <c r="A891" s="107"/>
      <c r="B891" s="109"/>
      <c r="C891" s="109"/>
      <c r="D891" s="109"/>
      <c r="E891" s="109"/>
    </row>
    <row r="892">
      <c r="A892" s="107"/>
      <c r="B892" s="109"/>
      <c r="C892" s="109"/>
      <c r="D892" s="109"/>
      <c r="E892" s="109"/>
    </row>
    <row r="893">
      <c r="A893" s="107"/>
      <c r="B893" s="109"/>
      <c r="C893" s="109"/>
      <c r="D893" s="109"/>
      <c r="E893" s="109"/>
    </row>
    <row r="894">
      <c r="A894" s="107"/>
      <c r="B894" s="109"/>
      <c r="C894" s="109"/>
      <c r="D894" s="109"/>
      <c r="E894" s="109"/>
    </row>
    <row r="895">
      <c r="A895" s="107"/>
      <c r="B895" s="109"/>
      <c r="C895" s="109"/>
      <c r="D895" s="109"/>
      <c r="E895" s="109"/>
    </row>
    <row r="896">
      <c r="A896" s="107"/>
      <c r="B896" s="109"/>
      <c r="C896" s="109"/>
      <c r="D896" s="109"/>
      <c r="E896" s="109"/>
    </row>
    <row r="897">
      <c r="A897" s="107"/>
      <c r="B897" s="109"/>
      <c r="C897" s="109"/>
      <c r="D897" s="109"/>
      <c r="E897" s="109"/>
    </row>
    <row r="898">
      <c r="A898" s="107"/>
      <c r="B898" s="109"/>
      <c r="C898" s="109"/>
      <c r="D898" s="109"/>
      <c r="E898" s="109"/>
    </row>
    <row r="899">
      <c r="A899" s="107"/>
      <c r="B899" s="109"/>
      <c r="C899" s="109"/>
      <c r="D899" s="109"/>
      <c r="E899" s="109"/>
    </row>
    <row r="900">
      <c r="A900" s="107"/>
      <c r="B900" s="109"/>
      <c r="C900" s="109"/>
      <c r="D900" s="109"/>
      <c r="E900" s="109"/>
    </row>
    <row r="901">
      <c r="A901" s="107"/>
      <c r="B901" s="109"/>
      <c r="C901" s="109"/>
      <c r="D901" s="109"/>
      <c r="E901" s="109"/>
    </row>
    <row r="902">
      <c r="A902" s="107"/>
      <c r="B902" s="109"/>
      <c r="C902" s="109"/>
      <c r="D902" s="109"/>
      <c r="E902" s="109"/>
    </row>
    <row r="903">
      <c r="A903" s="107"/>
      <c r="B903" s="109"/>
      <c r="C903" s="109"/>
      <c r="D903" s="109"/>
      <c r="E903" s="109"/>
    </row>
    <row r="904">
      <c r="A904" s="107"/>
      <c r="B904" s="109"/>
      <c r="C904" s="109"/>
      <c r="D904" s="109"/>
      <c r="E904" s="109"/>
    </row>
    <row r="905">
      <c r="A905" s="107"/>
      <c r="B905" s="109"/>
      <c r="C905" s="109"/>
      <c r="D905" s="109"/>
      <c r="E905" s="109"/>
    </row>
    <row r="906">
      <c r="A906" s="107"/>
      <c r="B906" s="109"/>
      <c r="C906" s="109"/>
      <c r="D906" s="109"/>
      <c r="E906" s="109"/>
    </row>
    <row r="907">
      <c r="A907" s="107"/>
      <c r="B907" s="109"/>
      <c r="C907" s="109"/>
      <c r="D907" s="109"/>
      <c r="E907" s="109"/>
    </row>
    <row r="908">
      <c r="A908" s="107"/>
      <c r="B908" s="109"/>
      <c r="C908" s="109"/>
      <c r="D908" s="109"/>
      <c r="E908" s="109"/>
    </row>
    <row r="909">
      <c r="A909" s="107"/>
      <c r="B909" s="109"/>
      <c r="C909" s="109"/>
      <c r="D909" s="109"/>
      <c r="E909" s="109"/>
    </row>
    <row r="910">
      <c r="A910" s="107"/>
      <c r="B910" s="109"/>
      <c r="C910" s="109"/>
      <c r="D910" s="109"/>
      <c r="E910" s="109"/>
    </row>
    <row r="911">
      <c r="A911" s="107"/>
      <c r="B911" s="109"/>
      <c r="C911" s="109"/>
      <c r="D911" s="109"/>
      <c r="E911" s="109"/>
    </row>
    <row r="912">
      <c r="A912" s="107"/>
      <c r="B912" s="109"/>
      <c r="C912" s="109"/>
      <c r="D912" s="109"/>
      <c r="E912" s="109"/>
    </row>
    <row r="913">
      <c r="A913" s="107"/>
      <c r="B913" s="109"/>
      <c r="C913" s="109"/>
      <c r="D913" s="109"/>
      <c r="E913" s="109"/>
    </row>
    <row r="914">
      <c r="A914" s="107"/>
      <c r="B914" s="109"/>
      <c r="C914" s="109"/>
      <c r="D914" s="109"/>
      <c r="E914" s="109"/>
    </row>
    <row r="915">
      <c r="A915" s="107"/>
      <c r="B915" s="109"/>
      <c r="C915" s="109"/>
      <c r="D915" s="109"/>
      <c r="E915" s="109"/>
    </row>
    <row r="916">
      <c r="A916" s="107"/>
      <c r="B916" s="109"/>
      <c r="C916" s="109"/>
      <c r="D916" s="109"/>
      <c r="E916" s="109"/>
    </row>
    <row r="917">
      <c r="A917" s="107"/>
      <c r="B917" s="109"/>
      <c r="C917" s="109"/>
      <c r="D917" s="109"/>
      <c r="E917" s="109"/>
    </row>
    <row r="918">
      <c r="A918" s="107"/>
      <c r="B918" s="109"/>
      <c r="C918" s="109"/>
      <c r="D918" s="109"/>
      <c r="E918" s="109"/>
    </row>
    <row r="919">
      <c r="A919" s="107"/>
      <c r="B919" s="109"/>
      <c r="C919" s="109"/>
      <c r="D919" s="109"/>
      <c r="E919" s="109"/>
    </row>
    <row r="920">
      <c r="A920" s="107"/>
      <c r="B920" s="109"/>
      <c r="C920" s="109"/>
      <c r="D920" s="109"/>
      <c r="E920" s="109"/>
    </row>
    <row r="921">
      <c r="A921" s="107"/>
      <c r="B921" s="109"/>
      <c r="C921" s="109"/>
      <c r="D921" s="109"/>
      <c r="E921" s="109"/>
    </row>
    <row r="922">
      <c r="A922" s="107"/>
      <c r="B922" s="109"/>
      <c r="C922" s="109"/>
      <c r="D922" s="109"/>
      <c r="E922" s="109"/>
    </row>
    <row r="923">
      <c r="A923" s="107"/>
      <c r="B923" s="109"/>
      <c r="C923" s="109"/>
      <c r="D923" s="109"/>
      <c r="E923" s="109"/>
    </row>
    <row r="924">
      <c r="A924" s="107"/>
      <c r="B924" s="109"/>
      <c r="C924" s="109"/>
      <c r="D924" s="109"/>
      <c r="E924" s="109"/>
    </row>
    <row r="925">
      <c r="A925" s="107"/>
      <c r="B925" s="109"/>
      <c r="C925" s="109"/>
      <c r="D925" s="109"/>
      <c r="E925" s="109"/>
    </row>
    <row r="926">
      <c r="A926" s="107"/>
      <c r="B926" s="109"/>
      <c r="C926" s="109"/>
      <c r="D926" s="109"/>
      <c r="E926" s="109"/>
    </row>
    <row r="927">
      <c r="A927" s="107"/>
      <c r="B927" s="109"/>
      <c r="C927" s="109"/>
      <c r="D927" s="109"/>
      <c r="E927" s="109"/>
    </row>
    <row r="928">
      <c r="A928" s="107"/>
      <c r="B928" s="109"/>
      <c r="C928" s="109"/>
      <c r="D928" s="109"/>
      <c r="E928" s="109"/>
    </row>
    <row r="929">
      <c r="A929" s="107"/>
      <c r="B929" s="109"/>
      <c r="C929" s="109"/>
      <c r="D929" s="109"/>
      <c r="E929" s="109"/>
    </row>
    <row r="930">
      <c r="A930" s="107"/>
      <c r="B930" s="109"/>
      <c r="C930" s="109"/>
      <c r="D930" s="109"/>
      <c r="E930" s="109"/>
    </row>
    <row r="931">
      <c r="A931" s="107"/>
      <c r="B931" s="109"/>
      <c r="C931" s="109"/>
      <c r="D931" s="109"/>
      <c r="E931" s="109"/>
    </row>
    <row r="932">
      <c r="A932" s="107"/>
      <c r="B932" s="109"/>
      <c r="C932" s="109"/>
      <c r="D932" s="109"/>
      <c r="E932" s="109"/>
    </row>
    <row r="933">
      <c r="A933" s="107"/>
      <c r="B933" s="109"/>
      <c r="C933" s="109"/>
      <c r="D933" s="109"/>
      <c r="E933" s="109"/>
    </row>
    <row r="934">
      <c r="A934" s="107"/>
      <c r="B934" s="109"/>
      <c r="C934" s="109"/>
      <c r="D934" s="109"/>
      <c r="E934" s="109"/>
    </row>
    <row r="935">
      <c r="A935" s="107"/>
      <c r="B935" s="109"/>
      <c r="C935" s="109"/>
      <c r="D935" s="109"/>
      <c r="E935" s="109"/>
    </row>
    <row r="936">
      <c r="A936" s="107"/>
      <c r="B936" s="109"/>
      <c r="C936" s="109"/>
      <c r="D936" s="109"/>
      <c r="E936" s="109"/>
    </row>
    <row r="937">
      <c r="A937" s="107"/>
      <c r="B937" s="109"/>
      <c r="C937" s="109"/>
      <c r="D937" s="109"/>
      <c r="E937" s="109"/>
    </row>
    <row r="938">
      <c r="A938" s="107"/>
      <c r="B938" s="109"/>
      <c r="C938" s="109"/>
      <c r="D938" s="109"/>
      <c r="E938" s="109"/>
    </row>
    <row r="939">
      <c r="A939" s="107"/>
      <c r="B939" s="109"/>
      <c r="C939" s="109"/>
      <c r="D939" s="109"/>
      <c r="E939" s="109"/>
    </row>
    <row r="940">
      <c r="A940" s="107"/>
      <c r="B940" s="109"/>
      <c r="C940" s="109"/>
      <c r="D940" s="109"/>
      <c r="E940" s="109"/>
    </row>
    <row r="941">
      <c r="A941" s="107"/>
      <c r="B941" s="109"/>
      <c r="C941" s="109"/>
      <c r="D941" s="109"/>
      <c r="E941" s="109"/>
    </row>
    <row r="942">
      <c r="A942" s="107"/>
      <c r="B942" s="109"/>
      <c r="C942" s="109"/>
      <c r="D942" s="109"/>
      <c r="E942" s="109"/>
    </row>
    <row r="943">
      <c r="A943" s="107"/>
      <c r="B943" s="109"/>
      <c r="C943" s="109"/>
      <c r="D943" s="109"/>
      <c r="E943" s="109"/>
    </row>
    <row r="944">
      <c r="A944" s="107"/>
      <c r="B944" s="109"/>
      <c r="C944" s="109"/>
      <c r="D944" s="109"/>
      <c r="E944" s="109"/>
    </row>
    <row r="945">
      <c r="A945" s="107"/>
      <c r="B945" s="109"/>
      <c r="C945" s="109"/>
      <c r="D945" s="109"/>
      <c r="E945" s="109"/>
    </row>
    <row r="946">
      <c r="A946" s="107"/>
      <c r="B946" s="109"/>
      <c r="C946" s="109"/>
      <c r="D946" s="109"/>
      <c r="E946" s="109"/>
    </row>
    <row r="947">
      <c r="A947" s="107"/>
      <c r="B947" s="109"/>
      <c r="C947" s="109"/>
      <c r="D947" s="109"/>
      <c r="E947" s="109"/>
    </row>
    <row r="948">
      <c r="A948" s="107"/>
      <c r="B948" s="109"/>
      <c r="C948" s="109"/>
      <c r="D948" s="109"/>
      <c r="E948" s="109"/>
    </row>
    <row r="949">
      <c r="A949" s="107"/>
      <c r="B949" s="109"/>
      <c r="C949" s="109"/>
      <c r="D949" s="109"/>
      <c r="E949" s="109"/>
    </row>
    <row r="950">
      <c r="A950" s="107"/>
      <c r="B950" s="109"/>
      <c r="C950" s="109"/>
      <c r="D950" s="109"/>
      <c r="E950" s="109"/>
    </row>
    <row r="951">
      <c r="A951" s="107"/>
      <c r="B951" s="109"/>
      <c r="C951" s="109"/>
      <c r="D951" s="109"/>
      <c r="E951" s="109"/>
    </row>
    <row r="952">
      <c r="A952" s="107"/>
      <c r="B952" s="109"/>
      <c r="C952" s="109"/>
      <c r="D952" s="109"/>
      <c r="E952" s="109"/>
    </row>
    <row r="953">
      <c r="A953" s="107"/>
      <c r="B953" s="109"/>
      <c r="C953" s="109"/>
      <c r="D953" s="109"/>
      <c r="E953" s="109"/>
    </row>
    <row r="954">
      <c r="A954" s="107"/>
      <c r="B954" s="109"/>
      <c r="C954" s="109"/>
      <c r="D954" s="109"/>
      <c r="E954" s="109"/>
    </row>
    <row r="955">
      <c r="A955" s="107"/>
      <c r="B955" s="109"/>
      <c r="C955" s="109"/>
      <c r="D955" s="109"/>
      <c r="E955" s="109"/>
    </row>
    <row r="956">
      <c r="A956" s="107"/>
      <c r="B956" s="109"/>
      <c r="C956" s="109"/>
      <c r="D956" s="109"/>
      <c r="E956" s="109"/>
    </row>
    <row r="957">
      <c r="A957" s="107"/>
      <c r="B957" s="109"/>
      <c r="C957" s="109"/>
      <c r="D957" s="109"/>
      <c r="E957" s="109"/>
    </row>
    <row r="958">
      <c r="A958" s="107"/>
      <c r="B958" s="109"/>
      <c r="C958" s="109"/>
      <c r="D958" s="109"/>
      <c r="E958" s="109"/>
    </row>
    <row r="959">
      <c r="A959" s="107"/>
      <c r="B959" s="109"/>
      <c r="C959" s="109"/>
      <c r="D959" s="109"/>
      <c r="E959" s="109"/>
    </row>
    <row r="960">
      <c r="A960" s="107"/>
      <c r="B960" s="109"/>
      <c r="C960" s="109"/>
      <c r="D960" s="109"/>
      <c r="E960" s="109"/>
    </row>
    <row r="961">
      <c r="A961" s="107"/>
      <c r="B961" s="109"/>
      <c r="C961" s="109"/>
      <c r="D961" s="109"/>
      <c r="E961" s="109"/>
    </row>
    <row r="962">
      <c r="A962" s="107"/>
      <c r="B962" s="109"/>
      <c r="C962" s="109"/>
      <c r="D962" s="109"/>
      <c r="E962" s="109"/>
    </row>
    <row r="963">
      <c r="A963" s="107"/>
      <c r="B963" s="109"/>
      <c r="C963" s="109"/>
      <c r="D963" s="109"/>
      <c r="E963" s="109"/>
    </row>
    <row r="964">
      <c r="A964" s="107"/>
      <c r="B964" s="109"/>
      <c r="C964" s="109"/>
      <c r="D964" s="109"/>
      <c r="E964" s="109"/>
    </row>
    <row r="965">
      <c r="A965" s="107"/>
      <c r="B965" s="109"/>
      <c r="C965" s="109"/>
      <c r="D965" s="109"/>
      <c r="E965" s="109"/>
    </row>
    <row r="966">
      <c r="A966" s="107"/>
      <c r="B966" s="109"/>
      <c r="C966" s="109"/>
      <c r="D966" s="109"/>
      <c r="E966" s="109"/>
    </row>
    <row r="967">
      <c r="A967" s="107"/>
      <c r="B967" s="109"/>
      <c r="C967" s="109"/>
      <c r="D967" s="109"/>
      <c r="E967" s="109"/>
    </row>
    <row r="968">
      <c r="A968" s="107"/>
      <c r="B968" s="109"/>
      <c r="C968" s="109"/>
      <c r="D968" s="109"/>
      <c r="E968" s="109"/>
    </row>
    <row r="969">
      <c r="A969" s="107"/>
      <c r="B969" s="109"/>
      <c r="C969" s="109"/>
      <c r="D969" s="109"/>
      <c r="E969" s="109"/>
    </row>
    <row r="970">
      <c r="A970" s="107"/>
      <c r="B970" s="109"/>
      <c r="C970" s="109"/>
      <c r="D970" s="109"/>
      <c r="E970" s="109"/>
    </row>
    <row r="971">
      <c r="A971" s="107"/>
      <c r="B971" s="109"/>
      <c r="C971" s="109"/>
      <c r="D971" s="109"/>
      <c r="E971" s="109"/>
    </row>
    <row r="972">
      <c r="A972" s="107"/>
      <c r="B972" s="109"/>
      <c r="C972" s="109"/>
      <c r="D972" s="109"/>
      <c r="E972" s="109"/>
    </row>
    <row r="973">
      <c r="A973" s="107"/>
      <c r="B973" s="109"/>
      <c r="C973" s="109"/>
      <c r="D973" s="109"/>
      <c r="E973" s="109"/>
    </row>
    <row r="974">
      <c r="A974" s="107"/>
      <c r="B974" s="109"/>
      <c r="C974" s="109"/>
      <c r="D974" s="109"/>
      <c r="E974" s="109"/>
    </row>
    <row r="975">
      <c r="A975" s="107"/>
      <c r="B975" s="109"/>
      <c r="C975" s="109"/>
      <c r="D975" s="109"/>
      <c r="E975" s="109"/>
    </row>
    <row r="976">
      <c r="A976" s="107"/>
      <c r="B976" s="109"/>
      <c r="C976" s="109"/>
      <c r="D976" s="109"/>
      <c r="E976" s="109"/>
    </row>
    <row r="977">
      <c r="A977" s="107"/>
      <c r="B977" s="109"/>
      <c r="C977" s="109"/>
      <c r="D977" s="109"/>
      <c r="E977" s="109"/>
    </row>
    <row r="978">
      <c r="A978" s="107"/>
      <c r="B978" s="109"/>
      <c r="C978" s="109"/>
      <c r="D978" s="109"/>
      <c r="E978" s="109"/>
    </row>
    <row r="979">
      <c r="A979" s="107"/>
      <c r="B979" s="109"/>
      <c r="C979" s="109"/>
      <c r="D979" s="109"/>
      <c r="E979" s="109"/>
    </row>
    <row r="980">
      <c r="A980" s="107"/>
      <c r="B980" s="109"/>
      <c r="C980" s="109"/>
      <c r="D980" s="109"/>
      <c r="E980" s="109"/>
    </row>
    <row r="981">
      <c r="A981" s="107"/>
      <c r="B981" s="109"/>
      <c r="C981" s="109"/>
      <c r="D981" s="109"/>
      <c r="E981" s="109"/>
    </row>
    <row r="982">
      <c r="A982" s="107"/>
      <c r="B982" s="109"/>
      <c r="C982" s="109"/>
      <c r="D982" s="109"/>
      <c r="E982" s="109"/>
    </row>
    <row r="983">
      <c r="A983" s="107"/>
      <c r="B983" s="109"/>
      <c r="C983" s="109"/>
      <c r="D983" s="109"/>
      <c r="E983" s="109"/>
    </row>
    <row r="984">
      <c r="A984" s="107"/>
      <c r="B984" s="109"/>
      <c r="C984" s="109"/>
      <c r="D984" s="109"/>
      <c r="E984" s="109"/>
    </row>
    <row r="985">
      <c r="A985" s="107"/>
      <c r="B985" s="109"/>
      <c r="C985" s="109"/>
      <c r="D985" s="109"/>
      <c r="E985" s="109"/>
    </row>
    <row r="986">
      <c r="A986" s="107"/>
      <c r="B986" s="109"/>
      <c r="C986" s="109"/>
      <c r="D986" s="109"/>
      <c r="E986" s="109"/>
    </row>
    <row r="987">
      <c r="A987" s="107"/>
      <c r="B987" s="109"/>
      <c r="C987" s="109"/>
      <c r="D987" s="109"/>
      <c r="E987" s="109"/>
    </row>
    <row r="988">
      <c r="A988" s="107"/>
      <c r="B988" s="109"/>
      <c r="C988" s="109"/>
      <c r="D988" s="109"/>
      <c r="E988" s="109"/>
    </row>
    <row r="989">
      <c r="A989" s="107"/>
      <c r="B989" s="109"/>
      <c r="C989" s="109"/>
      <c r="D989" s="109"/>
      <c r="E989" s="109"/>
    </row>
    <row r="990">
      <c r="A990" s="107"/>
      <c r="B990" s="109"/>
      <c r="C990" s="109"/>
      <c r="D990" s="109"/>
      <c r="E990" s="109"/>
    </row>
    <row r="991">
      <c r="A991" s="107"/>
      <c r="B991" s="109"/>
      <c r="C991" s="109"/>
      <c r="D991" s="109"/>
      <c r="E991" s="109"/>
    </row>
    <row r="992">
      <c r="A992" s="107"/>
      <c r="B992" s="109"/>
      <c r="C992" s="109"/>
      <c r="D992" s="109"/>
      <c r="E992" s="109"/>
    </row>
    <row r="993">
      <c r="A993" s="107"/>
      <c r="B993" s="109"/>
      <c r="C993" s="109"/>
      <c r="D993" s="109"/>
      <c r="E993" s="109"/>
    </row>
    <row r="994">
      <c r="A994" s="107"/>
      <c r="B994" s="109"/>
      <c r="C994" s="109"/>
      <c r="D994" s="109"/>
      <c r="E994" s="109"/>
    </row>
    <row r="995">
      <c r="A995" s="107"/>
      <c r="B995" s="109"/>
      <c r="C995" s="109"/>
      <c r="D995" s="109"/>
      <c r="E995" s="109"/>
    </row>
    <row r="996">
      <c r="A996" s="107"/>
      <c r="B996" s="109"/>
      <c r="C996" s="109"/>
      <c r="D996" s="109"/>
      <c r="E996" s="109"/>
    </row>
    <row r="997">
      <c r="A997" s="107"/>
      <c r="B997" s="109"/>
      <c r="C997" s="109"/>
      <c r="D997" s="109"/>
      <c r="E997" s="109"/>
    </row>
    <row r="998">
      <c r="A998" s="107"/>
      <c r="B998" s="109"/>
      <c r="C998" s="109"/>
      <c r="D998" s="109"/>
      <c r="E998" s="109"/>
    </row>
    <row r="999">
      <c r="A999" s="107"/>
      <c r="B999" s="109"/>
      <c r="C999" s="109"/>
      <c r="D999" s="109"/>
      <c r="E999" s="109"/>
    </row>
    <row r="1000">
      <c r="A1000" s="107"/>
      <c r="B1000" s="109"/>
      <c r="C1000" s="109"/>
      <c r="D1000" s="109"/>
      <c r="E1000" s="109"/>
    </row>
    <row r="1001">
      <c r="A1001" s="107"/>
      <c r="B1001" s="109"/>
      <c r="C1001" s="109"/>
      <c r="D1001" s="109"/>
      <c r="E1001" s="109"/>
    </row>
    <row r="1002">
      <c r="A1002" s="107"/>
      <c r="B1002" s="109"/>
      <c r="C1002" s="109"/>
      <c r="D1002" s="109"/>
      <c r="E1002" s="109"/>
    </row>
    <row r="1003">
      <c r="A1003" s="107"/>
      <c r="B1003" s="109"/>
      <c r="C1003" s="109"/>
      <c r="D1003" s="109"/>
      <c r="E1003" s="109"/>
    </row>
    <row r="1004">
      <c r="A1004" s="107"/>
      <c r="B1004" s="109"/>
      <c r="C1004" s="109"/>
      <c r="D1004" s="109"/>
      <c r="E1004" s="109"/>
    </row>
    <row r="1005">
      <c r="A1005" s="107"/>
      <c r="B1005" s="109"/>
      <c r="C1005" s="109"/>
      <c r="D1005" s="109"/>
      <c r="E1005" s="109"/>
    </row>
    <row r="1006">
      <c r="A1006" s="107"/>
      <c r="B1006" s="109"/>
      <c r="C1006" s="109"/>
      <c r="D1006" s="109"/>
      <c r="E1006" s="109"/>
    </row>
    <row r="1007">
      <c r="A1007" s="107"/>
      <c r="B1007" s="109"/>
      <c r="C1007" s="109"/>
      <c r="D1007" s="109"/>
      <c r="E1007" s="109"/>
    </row>
    <row r="1008">
      <c r="A1008" s="107"/>
      <c r="B1008" s="109"/>
      <c r="C1008" s="109"/>
      <c r="D1008" s="109"/>
      <c r="E1008" s="109"/>
    </row>
    <row r="1009">
      <c r="A1009" s="107"/>
      <c r="B1009" s="109"/>
      <c r="C1009" s="109"/>
      <c r="D1009" s="109"/>
      <c r="E1009" s="109"/>
    </row>
    <row r="1010">
      <c r="A1010" s="107"/>
      <c r="B1010" s="109"/>
      <c r="C1010" s="109"/>
      <c r="D1010" s="109"/>
      <c r="E1010" s="109"/>
    </row>
    <row r="1011">
      <c r="A1011" s="107"/>
      <c r="B1011" s="109"/>
      <c r="C1011" s="109"/>
      <c r="D1011" s="109"/>
      <c r="E1011" s="109"/>
    </row>
    <row r="1012">
      <c r="A1012" s="107"/>
      <c r="B1012" s="109"/>
      <c r="C1012" s="109"/>
      <c r="D1012" s="109"/>
      <c r="E1012" s="109"/>
    </row>
    <row r="1013">
      <c r="A1013" s="107"/>
      <c r="B1013" s="109"/>
      <c r="C1013" s="109"/>
      <c r="D1013" s="109"/>
      <c r="E1013" s="109"/>
    </row>
    <row r="1014">
      <c r="A1014" s="107"/>
      <c r="B1014" s="109"/>
      <c r="C1014" s="109"/>
      <c r="D1014" s="109"/>
      <c r="E1014" s="109"/>
    </row>
    <row r="1015">
      <c r="A1015" s="107"/>
      <c r="B1015" s="109"/>
      <c r="C1015" s="109"/>
      <c r="D1015" s="109"/>
      <c r="E1015" s="109"/>
    </row>
    <row r="1016">
      <c r="A1016" s="107"/>
      <c r="B1016" s="109"/>
      <c r="C1016" s="109"/>
      <c r="D1016" s="109"/>
      <c r="E1016" s="109"/>
    </row>
    <row r="1017">
      <c r="A1017" s="107"/>
      <c r="B1017" s="109"/>
      <c r="C1017" s="109"/>
      <c r="D1017" s="109"/>
      <c r="E1017" s="10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1.75"/>
    <col customWidth="1" min="3" max="3" width="28.25"/>
    <col customWidth="1" min="4" max="4" width="2.13"/>
    <col customWidth="1" min="5" max="5" width="27.63"/>
    <col customWidth="1" min="6" max="6" width="1.75"/>
    <col customWidth="1" min="7" max="7" width="26.13"/>
    <col customWidth="1" min="8" max="8" width="1.5"/>
    <col customWidth="1" min="9" max="9" width="25.13"/>
    <col customWidth="1" min="10" max="10" width="1.75"/>
    <col customWidth="1" min="11" max="11" width="26.0"/>
    <col customWidth="1" min="12" max="12" width="1.88"/>
  </cols>
  <sheetData>
    <row r="1">
      <c r="A1" s="1"/>
      <c r="B1" s="4"/>
      <c r="C1" s="1" t="s">
        <v>265</v>
      </c>
      <c r="D1" s="4"/>
      <c r="E1" s="1" t="s">
        <v>266</v>
      </c>
      <c r="F1" s="4"/>
      <c r="G1" s="1" t="s">
        <v>267</v>
      </c>
      <c r="H1" s="4"/>
      <c r="I1" s="1" t="s">
        <v>268</v>
      </c>
      <c r="J1" s="4"/>
      <c r="K1" s="1" t="s">
        <v>269</v>
      </c>
      <c r="L1" s="4"/>
      <c r="M1" s="1" t="s">
        <v>270</v>
      </c>
      <c r="N1" s="4"/>
      <c r="O1" s="1" t="s">
        <v>271</v>
      </c>
      <c r="P1" s="4"/>
      <c r="Q1" s="1" t="s">
        <v>272</v>
      </c>
      <c r="R1" s="4"/>
      <c r="S1" s="1" t="s">
        <v>273</v>
      </c>
      <c r="T1" s="4"/>
      <c r="U1" s="1" t="s">
        <v>274</v>
      </c>
      <c r="V1" s="4"/>
      <c r="W1" s="1" t="s">
        <v>275</v>
      </c>
      <c r="X1" s="4"/>
      <c r="Y1" s="4"/>
      <c r="Z1" s="4"/>
      <c r="AA1" s="1" t="s">
        <v>276</v>
      </c>
      <c r="AB1" s="4"/>
      <c r="AC1" s="4"/>
      <c r="AD1" s="4"/>
      <c r="AE1" s="1" t="s">
        <v>277</v>
      </c>
      <c r="AF1" s="4"/>
      <c r="AG1" s="4"/>
      <c r="AH1" s="4"/>
      <c r="AI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>
      <c r="A3" s="4"/>
      <c r="B3" s="4"/>
      <c r="C3" s="1" t="s">
        <v>18</v>
      </c>
      <c r="D3" s="4"/>
      <c r="E3" s="4"/>
      <c r="F3" s="4"/>
      <c r="G3" s="4"/>
      <c r="H3" s="4"/>
      <c r="I3" s="4"/>
      <c r="J3" s="4"/>
      <c r="K3" s="1" t="s">
        <v>18</v>
      </c>
      <c r="L3" s="4"/>
      <c r="M3" s="1" t="s">
        <v>19</v>
      </c>
      <c r="N3" s="4"/>
      <c r="O3" s="4"/>
      <c r="P3" s="4"/>
      <c r="Q3" s="4"/>
      <c r="R3" s="4"/>
      <c r="S3" s="4"/>
      <c r="T3" s="4"/>
      <c r="U3" s="4"/>
      <c r="V3" s="4"/>
      <c r="W3" s="1" t="s">
        <v>18</v>
      </c>
      <c r="X3" s="4"/>
      <c r="Y3" s="1" t="s">
        <v>19</v>
      </c>
      <c r="Z3" s="4"/>
      <c r="AA3" s="1" t="s">
        <v>18</v>
      </c>
      <c r="AB3" s="4"/>
      <c r="AC3" s="4"/>
      <c r="AD3" s="4"/>
      <c r="AE3" s="1" t="s">
        <v>18</v>
      </c>
      <c r="AF3" s="4"/>
      <c r="AG3" s="1" t="s">
        <v>19</v>
      </c>
      <c r="AH3" s="4"/>
      <c r="AI3" s="4"/>
    </row>
    <row r="4">
      <c r="A4" s="1" t="s">
        <v>278</v>
      </c>
      <c r="B4" s="4"/>
      <c r="C4" s="4"/>
      <c r="D4" s="4"/>
      <c r="E4" s="1" t="s">
        <v>19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1" t="s">
        <v>279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>
      <c r="A6" s="1" t="s">
        <v>116</v>
      </c>
      <c r="B6" s="4"/>
      <c r="C6" s="1" t="s">
        <v>266</v>
      </c>
      <c r="D6" s="4"/>
      <c r="E6" s="1" t="s">
        <v>280</v>
      </c>
      <c r="F6" s="4"/>
      <c r="G6" s="1" t="s">
        <v>280</v>
      </c>
      <c r="H6" s="4"/>
      <c r="I6" s="1" t="s">
        <v>280</v>
      </c>
      <c r="J6" s="1" t="s">
        <v>187</v>
      </c>
      <c r="K6" s="110" t="s">
        <v>281</v>
      </c>
      <c r="L6" s="4"/>
      <c r="M6" s="111" t="s">
        <v>282</v>
      </c>
      <c r="N6" s="4"/>
      <c r="O6" s="1" t="s">
        <v>283</v>
      </c>
      <c r="P6" s="4"/>
      <c r="Q6" s="111" t="s">
        <v>284</v>
      </c>
      <c r="R6" s="4"/>
      <c r="S6" s="111" t="s">
        <v>285</v>
      </c>
      <c r="T6" s="4"/>
      <c r="U6" s="111" t="s">
        <v>286</v>
      </c>
      <c r="V6" s="4"/>
      <c r="W6" s="111" t="s">
        <v>275</v>
      </c>
      <c r="X6" s="4"/>
      <c r="Y6" s="111" t="s">
        <v>287</v>
      </c>
      <c r="Z6" s="4"/>
      <c r="AA6" s="1" t="s">
        <v>288</v>
      </c>
      <c r="AB6" s="4"/>
      <c r="AC6" s="1" t="s">
        <v>289</v>
      </c>
      <c r="AD6" s="4"/>
      <c r="AE6" s="1" t="s">
        <v>290</v>
      </c>
      <c r="AF6" s="4"/>
      <c r="AG6" s="1" t="s">
        <v>291</v>
      </c>
      <c r="AH6" s="4"/>
      <c r="AI6" s="1" t="s">
        <v>292</v>
      </c>
    </row>
    <row r="7">
      <c r="A7" s="112" t="s">
        <v>266</v>
      </c>
      <c r="B7" s="1" t="s">
        <v>187</v>
      </c>
      <c r="C7" s="113" t="s">
        <v>280</v>
      </c>
      <c r="D7" s="4"/>
      <c r="E7" s="113" t="s">
        <v>293</v>
      </c>
      <c r="F7" s="4"/>
      <c r="G7" s="114" t="s">
        <v>293</v>
      </c>
      <c r="H7" s="4"/>
      <c r="I7" s="114" t="s">
        <v>293</v>
      </c>
      <c r="J7" s="1" t="s">
        <v>187</v>
      </c>
      <c r="K7" s="110" t="s">
        <v>294</v>
      </c>
      <c r="L7" s="4"/>
      <c r="M7" s="115" t="s">
        <v>295</v>
      </c>
      <c r="N7" s="4"/>
      <c r="O7" s="115" t="s">
        <v>296</v>
      </c>
      <c r="P7" s="4"/>
      <c r="Q7" s="115" t="s">
        <v>297</v>
      </c>
      <c r="R7" s="4"/>
      <c r="S7" s="115" t="s">
        <v>298</v>
      </c>
      <c r="T7" s="4"/>
      <c r="U7" s="115" t="s">
        <v>297</v>
      </c>
      <c r="V7" s="4"/>
      <c r="W7" s="116" t="s">
        <v>299</v>
      </c>
      <c r="X7" s="4"/>
      <c r="Y7" s="116" t="s">
        <v>300</v>
      </c>
      <c r="Z7" s="4"/>
      <c r="AA7" s="117" t="s">
        <v>301</v>
      </c>
      <c r="AB7" s="4"/>
      <c r="AC7" s="117" t="s">
        <v>302</v>
      </c>
      <c r="AD7" s="4"/>
      <c r="AE7" s="118" t="s">
        <v>303</v>
      </c>
      <c r="AF7" s="4"/>
      <c r="AG7" s="118" t="s">
        <v>304</v>
      </c>
      <c r="AH7" s="4"/>
      <c r="AI7" s="119" t="s">
        <v>305</v>
      </c>
    </row>
    <row r="8">
      <c r="A8" s="112" t="s">
        <v>306</v>
      </c>
      <c r="B8" s="1" t="s">
        <v>187</v>
      </c>
      <c r="C8" s="113" t="s">
        <v>307</v>
      </c>
      <c r="D8" s="4"/>
      <c r="E8" s="113" t="s">
        <v>308</v>
      </c>
      <c r="F8" s="4"/>
      <c r="G8" s="113" t="s">
        <v>309</v>
      </c>
      <c r="H8" s="4"/>
      <c r="I8" s="113" t="s">
        <v>310</v>
      </c>
      <c r="J8" s="1" t="s">
        <v>187</v>
      </c>
      <c r="K8" s="110" t="s">
        <v>311</v>
      </c>
      <c r="L8" s="4"/>
      <c r="M8" s="110" t="s">
        <v>297</v>
      </c>
      <c r="N8" s="4"/>
      <c r="O8" s="110" t="s">
        <v>312</v>
      </c>
      <c r="P8" s="4"/>
      <c r="Q8" s="110" t="s">
        <v>313</v>
      </c>
      <c r="R8" s="4"/>
      <c r="S8" s="110" t="s">
        <v>314</v>
      </c>
      <c r="T8" s="4"/>
      <c r="U8" s="110" t="s">
        <v>315</v>
      </c>
      <c r="V8" s="4"/>
      <c r="W8" s="116" t="s">
        <v>316</v>
      </c>
      <c r="X8" s="4"/>
      <c r="Y8" s="116" t="s">
        <v>317</v>
      </c>
      <c r="Z8" s="4"/>
      <c r="AA8" s="117" t="s">
        <v>318</v>
      </c>
      <c r="AB8" s="4"/>
      <c r="AC8" s="117" t="s">
        <v>319</v>
      </c>
      <c r="AD8" s="4"/>
      <c r="AE8" s="118" t="s">
        <v>320</v>
      </c>
      <c r="AF8" s="4"/>
      <c r="AG8" s="118" t="s">
        <v>321</v>
      </c>
      <c r="AH8" s="4"/>
      <c r="AI8" s="119" t="s">
        <v>322</v>
      </c>
    </row>
    <row r="9">
      <c r="A9" s="112" t="s">
        <v>323</v>
      </c>
      <c r="B9" s="1" t="s">
        <v>187</v>
      </c>
      <c r="C9" s="113" t="s">
        <v>324</v>
      </c>
      <c r="D9" s="4"/>
      <c r="E9" s="113" t="s">
        <v>325</v>
      </c>
      <c r="F9" s="4"/>
      <c r="G9" s="1"/>
      <c r="H9" s="4"/>
      <c r="I9" s="113" t="s">
        <v>326</v>
      </c>
      <c r="J9" s="1" t="s">
        <v>187</v>
      </c>
      <c r="K9" s="110" t="s">
        <v>327</v>
      </c>
      <c r="L9" s="4"/>
      <c r="M9" s="110" t="s">
        <v>328</v>
      </c>
      <c r="N9" s="4"/>
      <c r="O9" s="110" t="s">
        <v>329</v>
      </c>
      <c r="P9" s="4"/>
      <c r="Q9" s="110" t="s">
        <v>328</v>
      </c>
      <c r="R9" s="4"/>
      <c r="S9" s="110" t="s">
        <v>330</v>
      </c>
      <c r="T9" s="4"/>
      <c r="U9" s="110" t="s">
        <v>328</v>
      </c>
      <c r="V9" s="4"/>
      <c r="W9" s="116" t="s">
        <v>331</v>
      </c>
      <c r="X9" s="4"/>
      <c r="Y9" s="116" t="s">
        <v>332</v>
      </c>
      <c r="Z9" s="4"/>
      <c r="AA9" s="117" t="s">
        <v>333</v>
      </c>
      <c r="AB9" s="4"/>
      <c r="AC9" s="117" t="s">
        <v>334</v>
      </c>
      <c r="AD9" s="4"/>
      <c r="AE9" s="118" t="s">
        <v>335</v>
      </c>
      <c r="AF9" s="4"/>
      <c r="AG9" s="118" t="s">
        <v>336</v>
      </c>
      <c r="AH9" s="4"/>
      <c r="AI9" s="119" t="s">
        <v>337</v>
      </c>
    </row>
    <row r="10">
      <c r="A10" s="112" t="s">
        <v>338</v>
      </c>
      <c r="B10" s="1" t="s">
        <v>187</v>
      </c>
      <c r="C10" s="113" t="s">
        <v>339</v>
      </c>
      <c r="D10" s="4"/>
      <c r="E10" s="1"/>
      <c r="F10" s="4"/>
      <c r="G10" s="1" t="s">
        <v>339</v>
      </c>
      <c r="H10" s="4"/>
      <c r="I10" s="113" t="s">
        <v>340</v>
      </c>
      <c r="J10" s="1" t="s">
        <v>187</v>
      </c>
      <c r="K10" s="110" t="s">
        <v>341</v>
      </c>
      <c r="L10" s="4"/>
      <c r="M10" s="110" t="s">
        <v>332</v>
      </c>
      <c r="N10" s="4"/>
      <c r="O10" s="110" t="s">
        <v>342</v>
      </c>
      <c r="P10" s="4"/>
      <c r="Q10" s="110" t="s">
        <v>332</v>
      </c>
      <c r="R10" s="4"/>
      <c r="S10" s="110" t="s">
        <v>312</v>
      </c>
      <c r="T10" s="4"/>
      <c r="U10" s="110" t="s">
        <v>332</v>
      </c>
      <c r="V10" s="4"/>
      <c r="W10" s="116" t="s">
        <v>343</v>
      </c>
      <c r="X10" s="4"/>
      <c r="Y10" s="116" t="s">
        <v>344</v>
      </c>
      <c r="Z10" s="4"/>
      <c r="AA10" s="117" t="s">
        <v>327</v>
      </c>
      <c r="AB10" s="4"/>
      <c r="AC10" s="4"/>
      <c r="AD10" s="4"/>
      <c r="AE10" s="118" t="s">
        <v>327</v>
      </c>
      <c r="AF10" s="4"/>
      <c r="AG10" s="118" t="s">
        <v>345</v>
      </c>
      <c r="AH10" s="4"/>
      <c r="AI10" s="119" t="s">
        <v>327</v>
      </c>
    </row>
    <row r="11">
      <c r="A11" s="112" t="s">
        <v>117</v>
      </c>
      <c r="B11" s="1"/>
      <c r="C11" s="1"/>
      <c r="D11" s="4"/>
      <c r="E11" s="1" t="s">
        <v>307</v>
      </c>
      <c r="F11" s="4"/>
      <c r="G11" s="114" t="s">
        <v>346</v>
      </c>
      <c r="H11" s="4"/>
      <c r="I11" s="113" t="s">
        <v>325</v>
      </c>
      <c r="J11" s="1" t="s">
        <v>187</v>
      </c>
      <c r="K11" s="110" t="s">
        <v>347</v>
      </c>
      <c r="L11" s="4"/>
      <c r="M11" s="110" t="s">
        <v>348</v>
      </c>
      <c r="N11" s="4"/>
      <c r="O11" s="4"/>
      <c r="P11" s="4"/>
      <c r="Q11" s="110" t="s">
        <v>348</v>
      </c>
      <c r="R11" s="4"/>
      <c r="S11" s="110" t="s">
        <v>349</v>
      </c>
      <c r="T11" s="4"/>
      <c r="U11" s="110" t="s">
        <v>350</v>
      </c>
      <c r="V11" s="4"/>
      <c r="W11" s="116" t="s">
        <v>351</v>
      </c>
      <c r="X11" s="4"/>
      <c r="Y11" s="116" t="s">
        <v>352</v>
      </c>
      <c r="Z11" s="4"/>
      <c r="AA11" s="117" t="s">
        <v>353</v>
      </c>
      <c r="AB11" s="4"/>
      <c r="AC11" s="1" t="s">
        <v>354</v>
      </c>
      <c r="AD11" s="4"/>
      <c r="AE11" s="118" t="s">
        <v>355</v>
      </c>
      <c r="AF11" s="4"/>
      <c r="AG11" s="118" t="s">
        <v>356</v>
      </c>
      <c r="AH11" s="4"/>
      <c r="AI11" s="119" t="s">
        <v>347</v>
      </c>
    </row>
    <row r="12">
      <c r="A12" s="1"/>
      <c r="B12" s="1"/>
      <c r="C12" s="1" t="s">
        <v>306</v>
      </c>
      <c r="D12" s="4"/>
      <c r="E12" s="114" t="s">
        <v>357</v>
      </c>
      <c r="F12" s="4"/>
      <c r="G12" s="113" t="s">
        <v>358</v>
      </c>
      <c r="H12" s="4"/>
      <c r="I12" s="1"/>
      <c r="J12" s="1" t="s">
        <v>187</v>
      </c>
      <c r="K12" s="110" t="s">
        <v>359</v>
      </c>
      <c r="L12" s="4"/>
      <c r="M12" s="110" t="s">
        <v>360</v>
      </c>
      <c r="N12" s="4"/>
      <c r="O12" s="1" t="s">
        <v>361</v>
      </c>
      <c r="P12" s="4"/>
      <c r="Q12" s="110" t="s">
        <v>360</v>
      </c>
      <c r="R12" s="4"/>
      <c r="S12" s="110" t="s">
        <v>362</v>
      </c>
      <c r="T12" s="4"/>
      <c r="U12" s="4"/>
      <c r="V12" s="4"/>
      <c r="W12" s="116" t="s">
        <v>324</v>
      </c>
      <c r="X12" s="4"/>
      <c r="Y12" s="116" t="s">
        <v>363</v>
      </c>
      <c r="Z12" s="4"/>
      <c r="AA12" s="117" t="s">
        <v>347</v>
      </c>
      <c r="AB12" s="4"/>
      <c r="AC12" s="117" t="s">
        <v>364</v>
      </c>
      <c r="AD12" s="4"/>
      <c r="AE12" s="118" t="s">
        <v>365</v>
      </c>
      <c r="AF12" s="4"/>
      <c r="AG12" s="118" t="s">
        <v>366</v>
      </c>
      <c r="AH12" s="4"/>
      <c r="AI12" s="4"/>
    </row>
    <row r="13">
      <c r="A13" s="1"/>
      <c r="B13" s="1"/>
      <c r="C13" s="114" t="s">
        <v>280</v>
      </c>
      <c r="D13" s="4"/>
      <c r="E13" s="113" t="s">
        <v>367</v>
      </c>
      <c r="F13" s="4"/>
      <c r="G13" s="113" t="s">
        <v>128</v>
      </c>
      <c r="H13" s="4"/>
      <c r="I13" s="1" t="s">
        <v>339</v>
      </c>
      <c r="J13" s="1" t="s">
        <v>187</v>
      </c>
      <c r="K13" s="110" t="s">
        <v>368</v>
      </c>
      <c r="L13" s="4"/>
      <c r="M13" s="110" t="s">
        <v>350</v>
      </c>
      <c r="N13" s="4"/>
      <c r="O13" s="115" t="s">
        <v>369</v>
      </c>
      <c r="P13" s="4"/>
      <c r="Q13" s="110" t="s">
        <v>350</v>
      </c>
      <c r="R13" s="4"/>
      <c r="S13" s="110" t="s">
        <v>370</v>
      </c>
      <c r="T13" s="4"/>
      <c r="U13" s="111" t="s">
        <v>371</v>
      </c>
      <c r="V13" s="4"/>
      <c r="W13" s="116" t="s">
        <v>372</v>
      </c>
      <c r="X13" s="4"/>
      <c r="Y13" s="4"/>
      <c r="Z13" s="4"/>
      <c r="AA13" s="4"/>
      <c r="AB13" s="4"/>
      <c r="AC13" s="117" t="s">
        <v>373</v>
      </c>
      <c r="AD13" s="4"/>
      <c r="AE13" s="118" t="s">
        <v>374</v>
      </c>
      <c r="AF13" s="4"/>
      <c r="AG13" s="4"/>
      <c r="AH13" s="4"/>
      <c r="AI13" s="4"/>
    </row>
    <row r="14">
      <c r="A14" s="1" t="s">
        <v>179</v>
      </c>
      <c r="B14" s="1"/>
      <c r="C14" s="113" t="s">
        <v>339</v>
      </c>
      <c r="D14" s="4"/>
      <c r="E14" s="113" t="s">
        <v>375</v>
      </c>
      <c r="F14" s="4"/>
      <c r="G14" s="113" t="s">
        <v>376</v>
      </c>
      <c r="H14" s="4"/>
      <c r="I14" s="114" t="s">
        <v>377</v>
      </c>
      <c r="J14" s="4"/>
      <c r="K14" s="4"/>
      <c r="L14" s="4"/>
      <c r="M14" s="4"/>
      <c r="N14" s="4"/>
      <c r="O14" s="110" t="s">
        <v>378</v>
      </c>
      <c r="P14" s="4"/>
      <c r="Q14" s="4"/>
      <c r="R14" s="4"/>
      <c r="S14" s="4"/>
      <c r="T14" s="4"/>
      <c r="U14" s="115" t="s">
        <v>379</v>
      </c>
      <c r="V14" s="4"/>
      <c r="W14" s="116" t="s">
        <v>380</v>
      </c>
      <c r="X14" s="4"/>
      <c r="Y14" s="111" t="s">
        <v>381</v>
      </c>
      <c r="Z14" s="4"/>
      <c r="AA14" s="4"/>
      <c r="AB14" s="4"/>
      <c r="AC14" s="4"/>
      <c r="AD14" s="4"/>
      <c r="AE14" s="118" t="s">
        <v>347</v>
      </c>
      <c r="AF14" s="4"/>
      <c r="AG14" s="1" t="s">
        <v>382</v>
      </c>
      <c r="AH14" s="4"/>
      <c r="AI14" s="1" t="s">
        <v>383</v>
      </c>
    </row>
    <row r="15">
      <c r="A15" s="1" t="s">
        <v>384</v>
      </c>
      <c r="B15" s="1"/>
      <c r="C15" s="113" t="s">
        <v>385</v>
      </c>
      <c r="D15" s="4"/>
      <c r="E15" s="113" t="s">
        <v>347</v>
      </c>
      <c r="F15" s="4"/>
      <c r="G15" s="113" t="s">
        <v>386</v>
      </c>
      <c r="H15" s="4"/>
      <c r="I15" s="114" t="s">
        <v>293</v>
      </c>
      <c r="J15" s="4"/>
      <c r="K15" s="1" t="s">
        <v>387</v>
      </c>
      <c r="L15" s="4"/>
      <c r="M15" s="111" t="s">
        <v>388</v>
      </c>
      <c r="N15" s="4"/>
      <c r="O15" s="110" t="s">
        <v>389</v>
      </c>
      <c r="P15" s="4"/>
      <c r="Q15" s="111" t="s">
        <v>390</v>
      </c>
      <c r="R15" s="4"/>
      <c r="S15" s="111" t="s">
        <v>391</v>
      </c>
      <c r="T15" s="4"/>
      <c r="U15" s="110" t="s">
        <v>392</v>
      </c>
      <c r="V15" s="4"/>
      <c r="W15" s="116" t="s">
        <v>393</v>
      </c>
      <c r="X15" s="4"/>
      <c r="Y15" s="116" t="s">
        <v>296</v>
      </c>
      <c r="Z15" s="4"/>
      <c r="AA15" s="4"/>
      <c r="AB15" s="4"/>
      <c r="AC15" s="1" t="s">
        <v>394</v>
      </c>
      <c r="AD15" s="4"/>
      <c r="AE15" s="4"/>
      <c r="AF15" s="4"/>
      <c r="AG15" s="118" t="s">
        <v>296</v>
      </c>
      <c r="AH15" s="4"/>
      <c r="AI15" s="119" t="s">
        <v>304</v>
      </c>
    </row>
    <row r="16">
      <c r="A16" s="1" t="s">
        <v>395</v>
      </c>
      <c r="B16" s="1"/>
      <c r="C16" s="113" t="s">
        <v>396</v>
      </c>
      <c r="D16" s="4"/>
      <c r="E16" s="113" t="s">
        <v>397</v>
      </c>
      <c r="F16" s="4"/>
      <c r="G16" s="113" t="s">
        <v>398</v>
      </c>
      <c r="H16" s="4"/>
      <c r="I16" s="113" t="s">
        <v>386</v>
      </c>
      <c r="J16" s="1" t="s">
        <v>187</v>
      </c>
      <c r="K16" s="110" t="s">
        <v>399</v>
      </c>
      <c r="L16" s="4"/>
      <c r="M16" s="115" t="s">
        <v>379</v>
      </c>
      <c r="N16" s="4"/>
      <c r="O16" s="110" t="s">
        <v>400</v>
      </c>
      <c r="P16" s="4"/>
      <c r="Q16" s="115" t="s">
        <v>379</v>
      </c>
      <c r="R16" s="4"/>
      <c r="S16" s="115" t="s">
        <v>401</v>
      </c>
      <c r="T16" s="4"/>
      <c r="U16" s="110" t="s">
        <v>402</v>
      </c>
      <c r="V16" s="4"/>
      <c r="W16" s="116" t="s">
        <v>403</v>
      </c>
      <c r="X16" s="4"/>
      <c r="Y16" s="116" t="s">
        <v>404</v>
      </c>
      <c r="Z16" s="4"/>
      <c r="AA16" s="4"/>
      <c r="AB16" s="4"/>
      <c r="AC16" s="117" t="s">
        <v>312</v>
      </c>
      <c r="AD16" s="4"/>
      <c r="AE16" s="4"/>
      <c r="AF16" s="4"/>
      <c r="AG16" s="118" t="s">
        <v>405</v>
      </c>
      <c r="AH16" s="4"/>
      <c r="AI16" s="119" t="s">
        <v>406</v>
      </c>
    </row>
    <row r="17">
      <c r="A17" s="1" t="s">
        <v>407</v>
      </c>
      <c r="B17" s="1"/>
      <c r="C17" s="1"/>
      <c r="D17" s="4"/>
      <c r="E17" s="113" t="s">
        <v>408</v>
      </c>
      <c r="F17" s="4"/>
      <c r="G17" s="113" t="s">
        <v>409</v>
      </c>
      <c r="H17" s="4"/>
      <c r="I17" s="113" t="s">
        <v>409</v>
      </c>
      <c r="J17" s="1" t="s">
        <v>187</v>
      </c>
      <c r="K17" s="110" t="s">
        <v>361</v>
      </c>
      <c r="L17" s="4"/>
      <c r="M17" s="110" t="s">
        <v>392</v>
      </c>
      <c r="N17" s="4"/>
      <c r="O17" s="110" t="s">
        <v>410</v>
      </c>
      <c r="P17" s="4"/>
      <c r="Q17" s="110" t="s">
        <v>411</v>
      </c>
      <c r="R17" s="4"/>
      <c r="S17" s="110" t="s">
        <v>392</v>
      </c>
      <c r="T17" s="4"/>
      <c r="U17" s="110" t="s">
        <v>313</v>
      </c>
      <c r="V17" s="4"/>
      <c r="W17" s="116" t="s">
        <v>412</v>
      </c>
      <c r="X17" s="4"/>
      <c r="Y17" s="116" t="s">
        <v>413</v>
      </c>
      <c r="Z17" s="4"/>
      <c r="AA17" s="4"/>
      <c r="AB17" s="4"/>
      <c r="AC17" s="117" t="s">
        <v>329</v>
      </c>
      <c r="AD17" s="4"/>
      <c r="AE17" s="1" t="s">
        <v>414</v>
      </c>
      <c r="AF17" s="4"/>
      <c r="AG17" s="118" t="s">
        <v>415</v>
      </c>
      <c r="AH17" s="4"/>
      <c r="AI17" s="119" t="s">
        <v>416</v>
      </c>
    </row>
    <row r="18">
      <c r="A18" s="1" t="s">
        <v>417</v>
      </c>
      <c r="B18" s="1"/>
      <c r="C18" s="1" t="s">
        <v>323</v>
      </c>
      <c r="D18" s="4"/>
      <c r="F18" s="4"/>
      <c r="H18" s="4"/>
      <c r="J18" s="1" t="s">
        <v>187</v>
      </c>
      <c r="K18" s="110" t="s">
        <v>327</v>
      </c>
      <c r="L18" s="4"/>
      <c r="M18" s="110" t="s">
        <v>402</v>
      </c>
      <c r="N18" s="4"/>
      <c r="O18" s="110" t="s">
        <v>418</v>
      </c>
      <c r="P18" s="4"/>
      <c r="Q18" s="110" t="s">
        <v>392</v>
      </c>
      <c r="R18" s="4"/>
      <c r="S18" s="110" t="s">
        <v>419</v>
      </c>
      <c r="T18" s="4"/>
      <c r="U18" s="110" t="s">
        <v>420</v>
      </c>
      <c r="V18" s="4"/>
      <c r="W18" s="116" t="s">
        <v>421</v>
      </c>
      <c r="X18" s="4"/>
      <c r="Y18" s="116" t="s">
        <v>422</v>
      </c>
      <c r="Z18" s="4"/>
      <c r="AA18" s="4"/>
      <c r="AB18" s="4"/>
      <c r="AC18" s="4"/>
      <c r="AD18" s="4"/>
      <c r="AE18" s="118" t="s">
        <v>303</v>
      </c>
      <c r="AF18" s="4"/>
      <c r="AG18" s="118" t="s">
        <v>312</v>
      </c>
      <c r="AH18" s="4"/>
      <c r="AI18" s="119" t="s">
        <v>348</v>
      </c>
    </row>
    <row r="19">
      <c r="A19" s="1" t="s">
        <v>423</v>
      </c>
      <c r="B19" s="1"/>
      <c r="C19" s="114" t="s">
        <v>280</v>
      </c>
      <c r="D19" s="4"/>
      <c r="F19" s="4"/>
      <c r="H19" s="4"/>
      <c r="J19" s="1" t="s">
        <v>187</v>
      </c>
      <c r="K19" s="110" t="s">
        <v>347</v>
      </c>
      <c r="L19" s="4"/>
      <c r="M19" s="110" t="s">
        <v>424</v>
      </c>
      <c r="N19" s="4"/>
      <c r="O19" s="110" t="s">
        <v>425</v>
      </c>
      <c r="P19" s="4"/>
      <c r="Q19" s="110" t="s">
        <v>402</v>
      </c>
      <c r="R19" s="4"/>
      <c r="S19" s="110" t="s">
        <v>426</v>
      </c>
      <c r="T19" s="4"/>
      <c r="U19" s="110" t="s">
        <v>427</v>
      </c>
      <c r="V19" s="4"/>
      <c r="W19" s="116" t="s">
        <v>347</v>
      </c>
      <c r="X19" s="4"/>
      <c r="Y19" s="116" t="s">
        <v>428</v>
      </c>
      <c r="Z19" s="4"/>
      <c r="AA19" s="4"/>
      <c r="AB19" s="4"/>
      <c r="AC19" s="1" t="s">
        <v>429</v>
      </c>
      <c r="AD19" s="4"/>
      <c r="AE19" s="118" t="s">
        <v>320</v>
      </c>
      <c r="AF19" s="4"/>
      <c r="AG19" s="118" t="s">
        <v>422</v>
      </c>
      <c r="AH19" s="4"/>
      <c r="AI19" s="4"/>
    </row>
    <row r="20">
      <c r="A20" s="1" t="s">
        <v>430</v>
      </c>
      <c r="B20" s="4"/>
      <c r="C20" s="113" t="s">
        <v>339</v>
      </c>
      <c r="D20" s="4"/>
      <c r="E20" s="4"/>
      <c r="F20" s="4"/>
      <c r="G20" s="1" t="s">
        <v>385</v>
      </c>
      <c r="H20" s="4"/>
      <c r="J20" s="1" t="s">
        <v>187</v>
      </c>
      <c r="K20" s="110" t="s">
        <v>431</v>
      </c>
      <c r="L20" s="4"/>
      <c r="M20" s="110" t="s">
        <v>432</v>
      </c>
      <c r="N20" s="4"/>
      <c r="O20" s="110" t="s">
        <v>433</v>
      </c>
      <c r="P20" s="4"/>
      <c r="Q20" s="110" t="s">
        <v>424</v>
      </c>
      <c r="R20" s="4"/>
      <c r="S20" s="110" t="s">
        <v>434</v>
      </c>
      <c r="T20" s="4"/>
      <c r="U20" s="110" t="s">
        <v>405</v>
      </c>
      <c r="V20" s="4"/>
      <c r="W20" s="116" t="s">
        <v>435</v>
      </c>
      <c r="X20" s="4"/>
      <c r="Y20" s="116" t="s">
        <v>436</v>
      </c>
      <c r="Z20" s="4"/>
      <c r="AA20" s="4"/>
      <c r="AB20" s="4"/>
      <c r="AC20" s="117" t="s">
        <v>437</v>
      </c>
      <c r="AD20" s="4"/>
      <c r="AE20" s="118" t="s">
        <v>335</v>
      </c>
      <c r="AF20" s="4"/>
      <c r="AG20" s="118" t="s">
        <v>362</v>
      </c>
      <c r="AH20" s="4"/>
      <c r="AI20" s="1" t="s">
        <v>438</v>
      </c>
    </row>
    <row r="21">
      <c r="A21" s="1"/>
      <c r="B21" s="4"/>
      <c r="C21" s="113" t="s">
        <v>385</v>
      </c>
      <c r="D21" s="4"/>
      <c r="E21" s="1" t="s">
        <v>439</v>
      </c>
      <c r="F21" s="4"/>
      <c r="G21" s="114" t="s">
        <v>440</v>
      </c>
      <c r="H21" s="4"/>
      <c r="I21" s="1" t="s">
        <v>385</v>
      </c>
      <c r="J21" s="1" t="s">
        <v>187</v>
      </c>
      <c r="K21" s="110" t="s">
        <v>441</v>
      </c>
      <c r="L21" s="4"/>
      <c r="M21" s="110" t="s">
        <v>313</v>
      </c>
      <c r="N21" s="4"/>
      <c r="O21" s="110" t="s">
        <v>442</v>
      </c>
      <c r="P21" s="4"/>
      <c r="Q21" s="110" t="s">
        <v>432</v>
      </c>
      <c r="R21" s="4"/>
      <c r="S21" s="110" t="s">
        <v>427</v>
      </c>
      <c r="T21" s="4"/>
      <c r="U21" s="4"/>
      <c r="V21" s="4"/>
      <c r="W21" s="116" t="s">
        <v>443</v>
      </c>
      <c r="X21" s="4"/>
      <c r="Y21" s="116" t="s">
        <v>329</v>
      </c>
      <c r="Z21" s="4"/>
      <c r="AA21" s="4"/>
      <c r="AB21" s="4"/>
      <c r="AC21" s="117" t="s">
        <v>444</v>
      </c>
      <c r="AD21" s="4"/>
      <c r="AE21" s="118" t="s">
        <v>327</v>
      </c>
      <c r="AF21" s="4"/>
      <c r="AG21" s="118" t="s">
        <v>436</v>
      </c>
      <c r="AH21" s="4"/>
      <c r="AI21" s="119" t="s">
        <v>422</v>
      </c>
    </row>
    <row r="22">
      <c r="A22" s="1"/>
      <c r="B22" s="1" t="s">
        <v>187</v>
      </c>
      <c r="C22" s="113" t="s">
        <v>396</v>
      </c>
      <c r="D22" s="4"/>
      <c r="E22" s="114" t="s">
        <v>445</v>
      </c>
      <c r="F22" s="4"/>
      <c r="G22" s="113" t="s">
        <v>446</v>
      </c>
      <c r="H22" s="4"/>
      <c r="I22" s="114" t="s">
        <v>447</v>
      </c>
      <c r="J22" s="4"/>
      <c r="K22" s="4"/>
      <c r="L22" s="4"/>
      <c r="M22" s="110" t="s">
        <v>420</v>
      </c>
      <c r="N22" s="4"/>
      <c r="O22" s="110" t="s">
        <v>448</v>
      </c>
      <c r="P22" s="4"/>
      <c r="Q22" s="110" t="s">
        <v>420</v>
      </c>
      <c r="R22" s="4"/>
      <c r="S22" s="110" t="s">
        <v>449</v>
      </c>
      <c r="T22" s="4"/>
      <c r="U22" s="111" t="s">
        <v>450</v>
      </c>
      <c r="V22" s="4"/>
      <c r="W22" s="4"/>
      <c r="X22" s="4"/>
      <c r="Y22" s="116" t="s">
        <v>342</v>
      </c>
      <c r="Z22" s="4"/>
      <c r="AA22" s="4"/>
      <c r="AB22" s="4"/>
      <c r="AC22" s="4"/>
      <c r="AD22" s="4"/>
      <c r="AE22" s="118" t="s">
        <v>355</v>
      </c>
      <c r="AF22" s="4"/>
      <c r="AG22" s="118" t="s">
        <v>329</v>
      </c>
      <c r="AH22" s="4"/>
      <c r="AI22" s="119" t="s">
        <v>329</v>
      </c>
    </row>
    <row r="23">
      <c r="A23" s="4"/>
      <c r="B23" s="1" t="s">
        <v>187</v>
      </c>
      <c r="D23" s="4"/>
      <c r="E23" s="113" t="s">
        <v>328</v>
      </c>
      <c r="F23" s="4"/>
      <c r="G23" s="113" t="s">
        <v>451</v>
      </c>
      <c r="H23" s="4"/>
      <c r="I23" s="113" t="s">
        <v>347</v>
      </c>
      <c r="J23" s="4"/>
      <c r="K23" s="1" t="s">
        <v>452</v>
      </c>
      <c r="L23" s="4"/>
      <c r="M23" s="110" t="s">
        <v>453</v>
      </c>
      <c r="N23" s="4"/>
      <c r="O23" s="110" t="s">
        <v>454</v>
      </c>
      <c r="P23" s="4"/>
      <c r="Q23" s="110" t="s">
        <v>453</v>
      </c>
      <c r="R23" s="4"/>
      <c r="S23" s="110" t="s">
        <v>321</v>
      </c>
      <c r="T23" s="4"/>
      <c r="U23" s="115" t="s">
        <v>296</v>
      </c>
      <c r="V23" s="4"/>
      <c r="W23" s="4"/>
      <c r="X23" s="4"/>
      <c r="Y23" s="4"/>
      <c r="Z23" s="4"/>
      <c r="AA23" s="4"/>
      <c r="AB23" s="4"/>
      <c r="AC23" s="4"/>
      <c r="AD23" s="4"/>
      <c r="AE23" s="118" t="s">
        <v>365</v>
      </c>
      <c r="AF23" s="4"/>
      <c r="AG23" s="118" t="s">
        <v>342</v>
      </c>
      <c r="AH23" s="4"/>
      <c r="AI23" s="119" t="s">
        <v>342</v>
      </c>
    </row>
    <row r="24">
      <c r="A24" s="1" t="s">
        <v>186</v>
      </c>
      <c r="B24" s="1" t="s">
        <v>187</v>
      </c>
      <c r="D24" s="4"/>
      <c r="E24" s="113" t="s">
        <v>332</v>
      </c>
      <c r="F24" s="4"/>
      <c r="G24" s="113" t="s">
        <v>455</v>
      </c>
      <c r="H24" s="4"/>
      <c r="I24" s="113" t="s">
        <v>440</v>
      </c>
      <c r="J24" s="1" t="s">
        <v>187</v>
      </c>
      <c r="K24" s="110" t="s">
        <v>456</v>
      </c>
      <c r="L24" s="4"/>
      <c r="M24" s="110" t="s">
        <v>457</v>
      </c>
      <c r="N24" s="4"/>
      <c r="O24" s="110" t="s">
        <v>458</v>
      </c>
      <c r="P24" s="4"/>
      <c r="Q24" s="110" t="s">
        <v>457</v>
      </c>
      <c r="R24" s="4"/>
      <c r="S24" s="110" t="s">
        <v>459</v>
      </c>
      <c r="T24" s="4"/>
      <c r="U24" s="110" t="s">
        <v>312</v>
      </c>
      <c r="V24" s="4"/>
      <c r="W24" s="4"/>
      <c r="X24" s="4"/>
      <c r="Y24" s="111" t="s">
        <v>460</v>
      </c>
      <c r="Z24" s="4"/>
      <c r="AA24" s="1" t="s">
        <v>461</v>
      </c>
      <c r="AB24" s="4"/>
      <c r="AC24" s="1" t="s">
        <v>462</v>
      </c>
      <c r="AD24" s="4"/>
      <c r="AE24" s="118" t="s">
        <v>374</v>
      </c>
      <c r="AF24" s="4"/>
      <c r="AG24" s="4"/>
      <c r="AH24" s="4"/>
      <c r="AI24" s="4"/>
    </row>
    <row r="25">
      <c r="A25" s="99" t="s">
        <v>463</v>
      </c>
      <c r="B25" s="1" t="s">
        <v>187</v>
      </c>
      <c r="D25" s="4"/>
      <c r="E25" s="113" t="s">
        <v>464</v>
      </c>
      <c r="F25" s="4"/>
      <c r="G25" s="113" t="s">
        <v>347</v>
      </c>
      <c r="H25" s="4"/>
      <c r="I25" s="113" t="s">
        <v>465</v>
      </c>
      <c r="J25" s="1" t="s">
        <v>187</v>
      </c>
      <c r="K25" s="110" t="s">
        <v>466</v>
      </c>
      <c r="L25" s="4"/>
      <c r="M25" s="110" t="s">
        <v>427</v>
      </c>
      <c r="N25" s="4"/>
      <c r="O25" s="110" t="s">
        <v>467</v>
      </c>
      <c r="P25" s="4"/>
      <c r="Q25" s="110" t="s">
        <v>427</v>
      </c>
      <c r="R25" s="4"/>
      <c r="S25" s="110" t="s">
        <v>405</v>
      </c>
      <c r="T25" s="4"/>
      <c r="U25" s="110" t="s">
        <v>468</v>
      </c>
      <c r="V25" s="4"/>
      <c r="W25" s="4"/>
      <c r="X25" s="4"/>
      <c r="Y25" s="116" t="s">
        <v>469</v>
      </c>
      <c r="Z25" s="4"/>
      <c r="AA25" s="117" t="s">
        <v>470</v>
      </c>
      <c r="AB25" s="4"/>
      <c r="AC25" s="117" t="s">
        <v>471</v>
      </c>
      <c r="AD25" s="4"/>
      <c r="AE25" s="118" t="s">
        <v>347</v>
      </c>
      <c r="AF25" s="4"/>
      <c r="AG25" s="1" t="s">
        <v>472</v>
      </c>
      <c r="AH25" s="4"/>
      <c r="AI25" s="1" t="s">
        <v>473</v>
      </c>
    </row>
    <row r="26">
      <c r="A26" s="1" t="s">
        <v>474</v>
      </c>
      <c r="B26" s="1"/>
      <c r="D26" s="4"/>
      <c r="E26" s="4"/>
      <c r="F26" s="4"/>
      <c r="H26" s="4"/>
      <c r="I26" s="113" t="s">
        <v>451</v>
      </c>
      <c r="J26" s="1" t="s">
        <v>187</v>
      </c>
      <c r="K26" s="110" t="s">
        <v>311</v>
      </c>
      <c r="L26" s="4"/>
      <c r="M26" s="110" t="s">
        <v>449</v>
      </c>
      <c r="N26" s="4"/>
      <c r="O26" s="110" t="s">
        <v>475</v>
      </c>
      <c r="P26" s="4"/>
      <c r="Q26" s="110" t="s">
        <v>449</v>
      </c>
      <c r="R26" s="4"/>
      <c r="S26" s="110" t="s">
        <v>476</v>
      </c>
      <c r="T26" s="4"/>
      <c r="U26" s="110" t="s">
        <v>329</v>
      </c>
      <c r="V26" s="4"/>
      <c r="W26" s="4"/>
      <c r="X26" s="4"/>
      <c r="Y26" s="4"/>
      <c r="Z26" s="4"/>
      <c r="AA26" s="117" t="s">
        <v>477</v>
      </c>
      <c r="AB26" s="4"/>
      <c r="AC26" s="117" t="s">
        <v>478</v>
      </c>
      <c r="AD26" s="4"/>
      <c r="AE26" s="4"/>
      <c r="AF26" s="4"/>
      <c r="AG26" s="118" t="s">
        <v>479</v>
      </c>
      <c r="AH26" s="4"/>
      <c r="AI26" s="119" t="s">
        <v>480</v>
      </c>
    </row>
    <row r="27">
      <c r="A27" s="1" t="s">
        <v>481</v>
      </c>
      <c r="B27" s="1" t="s">
        <v>187</v>
      </c>
      <c r="D27" s="4"/>
      <c r="E27" s="1" t="s">
        <v>482</v>
      </c>
      <c r="F27" s="4"/>
      <c r="G27" s="1" t="s">
        <v>396</v>
      </c>
      <c r="H27" s="4"/>
      <c r="I27" s="113" t="s">
        <v>455</v>
      </c>
      <c r="J27" s="1" t="s">
        <v>187</v>
      </c>
      <c r="K27" s="110" t="s">
        <v>483</v>
      </c>
      <c r="L27" s="4"/>
      <c r="M27" s="110" t="s">
        <v>405</v>
      </c>
      <c r="N27" s="4"/>
      <c r="O27" s="110" t="s">
        <v>484</v>
      </c>
      <c r="P27" s="4"/>
      <c r="Q27" s="110" t="s">
        <v>405</v>
      </c>
      <c r="R27" s="4"/>
      <c r="S27" s="110" t="s">
        <v>485</v>
      </c>
      <c r="T27" s="4"/>
      <c r="U27" s="110" t="s">
        <v>342</v>
      </c>
      <c r="V27" s="4"/>
      <c r="W27" s="4"/>
      <c r="X27" s="4"/>
      <c r="Y27" s="111" t="s">
        <v>486</v>
      </c>
      <c r="Z27" s="4"/>
      <c r="AA27" s="117" t="s">
        <v>487</v>
      </c>
      <c r="AB27" s="4"/>
      <c r="AC27" s="4"/>
      <c r="AD27" s="4"/>
      <c r="AE27" s="4"/>
      <c r="AF27" s="4"/>
      <c r="AG27" s="118" t="s">
        <v>480</v>
      </c>
      <c r="AH27" s="4"/>
      <c r="AI27" s="119" t="s">
        <v>488</v>
      </c>
    </row>
    <row r="28">
      <c r="A28" s="1" t="s">
        <v>489</v>
      </c>
      <c r="B28" s="1" t="s">
        <v>187</v>
      </c>
      <c r="D28" s="4"/>
      <c r="E28" s="114" t="s">
        <v>296</v>
      </c>
      <c r="F28" s="4"/>
      <c r="G28" s="114" t="s">
        <v>490</v>
      </c>
      <c r="H28" s="4"/>
      <c r="J28" s="1" t="s">
        <v>187</v>
      </c>
      <c r="K28" s="110" t="s">
        <v>327</v>
      </c>
      <c r="L28" s="4"/>
      <c r="M28" s="110" t="s">
        <v>491</v>
      </c>
      <c r="N28" s="4"/>
      <c r="O28" s="110" t="s">
        <v>350</v>
      </c>
      <c r="P28" s="4"/>
      <c r="Q28" s="110" t="s">
        <v>475</v>
      </c>
      <c r="R28" s="4"/>
      <c r="S28" s="110" t="s">
        <v>492</v>
      </c>
      <c r="T28" s="4"/>
      <c r="U28" s="4"/>
      <c r="V28" s="4"/>
      <c r="W28" s="4"/>
      <c r="X28" s="4"/>
      <c r="Y28" s="116" t="s">
        <v>327</v>
      </c>
      <c r="Z28" s="4"/>
      <c r="AA28" s="117" t="s">
        <v>327</v>
      </c>
      <c r="AB28" s="4"/>
      <c r="AC28" s="1" t="s">
        <v>493</v>
      </c>
      <c r="AD28" s="4"/>
      <c r="AE28" s="1" t="s">
        <v>494</v>
      </c>
      <c r="AF28" s="4"/>
      <c r="AG28" s="118" t="s">
        <v>495</v>
      </c>
      <c r="AH28" s="4"/>
      <c r="AI28" s="119" t="s">
        <v>496</v>
      </c>
    </row>
    <row r="29">
      <c r="A29" s="1" t="s">
        <v>497</v>
      </c>
      <c r="B29" s="1" t="s">
        <v>187</v>
      </c>
      <c r="D29" s="4"/>
      <c r="E29" s="113" t="s">
        <v>498</v>
      </c>
      <c r="F29" s="4"/>
      <c r="G29" s="113" t="s">
        <v>324</v>
      </c>
      <c r="H29" s="4"/>
      <c r="I29" s="1"/>
      <c r="J29" s="1" t="s">
        <v>187</v>
      </c>
      <c r="K29" s="110" t="s">
        <v>499</v>
      </c>
      <c r="L29" s="4"/>
      <c r="M29" s="110" t="s">
        <v>500</v>
      </c>
      <c r="N29" s="4"/>
      <c r="O29" s="110" t="s">
        <v>501</v>
      </c>
      <c r="P29" s="4"/>
      <c r="Q29" s="110" t="s">
        <v>491</v>
      </c>
      <c r="R29" s="4"/>
      <c r="S29" s="110" t="s">
        <v>502</v>
      </c>
      <c r="T29" s="4"/>
      <c r="U29" s="111" t="s">
        <v>503</v>
      </c>
      <c r="V29" s="4"/>
      <c r="W29" s="4"/>
      <c r="X29" s="4"/>
      <c r="Y29" s="116" t="s">
        <v>504</v>
      </c>
      <c r="Z29" s="4"/>
      <c r="AA29" s="117" t="s">
        <v>505</v>
      </c>
      <c r="AB29" s="4"/>
      <c r="AC29" s="117" t="s">
        <v>364</v>
      </c>
      <c r="AD29" s="4"/>
      <c r="AE29" s="118" t="s">
        <v>303</v>
      </c>
      <c r="AF29" s="4"/>
      <c r="AG29" s="118" t="s">
        <v>506</v>
      </c>
      <c r="AH29" s="4"/>
      <c r="AI29" s="119" t="s">
        <v>507</v>
      </c>
    </row>
    <row r="30">
      <c r="A30" s="1" t="s">
        <v>508</v>
      </c>
      <c r="B30" s="1" t="s">
        <v>187</v>
      </c>
      <c r="D30" s="4"/>
      <c r="E30" s="113" t="s">
        <v>405</v>
      </c>
      <c r="F30" s="4"/>
      <c r="G30" s="113" t="s">
        <v>509</v>
      </c>
      <c r="H30" s="4"/>
      <c r="J30" s="1" t="s">
        <v>187</v>
      </c>
      <c r="K30" s="110" t="s">
        <v>510</v>
      </c>
      <c r="L30" s="4"/>
      <c r="M30" s="110" t="s">
        <v>511</v>
      </c>
      <c r="N30" s="4"/>
      <c r="O30" s="4"/>
      <c r="P30" s="4"/>
      <c r="Q30" s="110" t="s">
        <v>500</v>
      </c>
      <c r="R30" s="4"/>
      <c r="S30" s="4"/>
      <c r="T30" s="4"/>
      <c r="U30" s="115" t="s">
        <v>364</v>
      </c>
      <c r="V30" s="4"/>
      <c r="W30" s="4"/>
      <c r="X30" s="4"/>
      <c r="Y30" s="4"/>
      <c r="Z30" s="4"/>
      <c r="AA30" s="117" t="s">
        <v>347</v>
      </c>
      <c r="AB30" s="4"/>
      <c r="AC30" s="117" t="s">
        <v>512</v>
      </c>
      <c r="AD30" s="4"/>
      <c r="AE30" s="118" t="s">
        <v>320</v>
      </c>
      <c r="AF30" s="4"/>
      <c r="AG30" s="118" t="s">
        <v>488</v>
      </c>
      <c r="AH30" s="4"/>
      <c r="AI30" s="119" t="s">
        <v>513</v>
      </c>
    </row>
    <row r="31">
      <c r="A31" s="1" t="s">
        <v>514</v>
      </c>
      <c r="B31" s="1" t="s">
        <v>187</v>
      </c>
      <c r="D31" s="4"/>
      <c r="E31" s="113" t="s">
        <v>312</v>
      </c>
      <c r="F31" s="4"/>
      <c r="G31" s="113" t="s">
        <v>515</v>
      </c>
      <c r="H31" s="4"/>
      <c r="I31" s="1" t="s">
        <v>396</v>
      </c>
      <c r="J31" s="1" t="s">
        <v>187</v>
      </c>
      <c r="K31" s="110" t="s">
        <v>347</v>
      </c>
      <c r="L31" s="4"/>
      <c r="M31" s="110" t="s">
        <v>516</v>
      </c>
      <c r="N31" s="4"/>
      <c r="O31" s="111" t="s">
        <v>517</v>
      </c>
      <c r="P31" s="4"/>
      <c r="Q31" s="110" t="s">
        <v>511</v>
      </c>
      <c r="R31" s="4"/>
      <c r="S31" s="111" t="s">
        <v>518</v>
      </c>
      <c r="T31" s="4"/>
      <c r="U31" s="110" t="s">
        <v>420</v>
      </c>
      <c r="V31" s="4"/>
      <c r="W31" s="4"/>
      <c r="X31" s="4"/>
      <c r="Y31" s="111" t="s">
        <v>519</v>
      </c>
      <c r="Z31" s="4"/>
      <c r="AA31" s="4"/>
      <c r="AB31" s="4"/>
      <c r="AC31" s="117" t="s">
        <v>373</v>
      </c>
      <c r="AD31" s="4"/>
      <c r="AE31" s="118" t="s">
        <v>335</v>
      </c>
      <c r="AF31" s="4"/>
      <c r="AG31" s="118" t="s">
        <v>520</v>
      </c>
      <c r="AH31" s="4"/>
      <c r="AI31" s="119" t="s">
        <v>521</v>
      </c>
    </row>
    <row r="32">
      <c r="A32" s="1" t="s">
        <v>522</v>
      </c>
      <c r="B32" s="1"/>
      <c r="C32" s="1"/>
      <c r="D32" s="4"/>
      <c r="E32" s="113" t="s">
        <v>422</v>
      </c>
      <c r="F32" s="4"/>
      <c r="G32" s="113" t="s">
        <v>523</v>
      </c>
      <c r="H32" s="4"/>
      <c r="I32" s="114" t="s">
        <v>524</v>
      </c>
      <c r="J32" s="1" t="s">
        <v>187</v>
      </c>
      <c r="K32" s="110" t="s">
        <v>525</v>
      </c>
      <c r="L32" s="4"/>
      <c r="M32" s="110" t="s">
        <v>526</v>
      </c>
      <c r="N32" s="4"/>
      <c r="O32" s="110" t="s">
        <v>527</v>
      </c>
      <c r="P32" s="4"/>
      <c r="Q32" s="110" t="s">
        <v>484</v>
      </c>
      <c r="R32" s="4"/>
      <c r="S32" s="115" t="s">
        <v>296</v>
      </c>
      <c r="T32" s="4"/>
      <c r="U32" s="110" t="s">
        <v>528</v>
      </c>
      <c r="V32" s="4"/>
      <c r="W32" s="4"/>
      <c r="X32" s="4"/>
      <c r="Y32" s="116" t="s">
        <v>364</v>
      </c>
      <c r="Z32" s="4"/>
      <c r="AA32" s="4"/>
      <c r="AB32" s="4"/>
      <c r="AC32" s="117" t="s">
        <v>529</v>
      </c>
      <c r="AD32" s="4"/>
      <c r="AE32" s="118" t="s">
        <v>327</v>
      </c>
      <c r="AF32" s="4"/>
      <c r="AG32" s="118" t="s">
        <v>530</v>
      </c>
      <c r="AH32" s="4"/>
      <c r="AI32" s="119" t="s">
        <v>531</v>
      </c>
    </row>
    <row r="33">
      <c r="A33" s="1" t="s">
        <v>532</v>
      </c>
      <c r="B33" s="1"/>
      <c r="C33" s="1"/>
      <c r="D33" s="4"/>
      <c r="E33" s="113" t="s">
        <v>533</v>
      </c>
      <c r="F33" s="4"/>
      <c r="G33" s="113" t="s">
        <v>534</v>
      </c>
      <c r="H33" s="4"/>
      <c r="I33" s="113" t="s">
        <v>535</v>
      </c>
      <c r="J33" s="1" t="s">
        <v>187</v>
      </c>
      <c r="K33" s="110" t="s">
        <v>536</v>
      </c>
      <c r="L33" s="4"/>
      <c r="M33" s="4"/>
      <c r="N33" s="4"/>
      <c r="O33" s="4"/>
      <c r="P33" s="4"/>
      <c r="Q33" s="110" t="s">
        <v>516</v>
      </c>
      <c r="R33" s="4"/>
      <c r="S33" s="110" t="s">
        <v>498</v>
      </c>
      <c r="T33" s="4"/>
      <c r="U33" s="4"/>
      <c r="V33" s="4"/>
      <c r="W33" s="4"/>
      <c r="X33" s="4"/>
      <c r="Y33" s="116" t="s">
        <v>315</v>
      </c>
      <c r="Z33" s="4"/>
      <c r="AA33" s="4"/>
      <c r="AB33" s="4"/>
      <c r="AC33" s="117" t="s">
        <v>537</v>
      </c>
      <c r="AD33" s="4"/>
      <c r="AE33" s="118" t="s">
        <v>355</v>
      </c>
      <c r="AF33" s="4"/>
      <c r="AG33" s="118" t="s">
        <v>538</v>
      </c>
      <c r="AH33" s="4"/>
      <c r="AI33" s="4"/>
    </row>
    <row r="34">
      <c r="B34" s="4"/>
      <c r="C34" s="4"/>
      <c r="D34" s="4"/>
      <c r="E34" s="113" t="s">
        <v>539</v>
      </c>
      <c r="F34" s="4"/>
      <c r="G34" s="1"/>
      <c r="H34" s="4"/>
      <c r="I34" s="113" t="s">
        <v>540</v>
      </c>
      <c r="J34" s="4"/>
      <c r="K34" s="4"/>
      <c r="L34" s="4"/>
      <c r="M34" s="111" t="s">
        <v>311</v>
      </c>
      <c r="N34" s="4"/>
      <c r="O34" s="1" t="s">
        <v>541</v>
      </c>
      <c r="P34" s="4"/>
      <c r="Q34" s="110" t="s">
        <v>526</v>
      </c>
      <c r="R34" s="4"/>
      <c r="S34" s="110" t="s">
        <v>542</v>
      </c>
      <c r="T34" s="4"/>
      <c r="U34" s="111" t="s">
        <v>543</v>
      </c>
      <c r="V34" s="4"/>
      <c r="W34" s="4"/>
      <c r="X34" s="4"/>
      <c r="Y34" s="116" t="s">
        <v>544</v>
      </c>
      <c r="Z34" s="4"/>
      <c r="AA34" s="4"/>
      <c r="AB34" s="4"/>
      <c r="AC34" s="4"/>
      <c r="AD34" s="4"/>
      <c r="AE34" s="118" t="s">
        <v>365</v>
      </c>
      <c r="AF34" s="4"/>
      <c r="AG34" s="118" t="s">
        <v>545</v>
      </c>
      <c r="AH34" s="4"/>
      <c r="AI34" s="4"/>
    </row>
    <row r="35">
      <c r="A35" s="1" t="s">
        <v>193</v>
      </c>
      <c r="B35" s="4"/>
      <c r="C35" s="1"/>
      <c r="D35" s="4"/>
      <c r="E35" s="113" t="s">
        <v>546</v>
      </c>
      <c r="F35" s="4"/>
      <c r="G35" s="1"/>
      <c r="H35" s="4"/>
      <c r="I35" s="113" t="s">
        <v>547</v>
      </c>
      <c r="J35" s="4"/>
      <c r="K35" s="1" t="s">
        <v>548</v>
      </c>
      <c r="L35" s="4"/>
      <c r="M35" s="115" t="s">
        <v>296</v>
      </c>
      <c r="N35" s="4"/>
      <c r="O35" s="115" t="s">
        <v>549</v>
      </c>
      <c r="P35" s="4"/>
      <c r="Q35" s="110" t="s">
        <v>501</v>
      </c>
      <c r="R35" s="4"/>
      <c r="S35" s="110" t="s">
        <v>550</v>
      </c>
      <c r="T35" s="4"/>
      <c r="U35" s="115" t="s">
        <v>364</v>
      </c>
      <c r="V35" s="4"/>
      <c r="W35" s="4"/>
      <c r="X35" s="4"/>
      <c r="Y35" s="116" t="s">
        <v>551</v>
      </c>
      <c r="Z35" s="4"/>
      <c r="AA35" s="4"/>
      <c r="AB35" s="4"/>
      <c r="AC35" s="1" t="s">
        <v>552</v>
      </c>
      <c r="AD35" s="4"/>
      <c r="AE35" s="118" t="s">
        <v>374</v>
      </c>
      <c r="AF35" s="4"/>
      <c r="AG35" s="118" t="s">
        <v>553</v>
      </c>
      <c r="AH35" s="4"/>
      <c r="AI35" s="4"/>
    </row>
    <row r="36">
      <c r="A36" s="1" t="s">
        <v>554</v>
      </c>
      <c r="D36" s="4"/>
      <c r="E36" s="113" t="s">
        <v>436</v>
      </c>
      <c r="F36" s="4"/>
      <c r="H36" s="4"/>
      <c r="I36" s="113" t="s">
        <v>509</v>
      </c>
      <c r="J36" s="1" t="s">
        <v>187</v>
      </c>
      <c r="K36" s="110" t="s">
        <v>555</v>
      </c>
      <c r="L36" s="4"/>
      <c r="M36" s="110" t="s">
        <v>529</v>
      </c>
      <c r="N36" s="4"/>
      <c r="O36" s="110" t="s">
        <v>556</v>
      </c>
      <c r="P36" s="4"/>
      <c r="Q36" s="4"/>
      <c r="R36" s="4"/>
      <c r="S36" s="110" t="s">
        <v>422</v>
      </c>
      <c r="T36" s="4"/>
      <c r="U36" s="110" t="s">
        <v>557</v>
      </c>
      <c r="V36" s="4"/>
      <c r="W36" s="4"/>
      <c r="X36" s="4"/>
      <c r="Y36" s="116" t="s">
        <v>558</v>
      </c>
      <c r="Z36" s="4"/>
      <c r="AA36" s="4"/>
      <c r="AB36" s="4"/>
      <c r="AC36" s="117" t="s">
        <v>296</v>
      </c>
      <c r="AD36" s="4"/>
      <c r="AE36" s="118" t="s">
        <v>347</v>
      </c>
      <c r="AF36" s="4"/>
      <c r="AG36" s="118" t="s">
        <v>559</v>
      </c>
      <c r="AH36" s="4"/>
      <c r="AI36" s="4"/>
    </row>
    <row r="37">
      <c r="A37" s="1"/>
      <c r="D37" s="4"/>
      <c r="E37" s="113" t="s">
        <v>329</v>
      </c>
      <c r="F37" s="4"/>
      <c r="H37" s="4"/>
      <c r="I37" s="113" t="s">
        <v>560</v>
      </c>
      <c r="J37" s="1" t="s">
        <v>187</v>
      </c>
      <c r="K37" s="110" t="s">
        <v>561</v>
      </c>
      <c r="L37" s="4"/>
      <c r="M37" s="110" t="s">
        <v>312</v>
      </c>
      <c r="N37" s="4"/>
      <c r="O37" s="4"/>
      <c r="P37" s="4"/>
      <c r="Q37" s="111" t="s">
        <v>562</v>
      </c>
      <c r="R37" s="4"/>
      <c r="S37" s="110" t="s">
        <v>563</v>
      </c>
      <c r="T37" s="4"/>
      <c r="U37" s="110" t="s">
        <v>564</v>
      </c>
      <c r="V37" s="4"/>
      <c r="W37" s="4"/>
      <c r="X37" s="4"/>
      <c r="Y37" s="116" t="s">
        <v>528</v>
      </c>
      <c r="Z37" s="4"/>
      <c r="AA37" s="4"/>
      <c r="AB37" s="4"/>
      <c r="AC37" s="117" t="s">
        <v>312</v>
      </c>
      <c r="AD37" s="4"/>
      <c r="AE37" s="4"/>
      <c r="AF37" s="4"/>
      <c r="AG37" s="118" t="s">
        <v>565</v>
      </c>
      <c r="AH37" s="4"/>
      <c r="AI37" s="4"/>
    </row>
    <row r="38">
      <c r="A38" s="1" t="s">
        <v>566</v>
      </c>
      <c r="D38" s="4"/>
      <c r="E38" s="113" t="s">
        <v>342</v>
      </c>
      <c r="F38" s="4"/>
      <c r="H38" s="4"/>
      <c r="I38" s="113" t="s">
        <v>455</v>
      </c>
      <c r="J38" s="1" t="s">
        <v>187</v>
      </c>
      <c r="K38" s="110" t="s">
        <v>567</v>
      </c>
      <c r="L38" s="4"/>
      <c r="M38" s="110" t="s">
        <v>563</v>
      </c>
      <c r="N38" s="4"/>
      <c r="O38" s="4"/>
      <c r="P38" s="4"/>
      <c r="Q38" s="115" t="s">
        <v>378</v>
      </c>
      <c r="R38" s="4"/>
      <c r="S38" s="110" t="s">
        <v>468</v>
      </c>
      <c r="T38" s="4"/>
      <c r="U38" s="110" t="s">
        <v>568</v>
      </c>
      <c r="V38" s="4"/>
      <c r="W38" s="4"/>
      <c r="X38" s="4"/>
      <c r="Y38" s="116" t="s">
        <v>569</v>
      </c>
      <c r="Z38" s="4"/>
      <c r="AA38" s="4"/>
      <c r="AB38" s="4"/>
      <c r="AC38" s="4"/>
      <c r="AD38" s="4"/>
      <c r="AE38" s="4"/>
      <c r="AF38" s="4"/>
      <c r="AG38" s="118" t="s">
        <v>570</v>
      </c>
      <c r="AH38" s="4"/>
      <c r="AI38" s="4"/>
    </row>
    <row r="39">
      <c r="A39" s="1" t="s">
        <v>288</v>
      </c>
      <c r="D39" s="4"/>
      <c r="E39" s="4"/>
      <c r="F39" s="4"/>
      <c r="H39" s="4"/>
      <c r="I39" s="113" t="s">
        <v>515</v>
      </c>
      <c r="J39" s="1" t="s">
        <v>187</v>
      </c>
      <c r="K39" s="110" t="s">
        <v>327</v>
      </c>
      <c r="L39" s="4"/>
      <c r="M39" s="110" t="s">
        <v>468</v>
      </c>
      <c r="N39" s="4"/>
      <c r="O39" s="4"/>
      <c r="P39" s="4"/>
      <c r="Q39" s="110" t="s">
        <v>389</v>
      </c>
      <c r="R39" s="4"/>
      <c r="S39" s="110" t="s">
        <v>436</v>
      </c>
      <c r="T39" s="4"/>
      <c r="U39" s="110" t="s">
        <v>528</v>
      </c>
      <c r="V39" s="4"/>
      <c r="W39" s="4"/>
      <c r="X39" s="4"/>
      <c r="Y39" s="116" t="s">
        <v>571</v>
      </c>
      <c r="Z39" s="4"/>
      <c r="AA39" s="4"/>
      <c r="AB39" s="4"/>
      <c r="AC39" s="1" t="s">
        <v>572</v>
      </c>
      <c r="AD39" s="4"/>
      <c r="AE39" s="1" t="s">
        <v>573</v>
      </c>
      <c r="AF39" s="4"/>
      <c r="AG39" s="118" t="s">
        <v>507</v>
      </c>
      <c r="AH39" s="4"/>
      <c r="AI39" s="4"/>
    </row>
    <row r="40">
      <c r="A40" s="1" t="s">
        <v>574</v>
      </c>
      <c r="D40" s="4"/>
      <c r="E40" s="1" t="s">
        <v>575</v>
      </c>
      <c r="F40" s="4"/>
      <c r="G40" s="4"/>
      <c r="H40" s="4"/>
      <c r="J40" s="1" t="s">
        <v>187</v>
      </c>
      <c r="K40" s="110" t="s">
        <v>576</v>
      </c>
      <c r="L40" s="4"/>
      <c r="M40" s="110" t="s">
        <v>329</v>
      </c>
      <c r="N40" s="4"/>
      <c r="O40" s="4"/>
      <c r="P40" s="4"/>
      <c r="Q40" s="110" t="s">
        <v>400</v>
      </c>
      <c r="R40" s="4"/>
      <c r="S40" s="110" t="s">
        <v>329</v>
      </c>
      <c r="T40" s="4"/>
      <c r="U40" s="4"/>
      <c r="V40" s="4"/>
      <c r="W40" s="4"/>
      <c r="X40" s="4"/>
      <c r="Y40" s="4"/>
      <c r="Z40" s="4"/>
      <c r="AA40" s="4"/>
      <c r="AB40" s="4"/>
      <c r="AC40" s="117" t="s">
        <v>444</v>
      </c>
      <c r="AD40" s="4"/>
      <c r="AE40" s="118" t="s">
        <v>303</v>
      </c>
      <c r="AF40" s="4"/>
      <c r="AG40" s="118" t="s">
        <v>577</v>
      </c>
      <c r="AH40" s="4"/>
      <c r="AI40" s="4"/>
    </row>
    <row r="41">
      <c r="A41" s="1" t="s">
        <v>578</v>
      </c>
      <c r="D41" s="4"/>
      <c r="E41" s="114" t="s">
        <v>579</v>
      </c>
      <c r="F41" s="4"/>
      <c r="G41" s="1"/>
      <c r="H41" s="4"/>
      <c r="J41" s="1" t="s">
        <v>187</v>
      </c>
      <c r="K41" s="110" t="s">
        <v>347</v>
      </c>
      <c r="L41" s="4"/>
      <c r="M41" s="110" t="s">
        <v>342</v>
      </c>
      <c r="N41" s="4"/>
      <c r="O41" s="4"/>
      <c r="P41" s="4"/>
      <c r="Q41" s="110" t="s">
        <v>410</v>
      </c>
      <c r="R41" s="4"/>
      <c r="S41" s="110" t="s">
        <v>342</v>
      </c>
      <c r="T41" s="4"/>
      <c r="U41" s="111" t="s">
        <v>580</v>
      </c>
      <c r="V41" s="4"/>
      <c r="W41" s="4"/>
      <c r="X41" s="4"/>
      <c r="Y41" s="111" t="s">
        <v>581</v>
      </c>
      <c r="Z41" s="4"/>
      <c r="AA41" s="4"/>
      <c r="AB41" s="4"/>
      <c r="AC41" s="117" t="s">
        <v>582</v>
      </c>
      <c r="AD41" s="4"/>
      <c r="AE41" s="118" t="s">
        <v>320</v>
      </c>
      <c r="AF41" s="4"/>
      <c r="AG41" s="118" t="s">
        <v>583</v>
      </c>
      <c r="AH41" s="4"/>
      <c r="AI41" s="4"/>
    </row>
    <row r="42">
      <c r="A42" s="1" t="s">
        <v>461</v>
      </c>
      <c r="B42" s="1"/>
      <c r="C42" s="1"/>
      <c r="D42" s="4"/>
      <c r="E42" s="113" t="s">
        <v>584</v>
      </c>
      <c r="F42" s="4"/>
      <c r="G42" s="1"/>
      <c r="H42" s="4"/>
      <c r="J42" s="1" t="s">
        <v>187</v>
      </c>
      <c r="K42" s="110" t="s">
        <v>585</v>
      </c>
      <c r="L42" s="4"/>
      <c r="M42" s="4"/>
      <c r="N42" s="4"/>
      <c r="O42" s="4"/>
      <c r="P42" s="4"/>
      <c r="Q42" s="110" t="s">
        <v>418</v>
      </c>
      <c r="R42" s="4"/>
      <c r="S42" s="4"/>
      <c r="T42" s="4"/>
      <c r="U42" s="115" t="s">
        <v>549</v>
      </c>
      <c r="V42" s="4"/>
      <c r="W42" s="4"/>
      <c r="X42" s="4"/>
      <c r="Y42" s="116" t="s">
        <v>586</v>
      </c>
      <c r="Z42" s="4"/>
      <c r="AA42" s="4"/>
      <c r="AB42" s="4"/>
      <c r="AC42" s="117" t="s">
        <v>587</v>
      </c>
      <c r="AD42" s="4"/>
      <c r="AE42" s="118" t="s">
        <v>335</v>
      </c>
      <c r="AF42" s="4"/>
      <c r="AG42" s="118" t="s">
        <v>588</v>
      </c>
      <c r="AH42" s="4"/>
      <c r="AI42" s="4"/>
    </row>
    <row r="43">
      <c r="A43" s="1" t="s">
        <v>589</v>
      </c>
      <c r="B43" s="1"/>
      <c r="C43" s="1"/>
      <c r="D43" s="4"/>
      <c r="E43" s="113" t="s">
        <v>590</v>
      </c>
      <c r="F43" s="4"/>
      <c r="G43" s="1"/>
      <c r="H43" s="4"/>
      <c r="J43" s="1" t="s">
        <v>187</v>
      </c>
      <c r="K43" s="110" t="s">
        <v>591</v>
      </c>
      <c r="L43" s="4"/>
      <c r="M43" s="111" t="s">
        <v>592</v>
      </c>
      <c r="N43" s="4"/>
      <c r="O43" s="4"/>
      <c r="P43" s="4"/>
      <c r="Q43" s="110" t="s">
        <v>425</v>
      </c>
      <c r="R43" s="4"/>
      <c r="S43" s="111" t="s">
        <v>593</v>
      </c>
      <c r="T43" s="4"/>
      <c r="U43" s="110" t="s">
        <v>556</v>
      </c>
      <c r="V43" s="4"/>
      <c r="W43" s="4"/>
      <c r="X43" s="4"/>
      <c r="Y43" s="4"/>
      <c r="Z43" s="4"/>
      <c r="AA43" s="4"/>
      <c r="AB43" s="4"/>
      <c r="AC43" s="4"/>
      <c r="AD43" s="4"/>
      <c r="AE43" s="118" t="s">
        <v>327</v>
      </c>
      <c r="AF43" s="4"/>
      <c r="AG43" s="118" t="s">
        <v>594</v>
      </c>
      <c r="AH43" s="4"/>
      <c r="AI43" s="4"/>
    </row>
    <row r="44">
      <c r="B44" s="1"/>
      <c r="C44" s="1"/>
      <c r="D44" s="4"/>
      <c r="E44" s="113" t="s">
        <v>595</v>
      </c>
      <c r="F44" s="4"/>
      <c r="G44" s="1"/>
      <c r="H44" s="4"/>
      <c r="J44" s="4"/>
      <c r="K44" s="4"/>
      <c r="L44" s="4"/>
      <c r="M44" s="115" t="s">
        <v>364</v>
      </c>
      <c r="N44" s="4"/>
      <c r="O44" s="4"/>
      <c r="P44" s="4"/>
      <c r="Q44" s="110" t="s">
        <v>433</v>
      </c>
      <c r="R44" s="4"/>
      <c r="S44" s="115" t="s">
        <v>364</v>
      </c>
      <c r="T44" s="4"/>
      <c r="U44" s="4"/>
      <c r="V44" s="4"/>
      <c r="W44" s="4"/>
      <c r="X44" s="4"/>
      <c r="Y44" s="1" t="s">
        <v>596</v>
      </c>
      <c r="Z44" s="4"/>
      <c r="AA44" s="4"/>
      <c r="AB44" s="4"/>
      <c r="AC44" s="4"/>
      <c r="AD44" s="4"/>
      <c r="AE44" s="118" t="s">
        <v>355</v>
      </c>
      <c r="AF44" s="4"/>
      <c r="AG44" s="118" t="s">
        <v>597</v>
      </c>
      <c r="AH44" s="4"/>
      <c r="AI44" s="4"/>
    </row>
    <row r="45">
      <c r="A45" s="1" t="s">
        <v>207</v>
      </c>
      <c r="B45" s="1"/>
      <c r="C45" s="1"/>
      <c r="D45" s="4"/>
      <c r="E45" s="113" t="s">
        <v>598</v>
      </c>
      <c r="F45" s="4"/>
      <c r="G45" s="1"/>
      <c r="H45" s="4"/>
      <c r="I45" s="4"/>
      <c r="J45" s="4"/>
      <c r="K45" s="1" t="s">
        <v>599</v>
      </c>
      <c r="L45" s="4"/>
      <c r="M45" s="110" t="s">
        <v>600</v>
      </c>
      <c r="N45" s="4"/>
      <c r="O45" s="4"/>
      <c r="P45" s="4"/>
      <c r="Q45" s="110" t="s">
        <v>601</v>
      </c>
      <c r="R45" s="4"/>
      <c r="S45" s="110" t="s">
        <v>600</v>
      </c>
      <c r="T45" s="4"/>
      <c r="U45" s="4"/>
      <c r="V45" s="4"/>
      <c r="W45" s="4"/>
      <c r="X45" s="4"/>
      <c r="Y45" s="116" t="s">
        <v>602</v>
      </c>
      <c r="Z45" s="4"/>
      <c r="AA45" s="4"/>
      <c r="AB45" s="4"/>
      <c r="AC45" s="4"/>
      <c r="AD45" s="4"/>
      <c r="AE45" s="118" t="s">
        <v>365</v>
      </c>
      <c r="AF45" s="4"/>
      <c r="AG45" s="118" t="s">
        <v>603</v>
      </c>
      <c r="AH45" s="4"/>
      <c r="AI45" s="4"/>
    </row>
    <row r="46">
      <c r="A46" s="1" t="s">
        <v>604</v>
      </c>
      <c r="B46" s="1"/>
      <c r="C46" s="1"/>
      <c r="D46" s="4"/>
      <c r="E46" s="113" t="s">
        <v>605</v>
      </c>
      <c r="F46" s="4"/>
      <c r="G46" s="1"/>
      <c r="H46" s="4"/>
      <c r="I46" s="1"/>
      <c r="J46" s="1" t="s">
        <v>187</v>
      </c>
      <c r="K46" s="110" t="s">
        <v>555</v>
      </c>
      <c r="L46" s="4"/>
      <c r="M46" s="110" t="s">
        <v>419</v>
      </c>
      <c r="N46" s="4"/>
      <c r="O46" s="4"/>
      <c r="P46" s="4"/>
      <c r="Q46" s="110" t="s">
        <v>442</v>
      </c>
      <c r="R46" s="4"/>
      <c r="S46" s="110" t="s">
        <v>606</v>
      </c>
      <c r="T46" s="4"/>
      <c r="U46" s="4"/>
      <c r="V46" s="4"/>
      <c r="W46" s="4"/>
      <c r="X46" s="4"/>
      <c r="Y46" s="116" t="s">
        <v>607</v>
      </c>
      <c r="Z46" s="4"/>
      <c r="AA46" s="4"/>
      <c r="AB46" s="4"/>
      <c r="AC46" s="4"/>
      <c r="AD46" s="4"/>
      <c r="AE46" s="118" t="s">
        <v>374</v>
      </c>
      <c r="AF46" s="4"/>
      <c r="AG46" s="118" t="s">
        <v>608</v>
      </c>
      <c r="AH46" s="4"/>
      <c r="AI46" s="4"/>
    </row>
    <row r="47">
      <c r="A47" s="1" t="s">
        <v>609</v>
      </c>
      <c r="B47" s="1"/>
      <c r="C47" s="1"/>
      <c r="D47" s="4"/>
      <c r="E47" s="113" t="s">
        <v>610</v>
      </c>
      <c r="F47" s="4"/>
      <c r="G47" s="1"/>
      <c r="H47" s="4"/>
      <c r="I47" s="1"/>
      <c r="J47" s="1" t="s">
        <v>187</v>
      </c>
      <c r="K47" s="110" t="s">
        <v>561</v>
      </c>
      <c r="L47" s="4"/>
      <c r="M47" s="110" t="s">
        <v>611</v>
      </c>
      <c r="N47" s="4"/>
      <c r="O47" s="4"/>
      <c r="P47" s="4"/>
      <c r="Q47" s="110" t="s">
        <v>454</v>
      </c>
      <c r="R47" s="4"/>
      <c r="S47" s="110" t="s">
        <v>528</v>
      </c>
      <c r="T47" s="4"/>
      <c r="U47" s="4"/>
      <c r="V47" s="4"/>
      <c r="W47" s="4"/>
      <c r="X47" s="4"/>
      <c r="Y47" s="116" t="s">
        <v>612</v>
      </c>
      <c r="Z47" s="4"/>
      <c r="AA47" s="4"/>
      <c r="AB47" s="4"/>
      <c r="AC47" s="4"/>
      <c r="AD47" s="4"/>
      <c r="AE47" s="118" t="s">
        <v>347</v>
      </c>
      <c r="AF47" s="4"/>
      <c r="AG47" s="118" t="s">
        <v>613</v>
      </c>
      <c r="AH47" s="4"/>
      <c r="AI47" s="4"/>
    </row>
    <row r="48">
      <c r="B48" s="4"/>
      <c r="C48" s="1"/>
      <c r="D48" s="4"/>
      <c r="E48" s="4"/>
      <c r="F48" s="4"/>
      <c r="G48" s="1"/>
      <c r="H48" s="4"/>
      <c r="I48" s="1"/>
      <c r="J48" s="1" t="s">
        <v>187</v>
      </c>
      <c r="K48" s="110" t="s">
        <v>567</v>
      </c>
      <c r="L48" s="4"/>
      <c r="M48" s="110" t="s">
        <v>614</v>
      </c>
      <c r="N48" s="4"/>
      <c r="O48" s="4"/>
      <c r="P48" s="4"/>
      <c r="Q48" s="110" t="s">
        <v>458</v>
      </c>
      <c r="R48" s="4"/>
      <c r="S48" s="4"/>
      <c r="T48" s="4"/>
      <c r="U48" s="4"/>
      <c r="V48" s="4"/>
      <c r="W48" s="4"/>
      <c r="X48" s="4"/>
      <c r="Y48" s="116" t="s">
        <v>615</v>
      </c>
      <c r="Z48" s="4"/>
      <c r="AA48" s="4"/>
      <c r="AB48" s="4"/>
      <c r="AC48" s="4"/>
      <c r="AD48" s="4"/>
      <c r="AE48" s="4"/>
      <c r="AF48" s="4"/>
      <c r="AG48" s="118" t="s">
        <v>616</v>
      </c>
      <c r="AH48" s="4"/>
      <c r="AI48" s="4"/>
    </row>
    <row r="49">
      <c r="A49" s="1"/>
      <c r="B49" s="4"/>
      <c r="D49" s="4"/>
      <c r="E49" s="1" t="s">
        <v>327</v>
      </c>
      <c r="F49" s="4"/>
      <c r="G49" s="1"/>
      <c r="H49" s="4"/>
      <c r="I49" s="1"/>
      <c r="J49" s="1" t="s">
        <v>187</v>
      </c>
      <c r="K49" s="110" t="s">
        <v>327</v>
      </c>
      <c r="L49" s="4"/>
      <c r="M49" s="110" t="s">
        <v>420</v>
      </c>
      <c r="N49" s="4"/>
      <c r="O49" s="4"/>
      <c r="P49" s="4"/>
      <c r="Q49" s="110" t="s">
        <v>467</v>
      </c>
      <c r="R49" s="4"/>
      <c r="S49" s="111" t="s">
        <v>617</v>
      </c>
      <c r="T49" s="4"/>
      <c r="U49" s="4"/>
      <c r="V49" s="4"/>
      <c r="W49" s="4"/>
      <c r="X49" s="4"/>
      <c r="Y49" s="116" t="s">
        <v>618</v>
      </c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>
      <c r="A50" s="1"/>
      <c r="B50" s="1" t="s">
        <v>187</v>
      </c>
      <c r="D50" s="4"/>
      <c r="E50" s="114" t="s">
        <v>327</v>
      </c>
      <c r="F50" s="4"/>
      <c r="G50" s="1"/>
      <c r="H50" s="4"/>
      <c r="I50" s="1"/>
      <c r="J50" s="1" t="s">
        <v>187</v>
      </c>
      <c r="K50" s="110" t="s">
        <v>576</v>
      </c>
      <c r="L50" s="4"/>
      <c r="M50" s="110" t="s">
        <v>619</v>
      </c>
      <c r="N50" s="4"/>
      <c r="O50" s="4"/>
      <c r="P50" s="4"/>
      <c r="Q50" s="110" t="s">
        <v>475</v>
      </c>
      <c r="R50" s="4"/>
      <c r="S50" s="115" t="s">
        <v>620</v>
      </c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1" t="s">
        <v>621</v>
      </c>
      <c r="AF50" s="4"/>
      <c r="AG50" s="4"/>
      <c r="AH50" s="4"/>
      <c r="AI50" s="4"/>
    </row>
    <row r="51">
      <c r="A51" s="1"/>
      <c r="B51" s="1" t="s">
        <v>187</v>
      </c>
      <c r="D51" s="4"/>
      <c r="E51" s="113" t="s">
        <v>504</v>
      </c>
      <c r="F51" s="4"/>
      <c r="G51" s="1"/>
      <c r="H51" s="4"/>
      <c r="I51" s="1"/>
      <c r="J51" s="1" t="s">
        <v>187</v>
      </c>
      <c r="K51" s="110" t="s">
        <v>347</v>
      </c>
      <c r="L51" s="4"/>
      <c r="M51" s="110" t="s">
        <v>606</v>
      </c>
      <c r="N51" s="4"/>
      <c r="O51" s="4"/>
      <c r="P51" s="4"/>
      <c r="Q51" s="110" t="s">
        <v>501</v>
      </c>
      <c r="R51" s="4"/>
      <c r="S51" s="110" t="s">
        <v>315</v>
      </c>
      <c r="T51" s="4"/>
      <c r="U51" s="4"/>
      <c r="V51" s="4"/>
      <c r="W51" s="4"/>
      <c r="X51" s="4"/>
      <c r="Y51" s="1" t="s">
        <v>622</v>
      </c>
      <c r="Z51" s="4"/>
      <c r="AA51" s="4"/>
      <c r="AB51" s="4"/>
      <c r="AC51" s="4"/>
      <c r="AD51" s="4"/>
      <c r="AE51" s="118" t="s">
        <v>303</v>
      </c>
      <c r="AF51" s="4"/>
      <c r="AG51" s="4"/>
      <c r="AH51" s="4"/>
      <c r="AI51" s="4"/>
    </row>
    <row r="52">
      <c r="A52" s="1"/>
      <c r="B52" s="1" t="s">
        <v>187</v>
      </c>
      <c r="D52" s="4"/>
      <c r="E52" s="4"/>
      <c r="F52" s="4"/>
      <c r="G52" s="1"/>
      <c r="H52" s="4"/>
      <c r="I52" s="1"/>
      <c r="J52" s="1" t="s">
        <v>187</v>
      </c>
      <c r="K52" s="110" t="s">
        <v>585</v>
      </c>
      <c r="L52" s="4"/>
      <c r="M52" s="110" t="s">
        <v>528</v>
      </c>
      <c r="N52" s="4"/>
      <c r="O52" s="4"/>
      <c r="P52" s="4"/>
      <c r="Q52" s="4"/>
      <c r="R52" s="4"/>
      <c r="S52" s="110" t="s">
        <v>527</v>
      </c>
      <c r="T52" s="4"/>
      <c r="U52" s="4"/>
      <c r="V52" s="4"/>
      <c r="W52" s="4"/>
      <c r="X52" s="4"/>
      <c r="Y52" s="116" t="s">
        <v>623</v>
      </c>
      <c r="Z52" s="4"/>
      <c r="AA52" s="4"/>
      <c r="AB52" s="4"/>
      <c r="AC52" s="4"/>
      <c r="AD52" s="4"/>
      <c r="AE52" s="118" t="s">
        <v>320</v>
      </c>
      <c r="AF52" s="4"/>
      <c r="AG52" s="4"/>
      <c r="AH52" s="4"/>
      <c r="AI52" s="4"/>
    </row>
    <row r="53">
      <c r="A53" s="1"/>
      <c r="B53" s="1" t="s">
        <v>187</v>
      </c>
      <c r="D53" s="4"/>
      <c r="E53" s="1" t="s">
        <v>308</v>
      </c>
      <c r="F53" s="4"/>
      <c r="G53" s="4"/>
      <c r="H53" s="4"/>
      <c r="I53" s="1"/>
      <c r="J53" s="1" t="s">
        <v>187</v>
      </c>
      <c r="K53" s="110" t="s">
        <v>591</v>
      </c>
      <c r="L53" s="4"/>
      <c r="M53" s="110" t="s">
        <v>321</v>
      </c>
      <c r="N53" s="4"/>
      <c r="O53" s="4"/>
      <c r="P53" s="4"/>
      <c r="Q53" s="111" t="s">
        <v>624</v>
      </c>
      <c r="R53" s="4"/>
      <c r="S53" s="110" t="s">
        <v>625</v>
      </c>
      <c r="T53" s="4"/>
      <c r="U53" s="4"/>
      <c r="V53" s="4"/>
      <c r="W53" s="4"/>
      <c r="X53" s="4"/>
      <c r="Y53" s="116" t="s">
        <v>626</v>
      </c>
      <c r="Z53" s="4"/>
      <c r="AA53" s="4"/>
      <c r="AB53" s="4"/>
      <c r="AC53" s="4"/>
      <c r="AD53" s="4"/>
      <c r="AE53" s="118" t="s">
        <v>335</v>
      </c>
      <c r="AF53" s="4"/>
      <c r="AG53" s="4"/>
      <c r="AH53" s="4"/>
      <c r="AI53" s="4"/>
    </row>
    <row r="54">
      <c r="A54" s="4"/>
      <c r="B54" s="1" t="s">
        <v>187</v>
      </c>
      <c r="D54" s="4"/>
      <c r="E54" s="114" t="s">
        <v>551</v>
      </c>
      <c r="F54" s="4"/>
      <c r="G54" s="1"/>
      <c r="H54" s="4"/>
      <c r="I54" s="1"/>
      <c r="J54" s="4"/>
      <c r="K54" s="4"/>
      <c r="L54" s="4"/>
      <c r="M54" s="4"/>
      <c r="N54" s="4"/>
      <c r="O54" s="4"/>
      <c r="P54" s="4"/>
      <c r="Q54" s="115" t="s">
        <v>364</v>
      </c>
      <c r="R54" s="4"/>
      <c r="S54" s="110" t="s">
        <v>350</v>
      </c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118" t="s">
        <v>327</v>
      </c>
      <c r="AF54" s="4"/>
      <c r="AG54" s="1" t="s">
        <v>627</v>
      </c>
      <c r="AH54" s="4"/>
      <c r="AI54" s="4"/>
    </row>
    <row r="55">
      <c r="A55" s="1"/>
      <c r="B55" s="1" t="s">
        <v>187</v>
      </c>
      <c r="D55" s="4"/>
      <c r="E55" s="113" t="s">
        <v>321</v>
      </c>
      <c r="F55" s="4"/>
      <c r="G55" s="1"/>
      <c r="H55" s="4"/>
      <c r="I55" s="1"/>
      <c r="J55" s="4"/>
      <c r="K55" s="1" t="s">
        <v>628</v>
      </c>
      <c r="L55" s="4"/>
      <c r="M55" s="111" t="s">
        <v>629</v>
      </c>
      <c r="N55" s="4"/>
      <c r="O55" s="4"/>
      <c r="P55" s="4"/>
      <c r="Q55" s="110" t="s">
        <v>600</v>
      </c>
      <c r="R55" s="4"/>
      <c r="S55" s="4"/>
      <c r="T55" s="4"/>
      <c r="U55" s="4"/>
      <c r="V55" s="4"/>
      <c r="W55" s="4"/>
      <c r="X55" s="4"/>
      <c r="Y55" s="1" t="s">
        <v>630</v>
      </c>
      <c r="Z55" s="4"/>
      <c r="AA55" s="4"/>
      <c r="AB55" s="4"/>
      <c r="AC55" s="4"/>
      <c r="AD55" s="4"/>
      <c r="AE55" s="118" t="s">
        <v>355</v>
      </c>
      <c r="AF55" s="4"/>
      <c r="AG55" s="118" t="s">
        <v>364</v>
      </c>
      <c r="AH55" s="4"/>
      <c r="AI55" s="4"/>
    </row>
    <row r="56">
      <c r="A56" s="1"/>
      <c r="B56" s="1" t="s">
        <v>187</v>
      </c>
      <c r="D56" s="4"/>
      <c r="E56" s="113" t="s">
        <v>569</v>
      </c>
      <c r="F56" s="4"/>
      <c r="G56" s="1"/>
      <c r="H56" s="4"/>
      <c r="I56" s="4"/>
      <c r="J56" s="1" t="s">
        <v>187</v>
      </c>
      <c r="K56" s="110" t="s">
        <v>555</v>
      </c>
      <c r="L56" s="4"/>
      <c r="M56" s="115" t="s">
        <v>364</v>
      </c>
      <c r="N56" s="4"/>
      <c r="O56" s="4"/>
      <c r="P56" s="4"/>
      <c r="Q56" s="110" t="s">
        <v>419</v>
      </c>
      <c r="R56" s="4"/>
      <c r="S56" s="111" t="s">
        <v>631</v>
      </c>
      <c r="T56" s="4"/>
      <c r="U56" s="4"/>
      <c r="V56" s="4"/>
      <c r="W56" s="4"/>
      <c r="X56" s="4"/>
      <c r="Y56" s="116" t="s">
        <v>632</v>
      </c>
      <c r="Z56" s="4"/>
      <c r="AA56" s="4"/>
      <c r="AB56" s="4"/>
      <c r="AC56" s="4"/>
      <c r="AD56" s="4"/>
      <c r="AE56" s="118" t="s">
        <v>365</v>
      </c>
      <c r="AF56" s="4"/>
      <c r="AG56" s="118" t="s">
        <v>633</v>
      </c>
      <c r="AH56" s="4"/>
      <c r="AI56" s="4"/>
    </row>
    <row r="57">
      <c r="A57" s="1"/>
      <c r="B57" s="1" t="s">
        <v>187</v>
      </c>
      <c r="D57" s="4"/>
      <c r="E57" s="4"/>
      <c r="F57" s="4"/>
      <c r="G57" s="1"/>
      <c r="H57" s="4"/>
      <c r="I57" s="4"/>
      <c r="J57" s="1" t="s">
        <v>187</v>
      </c>
      <c r="K57" s="110" t="s">
        <v>561</v>
      </c>
      <c r="L57" s="4"/>
      <c r="M57" s="110" t="s">
        <v>634</v>
      </c>
      <c r="N57" s="4"/>
      <c r="O57" s="4"/>
      <c r="P57" s="4"/>
      <c r="Q57" s="110" t="s">
        <v>611</v>
      </c>
      <c r="R57" s="4"/>
      <c r="S57" s="115" t="s">
        <v>549</v>
      </c>
      <c r="T57" s="4"/>
      <c r="U57" s="4"/>
      <c r="V57" s="4"/>
      <c r="W57" s="4"/>
      <c r="X57" s="4"/>
      <c r="Y57" s="116" t="s">
        <v>635</v>
      </c>
      <c r="Z57" s="4"/>
      <c r="AA57" s="4"/>
      <c r="AB57" s="4"/>
      <c r="AC57" s="4"/>
      <c r="AD57" s="4"/>
      <c r="AE57" s="118" t="s">
        <v>374</v>
      </c>
      <c r="AF57" s="4"/>
      <c r="AG57" s="118" t="s">
        <v>636</v>
      </c>
      <c r="AH57" s="4"/>
      <c r="AI57" s="4"/>
    </row>
    <row r="58">
      <c r="A58" s="4"/>
      <c r="B58" s="1" t="s">
        <v>187</v>
      </c>
      <c r="D58" s="4"/>
      <c r="E58" s="1" t="s">
        <v>637</v>
      </c>
      <c r="F58" s="4"/>
      <c r="G58" s="1"/>
      <c r="H58" s="4"/>
      <c r="I58" s="4"/>
      <c r="J58" s="1" t="s">
        <v>187</v>
      </c>
      <c r="K58" s="110" t="s">
        <v>567</v>
      </c>
      <c r="L58" s="4"/>
      <c r="M58" s="110" t="s">
        <v>315</v>
      </c>
      <c r="N58" s="4"/>
      <c r="O58" s="4"/>
      <c r="P58" s="4"/>
      <c r="Q58" s="110" t="s">
        <v>614</v>
      </c>
      <c r="R58" s="4"/>
      <c r="S58" s="110" t="s">
        <v>638</v>
      </c>
      <c r="T58" s="4"/>
      <c r="U58" s="4"/>
      <c r="V58" s="4"/>
      <c r="W58" s="4"/>
      <c r="X58" s="4"/>
      <c r="Y58" s="116" t="s">
        <v>639</v>
      </c>
      <c r="Z58" s="4"/>
      <c r="AA58" s="4"/>
      <c r="AB58" s="4"/>
      <c r="AC58" s="4"/>
      <c r="AD58" s="4"/>
      <c r="AE58" s="118" t="s">
        <v>347</v>
      </c>
      <c r="AF58" s="4"/>
      <c r="AG58" s="118" t="s">
        <v>420</v>
      </c>
      <c r="AH58" s="4"/>
      <c r="AI58" s="4"/>
    </row>
    <row r="59">
      <c r="A59" s="1"/>
      <c r="B59" s="1" t="s">
        <v>187</v>
      </c>
      <c r="D59" s="4"/>
      <c r="E59" s="114" t="s">
        <v>640</v>
      </c>
      <c r="F59" s="4"/>
      <c r="G59" s="4"/>
      <c r="H59" s="4"/>
      <c r="I59" s="4"/>
      <c r="J59" s="1" t="s">
        <v>187</v>
      </c>
      <c r="K59" s="110" t="s">
        <v>327</v>
      </c>
      <c r="L59" s="4"/>
      <c r="M59" s="110" t="s">
        <v>527</v>
      </c>
      <c r="N59" s="4"/>
      <c r="O59" s="4"/>
      <c r="P59" s="4"/>
      <c r="Q59" s="110" t="s">
        <v>420</v>
      </c>
      <c r="R59" s="4"/>
      <c r="S59" s="4"/>
      <c r="T59" s="4"/>
      <c r="U59" s="4"/>
      <c r="V59" s="4"/>
      <c r="W59" s="4"/>
      <c r="X59" s="4"/>
      <c r="Y59" s="116" t="s">
        <v>641</v>
      </c>
      <c r="Z59" s="4"/>
      <c r="AA59" s="4"/>
      <c r="AB59" s="4"/>
      <c r="AC59" s="4"/>
      <c r="AD59" s="4"/>
      <c r="AE59" s="4"/>
      <c r="AF59" s="4"/>
      <c r="AG59" s="118" t="s">
        <v>528</v>
      </c>
      <c r="AH59" s="4"/>
      <c r="AI59" s="4"/>
    </row>
    <row r="60">
      <c r="A60" s="1"/>
      <c r="B60" s="1" t="s">
        <v>187</v>
      </c>
      <c r="D60" s="4"/>
      <c r="E60" s="113" t="s">
        <v>444</v>
      </c>
      <c r="F60" s="4"/>
      <c r="G60" s="1"/>
      <c r="H60" s="4"/>
      <c r="I60" s="4"/>
      <c r="J60" s="1" t="s">
        <v>187</v>
      </c>
      <c r="K60" s="110" t="s">
        <v>576</v>
      </c>
      <c r="L60" s="4"/>
      <c r="M60" s="110" t="s">
        <v>349</v>
      </c>
      <c r="N60" s="4"/>
      <c r="O60" s="4"/>
      <c r="P60" s="4"/>
      <c r="Q60" s="110" t="s">
        <v>619</v>
      </c>
      <c r="R60" s="4"/>
      <c r="S60" s="111" t="s">
        <v>642</v>
      </c>
      <c r="T60" s="4"/>
      <c r="U60" s="4"/>
      <c r="V60" s="4"/>
      <c r="W60" s="4"/>
      <c r="X60" s="4"/>
      <c r="Y60" s="116" t="s">
        <v>643</v>
      </c>
      <c r="Z60" s="4"/>
      <c r="AA60" s="4"/>
      <c r="AB60" s="4"/>
      <c r="AC60" s="4"/>
      <c r="AD60" s="4"/>
      <c r="AE60" s="4"/>
      <c r="AF60" s="4"/>
      <c r="AG60" s="118" t="s">
        <v>644</v>
      </c>
      <c r="AH60" s="4"/>
      <c r="AI60" s="4"/>
    </row>
    <row r="61">
      <c r="A61" s="1"/>
      <c r="B61" s="4"/>
      <c r="D61" s="4"/>
      <c r="E61" s="113" t="s">
        <v>587</v>
      </c>
      <c r="F61" s="4"/>
      <c r="G61" s="1"/>
      <c r="H61" s="4"/>
      <c r="I61" s="4"/>
      <c r="J61" s="1" t="s">
        <v>187</v>
      </c>
      <c r="K61" s="110" t="s">
        <v>645</v>
      </c>
      <c r="L61" s="4"/>
      <c r="M61" s="4"/>
      <c r="N61" s="4"/>
      <c r="O61" s="4"/>
      <c r="P61" s="4"/>
      <c r="Q61" s="110" t="s">
        <v>606</v>
      </c>
      <c r="R61" s="4"/>
      <c r="S61" s="115" t="s">
        <v>513</v>
      </c>
      <c r="T61" s="4"/>
      <c r="U61" s="4"/>
      <c r="V61" s="4"/>
      <c r="W61" s="4"/>
      <c r="X61" s="4"/>
      <c r="Y61" s="116" t="s">
        <v>646</v>
      </c>
      <c r="Z61" s="4"/>
      <c r="AA61" s="4"/>
      <c r="AB61" s="4"/>
      <c r="AC61" s="4"/>
      <c r="AD61" s="4"/>
      <c r="AE61" s="4"/>
      <c r="AF61" s="4"/>
      <c r="AG61" s="118" t="s">
        <v>647</v>
      </c>
      <c r="AH61" s="4"/>
      <c r="AI61" s="4"/>
    </row>
    <row r="62">
      <c r="A62" s="4"/>
      <c r="B62" s="4"/>
      <c r="C62" s="4"/>
      <c r="D62" s="4"/>
      <c r="E62" s="4"/>
      <c r="F62" s="4"/>
      <c r="G62" s="1"/>
      <c r="H62" s="4"/>
      <c r="I62" s="4"/>
      <c r="J62" s="1" t="s">
        <v>187</v>
      </c>
      <c r="K62" s="110" t="s">
        <v>347</v>
      </c>
      <c r="L62" s="4"/>
      <c r="M62" s="111" t="s">
        <v>648</v>
      </c>
      <c r="N62" s="4"/>
      <c r="O62" s="4"/>
      <c r="P62" s="4"/>
      <c r="Q62" s="110" t="s">
        <v>528</v>
      </c>
      <c r="R62" s="4"/>
      <c r="S62" s="110" t="s">
        <v>649</v>
      </c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118" t="s">
        <v>529</v>
      </c>
      <c r="AH62" s="4"/>
      <c r="AI62" s="4"/>
    </row>
    <row r="63">
      <c r="A63" s="1"/>
      <c r="B63" s="4"/>
      <c r="C63" s="1"/>
      <c r="D63" s="4"/>
      <c r="E63" s="1" t="s">
        <v>650</v>
      </c>
      <c r="F63" s="4"/>
      <c r="G63" s="4"/>
      <c r="H63" s="4"/>
      <c r="I63" s="4"/>
      <c r="J63" s="1" t="s">
        <v>187</v>
      </c>
      <c r="K63" s="110" t="s">
        <v>585</v>
      </c>
      <c r="L63" s="4"/>
      <c r="M63" s="115" t="s">
        <v>549</v>
      </c>
      <c r="N63" s="4"/>
      <c r="O63" s="4"/>
      <c r="P63" s="4"/>
      <c r="Q63" s="110" t="s">
        <v>321</v>
      </c>
      <c r="R63" s="4"/>
      <c r="S63" s="110" t="s">
        <v>405</v>
      </c>
      <c r="T63" s="4"/>
      <c r="U63" s="4"/>
      <c r="V63" s="4"/>
      <c r="W63" s="4"/>
      <c r="X63" s="4"/>
      <c r="Y63" s="1" t="s">
        <v>651</v>
      </c>
      <c r="AB63" s="4"/>
      <c r="AC63" s="4"/>
      <c r="AD63" s="4"/>
      <c r="AE63" s="4"/>
      <c r="AF63" s="4"/>
      <c r="AG63" s="118" t="s">
        <v>652</v>
      </c>
      <c r="AH63" s="4"/>
      <c r="AI63" s="4"/>
    </row>
    <row r="64">
      <c r="A64" s="1"/>
      <c r="B64" s="4"/>
      <c r="C64" s="1"/>
      <c r="D64" s="4"/>
      <c r="E64" s="114" t="s">
        <v>653</v>
      </c>
      <c r="F64" s="4"/>
      <c r="G64" s="1"/>
      <c r="H64" s="4"/>
      <c r="I64" s="4"/>
      <c r="J64" s="1" t="s">
        <v>187</v>
      </c>
      <c r="K64" s="110" t="s">
        <v>591</v>
      </c>
      <c r="L64" s="4"/>
      <c r="M64" s="110" t="s">
        <v>556</v>
      </c>
      <c r="N64" s="4"/>
      <c r="O64" s="4"/>
      <c r="P64" s="4"/>
      <c r="Q64" s="4"/>
      <c r="R64" s="4"/>
      <c r="S64" s="110" t="s">
        <v>654</v>
      </c>
      <c r="T64" s="4"/>
      <c r="U64" s="4"/>
      <c r="V64" s="4"/>
      <c r="W64" s="4"/>
      <c r="X64" s="4"/>
      <c r="Y64" s="116" t="s">
        <v>655</v>
      </c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>
      <c r="A65" s="1"/>
      <c r="B65" s="4"/>
      <c r="C65" s="1"/>
      <c r="D65" s="4"/>
      <c r="E65" s="113" t="s">
        <v>656</v>
      </c>
      <c r="F65" s="4"/>
      <c r="G65" s="1"/>
      <c r="H65" s="4"/>
      <c r="I65" s="4"/>
      <c r="J65" s="4"/>
      <c r="K65" s="4"/>
      <c r="L65" s="4"/>
      <c r="M65" s="110" t="s">
        <v>657</v>
      </c>
      <c r="N65" s="4"/>
      <c r="O65" s="4"/>
      <c r="P65" s="4"/>
      <c r="Q65" s="111" t="s">
        <v>510</v>
      </c>
      <c r="R65" s="4"/>
      <c r="S65" s="4"/>
      <c r="T65" s="4"/>
      <c r="U65" s="4"/>
      <c r="V65" s="4"/>
      <c r="W65" s="4"/>
      <c r="X65" s="4"/>
      <c r="Y65" s="116" t="s">
        <v>565</v>
      </c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>
      <c r="A66" s="4"/>
      <c r="B66" s="4"/>
      <c r="C66" s="1"/>
      <c r="D66" s="4"/>
      <c r="E66" s="113" t="s">
        <v>658</v>
      </c>
      <c r="F66" s="4"/>
      <c r="G66" s="1"/>
      <c r="H66" s="4"/>
      <c r="I66" s="4"/>
      <c r="J66" s="4"/>
      <c r="K66" s="1" t="s">
        <v>659</v>
      </c>
      <c r="L66" s="4"/>
      <c r="M66" s="110" t="s">
        <v>660</v>
      </c>
      <c r="N66" s="4"/>
      <c r="O66" s="4"/>
      <c r="P66" s="4"/>
      <c r="Q66" s="115" t="s">
        <v>557</v>
      </c>
      <c r="R66" s="4"/>
      <c r="S66" s="4"/>
      <c r="T66" s="4"/>
      <c r="U66" s="4"/>
      <c r="V66" s="4"/>
      <c r="W66" s="4"/>
      <c r="X66" s="4"/>
      <c r="Y66" s="116" t="s">
        <v>661</v>
      </c>
      <c r="Z66" s="4"/>
      <c r="AA66" s="4"/>
      <c r="AB66" s="4"/>
      <c r="AC66" s="4"/>
      <c r="AD66" s="4"/>
      <c r="AE66" s="4"/>
      <c r="AF66" s="4"/>
      <c r="AG66" s="1" t="s">
        <v>662</v>
      </c>
      <c r="AH66" s="4"/>
      <c r="AI66" s="4"/>
    </row>
    <row r="67">
      <c r="A67" s="1"/>
      <c r="B67" s="4"/>
      <c r="C67" s="1"/>
      <c r="D67" s="4"/>
      <c r="E67" s="113" t="s">
        <v>663</v>
      </c>
      <c r="F67" s="4"/>
      <c r="G67" s="1"/>
      <c r="H67" s="4"/>
      <c r="I67" s="4"/>
      <c r="J67" s="1" t="s">
        <v>187</v>
      </c>
      <c r="K67" s="110" t="s">
        <v>664</v>
      </c>
      <c r="L67" s="4"/>
      <c r="M67" s="4"/>
      <c r="N67" s="4"/>
      <c r="O67" s="4"/>
      <c r="P67" s="4"/>
      <c r="Q67" s="110" t="s">
        <v>564</v>
      </c>
      <c r="R67" s="4"/>
      <c r="S67" s="4"/>
      <c r="T67" s="4"/>
      <c r="U67" s="4"/>
      <c r="V67" s="4"/>
      <c r="W67" s="4"/>
      <c r="X67" s="4"/>
      <c r="Y67" s="116" t="s">
        <v>665</v>
      </c>
      <c r="Z67" s="4"/>
      <c r="AA67" s="4"/>
      <c r="AB67" s="4"/>
      <c r="AC67" s="4"/>
      <c r="AD67" s="4"/>
      <c r="AE67" s="4"/>
      <c r="AF67" s="4"/>
      <c r="AG67" s="118" t="s">
        <v>666</v>
      </c>
      <c r="AH67" s="4"/>
      <c r="AI67" s="4"/>
    </row>
    <row r="68">
      <c r="A68" s="1"/>
      <c r="B68" s="4"/>
      <c r="C68" s="1"/>
      <c r="D68" s="4"/>
      <c r="E68" s="113" t="s">
        <v>667</v>
      </c>
      <c r="F68" s="4"/>
      <c r="G68" s="1"/>
      <c r="H68" s="4"/>
      <c r="I68" s="4"/>
      <c r="J68" s="1" t="s">
        <v>187</v>
      </c>
      <c r="K68" s="110" t="s">
        <v>668</v>
      </c>
      <c r="L68" s="4"/>
      <c r="M68" s="4"/>
      <c r="N68" s="4"/>
      <c r="O68" s="4"/>
      <c r="P68" s="4"/>
      <c r="Q68" s="110" t="s">
        <v>568</v>
      </c>
      <c r="R68" s="4"/>
      <c r="S68" s="4"/>
      <c r="T68" s="4"/>
      <c r="U68" s="4"/>
      <c r="V68" s="4"/>
      <c r="W68" s="4"/>
      <c r="X68" s="4"/>
      <c r="Y68" s="116" t="s">
        <v>669</v>
      </c>
      <c r="Z68" s="4"/>
      <c r="AA68" s="4"/>
      <c r="AB68" s="4"/>
      <c r="AC68" s="4"/>
      <c r="AD68" s="4"/>
      <c r="AE68" s="4"/>
      <c r="AF68" s="4"/>
      <c r="AG68" s="118" t="s">
        <v>670</v>
      </c>
      <c r="AH68" s="4"/>
      <c r="AI68" s="4"/>
    </row>
    <row r="69">
      <c r="A69" s="4"/>
      <c r="B69" s="4"/>
      <c r="C69" s="1"/>
      <c r="E69" s="113" t="s">
        <v>671</v>
      </c>
      <c r="F69" s="4"/>
      <c r="G69" s="4"/>
      <c r="H69" s="4"/>
      <c r="I69" s="4"/>
      <c r="J69" s="1" t="s">
        <v>187</v>
      </c>
      <c r="K69" s="110" t="s">
        <v>672</v>
      </c>
      <c r="L69" s="4"/>
      <c r="M69" s="4"/>
      <c r="N69" s="4"/>
      <c r="O69" s="4"/>
      <c r="P69" s="4"/>
      <c r="Q69" s="110" t="s">
        <v>528</v>
      </c>
      <c r="R69" s="4"/>
      <c r="S69" s="4"/>
      <c r="T69" s="4"/>
      <c r="U69" s="4"/>
      <c r="V69" s="4"/>
      <c r="W69" s="4"/>
      <c r="X69" s="4"/>
      <c r="Y69" s="116" t="s">
        <v>673</v>
      </c>
      <c r="Z69" s="4"/>
      <c r="AA69" s="4"/>
      <c r="AB69" s="4"/>
      <c r="AC69" s="4"/>
      <c r="AD69" s="4"/>
      <c r="AE69" s="4"/>
      <c r="AF69" s="4"/>
      <c r="AG69" s="118" t="s">
        <v>674</v>
      </c>
      <c r="AH69" s="4"/>
      <c r="AI69" s="4"/>
    </row>
    <row r="70">
      <c r="A70" s="1"/>
      <c r="B70" s="4"/>
      <c r="C70" s="1"/>
      <c r="D70" s="4"/>
      <c r="E70" s="113" t="s">
        <v>675</v>
      </c>
      <c r="F70" s="4"/>
      <c r="G70" s="1"/>
      <c r="H70" s="4"/>
      <c r="I70" s="4"/>
      <c r="J70" s="1" t="s">
        <v>187</v>
      </c>
      <c r="K70" s="110" t="s">
        <v>327</v>
      </c>
      <c r="L70" s="4"/>
      <c r="M70" s="4"/>
      <c r="N70" s="4"/>
      <c r="O70" s="4"/>
      <c r="P70" s="4"/>
      <c r="Q70" s="110" t="s">
        <v>676</v>
      </c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118" t="s">
        <v>677</v>
      </c>
      <c r="AH70" s="4"/>
      <c r="AI70" s="4"/>
    </row>
    <row r="71">
      <c r="A71" s="1"/>
      <c r="B71" s="4"/>
      <c r="C71" s="1"/>
      <c r="D71" s="4"/>
      <c r="E71" s="113" t="s">
        <v>678</v>
      </c>
      <c r="F71" s="4"/>
      <c r="G71" s="1"/>
      <c r="H71" s="4"/>
      <c r="I71" s="4"/>
      <c r="J71" s="1" t="s">
        <v>187</v>
      </c>
      <c r="K71" s="110" t="s">
        <v>679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1" t="s">
        <v>680</v>
      </c>
      <c r="Z71" s="4"/>
      <c r="AA71" s="4"/>
      <c r="AB71" s="4"/>
      <c r="AC71" s="4"/>
      <c r="AD71" s="4"/>
      <c r="AE71" s="4"/>
      <c r="AF71" s="4"/>
      <c r="AG71" s="118" t="s">
        <v>681</v>
      </c>
      <c r="AH71" s="4"/>
      <c r="AI71" s="4"/>
    </row>
    <row r="72">
      <c r="A72" s="4"/>
      <c r="B72" s="4"/>
      <c r="C72" s="1"/>
      <c r="D72" s="4"/>
      <c r="E72" s="113" t="s">
        <v>682</v>
      </c>
      <c r="F72" s="4"/>
      <c r="G72" s="1"/>
      <c r="H72" s="4"/>
      <c r="I72" s="4"/>
      <c r="J72" s="1" t="s">
        <v>187</v>
      </c>
      <c r="K72" s="120" t="s">
        <v>683</v>
      </c>
      <c r="L72" s="4"/>
      <c r="M72" s="4"/>
      <c r="N72" s="4"/>
      <c r="O72" s="4"/>
      <c r="P72" s="4"/>
      <c r="Q72" s="111" t="s">
        <v>684</v>
      </c>
      <c r="R72" s="4"/>
      <c r="S72" s="4"/>
      <c r="T72" s="4"/>
      <c r="U72" s="4"/>
      <c r="V72" s="4"/>
      <c r="W72" s="4"/>
      <c r="X72" s="4"/>
      <c r="Y72" s="116" t="s">
        <v>685</v>
      </c>
      <c r="Z72" s="4"/>
      <c r="AA72" s="4"/>
      <c r="AB72" s="4"/>
      <c r="AC72" s="4"/>
      <c r="AD72" s="4"/>
      <c r="AE72" s="4"/>
      <c r="AF72" s="4"/>
      <c r="AG72" s="118" t="s">
        <v>686</v>
      </c>
      <c r="AH72" s="4"/>
      <c r="AI72" s="4"/>
    </row>
    <row r="73">
      <c r="A73" s="1"/>
      <c r="B73" s="4"/>
      <c r="C73" s="1"/>
      <c r="D73" s="4"/>
      <c r="E73" s="4"/>
      <c r="F73" s="4"/>
      <c r="G73" s="4"/>
      <c r="H73" s="4"/>
      <c r="I73" s="4"/>
      <c r="J73" s="1" t="s">
        <v>187</v>
      </c>
      <c r="K73" s="110" t="s">
        <v>347</v>
      </c>
      <c r="L73" s="4"/>
      <c r="M73" s="4"/>
      <c r="N73" s="4"/>
      <c r="O73" s="4"/>
      <c r="P73" s="4"/>
      <c r="Q73" s="115" t="s">
        <v>364</v>
      </c>
      <c r="R73" s="4"/>
      <c r="S73" s="4"/>
      <c r="T73" s="4"/>
      <c r="U73" s="4"/>
      <c r="V73" s="4"/>
      <c r="W73" s="4"/>
      <c r="X73" s="4"/>
      <c r="Y73" s="116" t="s">
        <v>687</v>
      </c>
      <c r="Z73" s="4"/>
      <c r="AA73" s="4"/>
      <c r="AB73" s="4"/>
      <c r="AC73" s="4"/>
      <c r="AD73" s="4"/>
      <c r="AE73" s="4"/>
      <c r="AF73" s="4"/>
      <c r="AG73" s="118" t="s">
        <v>688</v>
      </c>
      <c r="AH73" s="4"/>
      <c r="AI73" s="4"/>
    </row>
    <row r="74">
      <c r="A74" s="1"/>
      <c r="B74" s="4"/>
      <c r="C74" s="1"/>
      <c r="D74" s="4"/>
      <c r="E74" s="1" t="s">
        <v>128</v>
      </c>
      <c r="F74" s="4"/>
      <c r="G74" s="1"/>
      <c r="H74" s="4"/>
      <c r="I74" s="4"/>
      <c r="J74" s="1" t="s">
        <v>187</v>
      </c>
      <c r="K74" s="110" t="s">
        <v>689</v>
      </c>
      <c r="L74" s="4"/>
      <c r="M74" s="4"/>
      <c r="N74" s="4"/>
      <c r="O74" s="4"/>
      <c r="P74" s="4"/>
      <c r="Q74" s="110" t="s">
        <v>634</v>
      </c>
      <c r="R74" s="4"/>
      <c r="S74" s="4"/>
      <c r="T74" s="4"/>
      <c r="U74" s="4"/>
      <c r="V74" s="4"/>
      <c r="W74" s="4"/>
      <c r="X74" s="4"/>
      <c r="Y74" s="116" t="s">
        <v>690</v>
      </c>
      <c r="Z74" s="4"/>
      <c r="AA74" s="4"/>
      <c r="AB74" s="4"/>
      <c r="AC74" s="4"/>
      <c r="AD74" s="4"/>
      <c r="AE74" s="4"/>
      <c r="AF74" s="4"/>
      <c r="AG74" s="118" t="s">
        <v>691</v>
      </c>
      <c r="AH74" s="4"/>
      <c r="AI74" s="4"/>
    </row>
    <row r="75">
      <c r="A75" s="4"/>
      <c r="B75" s="4"/>
      <c r="C75" s="4"/>
      <c r="D75" s="4"/>
      <c r="E75" s="114" t="s">
        <v>692</v>
      </c>
      <c r="F75" s="4"/>
      <c r="G75" s="1"/>
      <c r="H75" s="4"/>
      <c r="I75" s="4"/>
      <c r="J75" s="4"/>
      <c r="K75" s="4"/>
      <c r="L75" s="4"/>
      <c r="M75" s="4"/>
      <c r="N75" s="4"/>
      <c r="O75" s="4"/>
      <c r="P75" s="4"/>
      <c r="Q75" s="110" t="s">
        <v>315</v>
      </c>
      <c r="R75" s="4"/>
      <c r="S75" s="4"/>
      <c r="T75" s="4"/>
      <c r="U75" s="4"/>
      <c r="V75" s="4"/>
      <c r="W75" s="4"/>
      <c r="X75" s="4"/>
      <c r="Y75" s="116" t="s">
        <v>693</v>
      </c>
      <c r="Z75" s="4"/>
      <c r="AA75" s="4"/>
      <c r="AB75" s="4"/>
      <c r="AC75" s="4"/>
      <c r="AD75" s="4"/>
      <c r="AE75" s="4"/>
      <c r="AF75" s="4"/>
      <c r="AG75" s="118" t="s">
        <v>694</v>
      </c>
      <c r="AH75" s="4"/>
      <c r="AI75" s="4"/>
    </row>
    <row r="76">
      <c r="A76" s="1"/>
      <c r="B76" s="4"/>
      <c r="C76" s="1"/>
      <c r="D76" s="4"/>
      <c r="E76" s="113" t="s">
        <v>565</v>
      </c>
      <c r="F76" s="4"/>
      <c r="G76" s="1"/>
      <c r="H76" s="4"/>
      <c r="I76" s="4"/>
      <c r="J76" s="4"/>
      <c r="K76" s="4"/>
      <c r="L76" s="4"/>
      <c r="M76" s="4"/>
      <c r="N76" s="4"/>
      <c r="O76" s="4"/>
      <c r="P76" s="4"/>
      <c r="Q76" s="110" t="s">
        <v>453</v>
      </c>
      <c r="R76" s="4"/>
      <c r="S76" s="4"/>
      <c r="T76" s="4"/>
      <c r="U76" s="4"/>
      <c r="V76" s="4"/>
      <c r="W76" s="4"/>
      <c r="X76" s="4"/>
      <c r="Y76" s="116" t="s">
        <v>695</v>
      </c>
      <c r="Z76" s="4"/>
      <c r="AA76" s="4"/>
      <c r="AB76" s="4"/>
      <c r="AC76" s="4"/>
      <c r="AD76" s="4"/>
      <c r="AE76" s="4"/>
      <c r="AF76" s="4"/>
      <c r="AG76" s="118" t="s">
        <v>696</v>
      </c>
      <c r="AH76" s="4"/>
      <c r="AI76" s="4"/>
    </row>
    <row r="77">
      <c r="A77" s="1"/>
      <c r="B77" s="4"/>
      <c r="C77" s="1"/>
      <c r="D77" s="4"/>
      <c r="E77" s="113" t="s">
        <v>697</v>
      </c>
      <c r="F77" s="4"/>
      <c r="G77" s="1"/>
      <c r="H77" s="4"/>
      <c r="I77" s="4"/>
      <c r="J77" s="4"/>
      <c r="K77" s="4"/>
      <c r="L77" s="4"/>
      <c r="M77" s="4"/>
      <c r="N77" s="4"/>
      <c r="O77" s="4"/>
      <c r="P77" s="4"/>
      <c r="Q77" s="110" t="s">
        <v>527</v>
      </c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118" t="s">
        <v>698</v>
      </c>
      <c r="AH77" s="4"/>
      <c r="AI77" s="4"/>
    </row>
    <row r="78">
      <c r="A78" s="4"/>
      <c r="B78" s="4"/>
      <c r="C78" s="4"/>
      <c r="D78" s="4"/>
      <c r="E78" s="113" t="s">
        <v>699</v>
      </c>
      <c r="F78" s="4"/>
      <c r="G78" s="1"/>
      <c r="H78" s="4"/>
      <c r="I78" s="4"/>
      <c r="J78" s="4"/>
      <c r="K78" s="4"/>
      <c r="L78" s="4"/>
      <c r="M78" s="4"/>
      <c r="N78" s="4"/>
      <c r="O78" s="4"/>
      <c r="P78" s="4"/>
      <c r="Q78" s="110" t="s">
        <v>349</v>
      </c>
      <c r="R78" s="4"/>
      <c r="S78" s="4"/>
      <c r="T78" s="4"/>
      <c r="U78" s="4"/>
      <c r="V78" s="4"/>
      <c r="W78" s="4"/>
      <c r="X78" s="4"/>
      <c r="Y78" s="1" t="s">
        <v>700</v>
      </c>
      <c r="AB78" s="4"/>
      <c r="AC78" s="4"/>
      <c r="AD78" s="4"/>
      <c r="AE78" s="4"/>
      <c r="AF78" s="4"/>
      <c r="AG78" s="118" t="s">
        <v>701</v>
      </c>
      <c r="AH78" s="4"/>
      <c r="AI78" s="4"/>
    </row>
    <row r="79">
      <c r="A79" s="1"/>
      <c r="B79" s="4"/>
      <c r="C79" s="1"/>
      <c r="D79" s="4"/>
      <c r="E79" s="113" t="s">
        <v>613</v>
      </c>
      <c r="F79" s="4"/>
      <c r="G79" s="1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116" t="s">
        <v>702</v>
      </c>
      <c r="Z79" s="4"/>
      <c r="AA79" s="4"/>
      <c r="AB79" s="4"/>
      <c r="AC79" s="4"/>
      <c r="AD79" s="4"/>
      <c r="AE79" s="4"/>
      <c r="AF79" s="4"/>
      <c r="AG79" s="118" t="s">
        <v>703</v>
      </c>
      <c r="AH79" s="4"/>
      <c r="AI79" s="4"/>
    </row>
    <row r="80">
      <c r="A80" s="1"/>
      <c r="B80" s="4"/>
      <c r="C80" s="1"/>
      <c r="D80" s="4"/>
      <c r="E80" s="4"/>
      <c r="F80" s="4"/>
      <c r="G80" s="1"/>
      <c r="H80" s="4"/>
      <c r="I80" s="4"/>
      <c r="J80" s="4"/>
      <c r="K80" s="4"/>
      <c r="L80" s="4"/>
      <c r="M80" s="4"/>
      <c r="N80" s="4"/>
      <c r="O80" s="4"/>
      <c r="P80" s="4"/>
      <c r="Q80" s="111" t="s">
        <v>704</v>
      </c>
      <c r="R80" s="4"/>
      <c r="S80" s="4"/>
      <c r="T80" s="4"/>
      <c r="U80" s="4"/>
      <c r="V80" s="4"/>
      <c r="W80" s="4"/>
      <c r="X80" s="4"/>
      <c r="Y80" s="116" t="s">
        <v>652</v>
      </c>
      <c r="Z80" s="4"/>
      <c r="AA80" s="4"/>
      <c r="AB80" s="4"/>
      <c r="AC80" s="4"/>
      <c r="AD80" s="4"/>
      <c r="AE80" s="4"/>
      <c r="AF80" s="4"/>
      <c r="AG80" s="118" t="s">
        <v>705</v>
      </c>
      <c r="AH80" s="4"/>
      <c r="AI80" s="4"/>
    </row>
    <row r="81">
      <c r="A81" s="4"/>
      <c r="B81" s="4"/>
      <c r="C81" s="4"/>
      <c r="D81" s="4"/>
      <c r="E81" s="1" t="s">
        <v>347</v>
      </c>
      <c r="F81" s="4"/>
      <c r="G81" s="1"/>
      <c r="H81" s="4"/>
      <c r="I81" s="4"/>
      <c r="J81" s="4"/>
      <c r="K81" s="4"/>
      <c r="L81" s="4"/>
      <c r="M81" s="4"/>
      <c r="N81" s="4"/>
      <c r="O81" s="4"/>
      <c r="P81" s="4"/>
      <c r="Q81" s="115" t="s">
        <v>549</v>
      </c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118" t="s">
        <v>706</v>
      </c>
      <c r="AH81" s="4"/>
      <c r="AI81" s="4"/>
    </row>
    <row r="82">
      <c r="A82" s="1"/>
      <c r="B82" s="4"/>
      <c r="C82" s="4"/>
      <c r="D82" s="4"/>
      <c r="E82" s="114" t="s">
        <v>347</v>
      </c>
      <c r="F82" s="4"/>
      <c r="G82" s="1"/>
      <c r="H82" s="4"/>
      <c r="I82" s="4"/>
      <c r="J82" s="4"/>
      <c r="K82" s="4"/>
      <c r="L82" s="4"/>
      <c r="M82" s="4"/>
      <c r="N82" s="4"/>
      <c r="O82" s="4"/>
      <c r="P82" s="4"/>
      <c r="Q82" s="110" t="s">
        <v>556</v>
      </c>
      <c r="R82" s="4"/>
      <c r="S82" s="4"/>
      <c r="T82" s="4"/>
      <c r="U82" s="4"/>
      <c r="V82" s="4"/>
      <c r="W82" s="4"/>
      <c r="X82" s="4"/>
      <c r="Y82" s="1" t="s">
        <v>707</v>
      </c>
      <c r="Z82" s="4"/>
      <c r="AA82" s="4"/>
      <c r="AB82" s="4"/>
      <c r="AC82" s="4"/>
      <c r="AD82" s="4"/>
      <c r="AE82" s="4"/>
      <c r="AF82" s="4"/>
      <c r="AG82" s="118" t="s">
        <v>708</v>
      </c>
      <c r="AH82" s="4"/>
      <c r="AI82" s="4"/>
    </row>
    <row r="83">
      <c r="A83" s="1"/>
      <c r="B83" s="4"/>
      <c r="C83" s="1"/>
      <c r="D83" s="4"/>
      <c r="E83" s="4"/>
      <c r="F83" s="4"/>
      <c r="G83" s="1"/>
      <c r="H83" s="4"/>
      <c r="I83" s="4"/>
      <c r="J83" s="4"/>
      <c r="K83" s="4"/>
      <c r="L83" s="4"/>
      <c r="M83" s="4"/>
      <c r="N83" s="4"/>
      <c r="O83" s="4"/>
      <c r="P83" s="4"/>
      <c r="Q83" s="110" t="s">
        <v>660</v>
      </c>
      <c r="R83" s="4"/>
      <c r="S83" s="4"/>
      <c r="T83" s="4"/>
      <c r="U83" s="4"/>
      <c r="V83" s="4"/>
      <c r="W83" s="4"/>
      <c r="X83" s="4"/>
      <c r="Y83" s="116" t="s">
        <v>435</v>
      </c>
      <c r="Z83" s="4"/>
      <c r="AA83" s="4"/>
      <c r="AB83" s="4"/>
      <c r="AC83" s="4"/>
      <c r="AD83" s="4"/>
      <c r="AE83" s="4"/>
      <c r="AF83" s="4"/>
      <c r="AG83" s="118" t="s">
        <v>709</v>
      </c>
      <c r="AH83" s="4"/>
      <c r="AI83" s="4"/>
    </row>
    <row r="84">
      <c r="A84" s="4"/>
      <c r="B84" s="1"/>
      <c r="C84" s="1"/>
      <c r="D84" s="4"/>
      <c r="E84" s="1" t="s">
        <v>710</v>
      </c>
      <c r="F84" s="4"/>
      <c r="G84" s="1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118" t="s">
        <v>711</v>
      </c>
      <c r="AH84" s="4"/>
      <c r="AI84" s="4"/>
    </row>
    <row r="85">
      <c r="A85" s="1"/>
      <c r="B85" s="1"/>
      <c r="C85" s="1"/>
      <c r="D85" s="4"/>
      <c r="E85" s="114" t="s">
        <v>315</v>
      </c>
      <c r="F85" s="4"/>
      <c r="G85" s="1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1" t="s">
        <v>712</v>
      </c>
      <c r="Z85" s="4"/>
      <c r="AA85" s="4"/>
      <c r="AB85" s="4"/>
      <c r="AC85" s="4"/>
      <c r="AD85" s="4"/>
      <c r="AE85" s="4"/>
      <c r="AF85" s="4"/>
      <c r="AG85" s="118" t="s">
        <v>713</v>
      </c>
      <c r="AH85" s="4"/>
      <c r="AI85" s="4"/>
    </row>
    <row r="86">
      <c r="A86" s="1"/>
      <c r="B86" s="1"/>
      <c r="C86" s="1"/>
      <c r="D86" s="4"/>
      <c r="E86" s="4"/>
      <c r="F86" s="4"/>
      <c r="G86" s="1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116" t="s">
        <v>714</v>
      </c>
      <c r="Z86" s="4"/>
      <c r="AA86" s="4"/>
      <c r="AB86" s="4"/>
      <c r="AC86" s="4"/>
      <c r="AD86" s="4"/>
      <c r="AE86" s="4"/>
      <c r="AF86" s="4"/>
      <c r="AG86" s="118" t="s">
        <v>715</v>
      </c>
      <c r="AH86" s="4"/>
      <c r="AI86" s="4"/>
    </row>
    <row r="87">
      <c r="A87" s="4"/>
      <c r="B87" s="1"/>
      <c r="C87" s="1"/>
      <c r="D87" s="4"/>
      <c r="E87" s="1" t="s">
        <v>716</v>
      </c>
      <c r="F87" s="4"/>
      <c r="G87" s="1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116" t="s">
        <v>717</v>
      </c>
      <c r="Z87" s="4"/>
      <c r="AA87" s="4"/>
      <c r="AB87" s="4"/>
      <c r="AC87" s="4"/>
      <c r="AD87" s="4"/>
      <c r="AE87" s="4"/>
      <c r="AF87" s="4"/>
      <c r="AG87" s="118" t="s">
        <v>646</v>
      </c>
      <c r="AH87" s="4"/>
      <c r="AI87" s="4"/>
    </row>
    <row r="88">
      <c r="A88" s="1"/>
      <c r="B88" s="1"/>
      <c r="C88" s="1"/>
      <c r="D88" s="4"/>
      <c r="E88" s="114" t="s">
        <v>718</v>
      </c>
      <c r="F88" s="4"/>
      <c r="G88" s="1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116" t="s">
        <v>719</v>
      </c>
      <c r="Z88" s="4"/>
      <c r="AA88" s="4"/>
      <c r="AB88" s="4"/>
      <c r="AC88" s="4"/>
      <c r="AD88" s="4"/>
      <c r="AE88" s="4"/>
      <c r="AF88" s="4"/>
      <c r="AG88" s="118" t="s">
        <v>720</v>
      </c>
      <c r="AH88" s="4"/>
      <c r="AI88" s="4"/>
    </row>
    <row r="89">
      <c r="A89" s="1"/>
      <c r="B89" s="1"/>
      <c r="C89" s="1"/>
      <c r="D89" s="4"/>
      <c r="E89" s="113" t="s">
        <v>721</v>
      </c>
      <c r="F89" s="4"/>
      <c r="G89" s="1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116" t="s">
        <v>722</v>
      </c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>
      <c r="A90" s="4"/>
      <c r="B90" s="1"/>
      <c r="C90" s="1"/>
      <c r="D90" s="4"/>
      <c r="E90" s="113" t="s">
        <v>723</v>
      </c>
      <c r="F90" s="4"/>
      <c r="G90" s="1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116" t="s">
        <v>724</v>
      </c>
      <c r="Z90" s="4"/>
      <c r="AA90" s="4"/>
      <c r="AB90" s="4"/>
      <c r="AC90" s="4"/>
      <c r="AD90" s="4"/>
      <c r="AE90" s="4"/>
      <c r="AF90" s="4"/>
      <c r="AG90" s="1" t="s">
        <v>725</v>
      </c>
      <c r="AH90" s="4"/>
      <c r="AI90" s="4"/>
    </row>
    <row r="91">
      <c r="A91" s="1"/>
      <c r="B91" s="1"/>
      <c r="C91" s="1"/>
      <c r="D91" s="4"/>
      <c r="E91" s="113" t="s">
        <v>726</v>
      </c>
      <c r="F91" s="4"/>
      <c r="G91" s="1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118" t="s">
        <v>727</v>
      </c>
      <c r="AH91" s="4"/>
      <c r="AI91" s="4"/>
    </row>
    <row r="92">
      <c r="A92" s="1"/>
      <c r="B92" s="1"/>
      <c r="C92" s="1"/>
      <c r="D92" s="4"/>
      <c r="E92" s="113" t="s">
        <v>728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118" t="s">
        <v>729</v>
      </c>
      <c r="AH92" s="4"/>
      <c r="AI92" s="4"/>
    </row>
    <row r="93">
      <c r="A93" s="4"/>
      <c r="B93" s="1"/>
      <c r="C93" s="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118" t="s">
        <v>730</v>
      </c>
      <c r="AH93" s="4"/>
      <c r="AI93" s="4"/>
    </row>
    <row r="94">
      <c r="A94" s="4"/>
      <c r="B94" s="1"/>
      <c r="C94" s="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118" t="s">
        <v>731</v>
      </c>
      <c r="AH94" s="4"/>
      <c r="AI94" s="4"/>
    </row>
    <row r="95">
      <c r="A95" s="4"/>
      <c r="B95" s="1"/>
      <c r="C95" s="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118" t="s">
        <v>732</v>
      </c>
      <c r="AH95" s="4"/>
      <c r="AI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118" t="s">
        <v>733</v>
      </c>
      <c r="AH96" s="4"/>
      <c r="AI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118" t="s">
        <v>734</v>
      </c>
      <c r="AH97" s="4"/>
      <c r="AI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>
      <c r="A108" s="4"/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  <c r="AG108" s="109"/>
      <c r="AH108" s="109"/>
      <c r="AI108" s="109"/>
    </row>
    <row r="109">
      <c r="A109" s="109"/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  <c r="AI109" s="109"/>
    </row>
    <row r="110">
      <c r="A110" s="109"/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  <c r="AG110" s="109"/>
      <c r="AH110" s="109"/>
      <c r="AI110" s="109"/>
    </row>
    <row r="111">
      <c r="A111" s="109"/>
      <c r="B111" s="109"/>
      <c r="C111" s="109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09"/>
      <c r="AG111" s="109"/>
      <c r="AH111" s="109"/>
      <c r="AI111" s="109"/>
    </row>
    <row r="112">
      <c r="A112" s="109"/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  <c r="AG112" s="109"/>
      <c r="AH112" s="109"/>
      <c r="AI112" s="109"/>
    </row>
    <row r="113">
      <c r="A113" s="109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</row>
    <row r="114">
      <c r="A114" s="109"/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9"/>
      <c r="AH114" s="109"/>
      <c r="AI114" s="109"/>
    </row>
    <row r="115">
      <c r="A115" s="109"/>
      <c r="B115" s="109"/>
      <c r="C115" s="109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09"/>
      <c r="AG115" s="109"/>
      <c r="AH115" s="109"/>
      <c r="AI115" s="109"/>
    </row>
    <row r="116">
      <c r="A116" s="109"/>
      <c r="B116" s="109"/>
      <c r="C116" s="109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  <c r="AG116" s="109"/>
      <c r="AH116" s="109"/>
      <c r="AI116" s="109"/>
    </row>
    <row r="117">
      <c r="A117" s="109"/>
      <c r="B117" s="109"/>
      <c r="C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09"/>
      <c r="AG117" s="109"/>
      <c r="AH117" s="109"/>
      <c r="AI117" s="109"/>
    </row>
    <row r="118">
      <c r="A118" s="109"/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</row>
    <row r="119">
      <c r="A119" s="109"/>
      <c r="B119" s="109"/>
      <c r="C119" s="109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09"/>
    </row>
    <row r="120">
      <c r="A120" s="109"/>
      <c r="B120" s="109"/>
      <c r="C120" s="109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09"/>
      <c r="AI120" s="109"/>
    </row>
    <row r="121">
      <c r="A121" s="109"/>
      <c r="B121" s="109"/>
      <c r="C121" s="109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09"/>
      <c r="AG121" s="109"/>
      <c r="AH121" s="109"/>
      <c r="AI121" s="109"/>
    </row>
    <row r="122">
      <c r="A122" s="109"/>
      <c r="B122" s="109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  <c r="AG122" s="109"/>
      <c r="AH122" s="109"/>
      <c r="AI122" s="109"/>
    </row>
    <row r="123">
      <c r="A123" s="109"/>
      <c r="B123" s="109"/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  <c r="AG123" s="109"/>
      <c r="AH123" s="109"/>
      <c r="AI123" s="109"/>
    </row>
    <row r="124">
      <c r="A124" s="109"/>
      <c r="B124" s="109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  <c r="AG124" s="109"/>
      <c r="AH124" s="109"/>
      <c r="AI124" s="109"/>
    </row>
    <row r="125">
      <c r="A125" s="109"/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  <c r="AG125" s="109"/>
      <c r="AH125" s="109"/>
      <c r="AI125" s="109"/>
    </row>
    <row r="126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  <c r="AF126" s="109"/>
      <c r="AG126" s="109"/>
      <c r="AH126" s="109"/>
      <c r="AI126" s="109"/>
    </row>
    <row r="127">
      <c r="A127" s="109"/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09"/>
      <c r="AF127" s="109"/>
      <c r="AG127" s="109"/>
      <c r="AH127" s="109"/>
      <c r="AI127" s="109"/>
    </row>
    <row r="128">
      <c r="A128" s="109"/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  <c r="AF128" s="109"/>
      <c r="AG128" s="109"/>
      <c r="AH128" s="109"/>
      <c r="AI128" s="109"/>
    </row>
    <row r="129">
      <c r="A129" s="109"/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  <c r="AF129" s="109"/>
      <c r="AG129" s="109"/>
      <c r="AH129" s="109"/>
      <c r="AI129" s="109"/>
    </row>
    <row r="130">
      <c r="A130" s="109"/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  <c r="AG130" s="109"/>
      <c r="AH130" s="109"/>
      <c r="AI130" s="109"/>
    </row>
    <row r="131">
      <c r="A131" s="109"/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  <c r="AG131" s="109"/>
      <c r="AH131" s="109"/>
      <c r="AI131" s="109"/>
    </row>
    <row r="132">
      <c r="A132" s="109"/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  <c r="AI132" s="109"/>
    </row>
    <row r="133">
      <c r="A133" s="109"/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09"/>
      <c r="AG133" s="109"/>
      <c r="AH133" s="109"/>
      <c r="AI133" s="109"/>
    </row>
    <row r="134">
      <c r="A134" s="109"/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09"/>
      <c r="AG134" s="109"/>
      <c r="AH134" s="109"/>
      <c r="AI134" s="109"/>
    </row>
    <row r="135">
      <c r="A135" s="109"/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09"/>
      <c r="AG135" s="109"/>
      <c r="AH135" s="109"/>
      <c r="AI135" s="109"/>
    </row>
    <row r="136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09"/>
      <c r="AH136" s="109"/>
      <c r="AI136" s="109"/>
    </row>
    <row r="137">
      <c r="A137" s="109"/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09"/>
      <c r="AG137" s="109"/>
      <c r="AH137" s="109"/>
      <c r="AI137" s="109"/>
    </row>
    <row r="138">
      <c r="A138" s="109"/>
      <c r="B138" s="109"/>
      <c r="C138" s="109"/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09"/>
      <c r="AG138" s="109"/>
      <c r="AH138" s="109"/>
      <c r="AI138" s="109"/>
    </row>
    <row r="139">
      <c r="A139" s="109"/>
      <c r="B139" s="109"/>
      <c r="C139" s="109"/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  <c r="AE139" s="109"/>
      <c r="AF139" s="109"/>
      <c r="AG139" s="109"/>
      <c r="AH139" s="109"/>
      <c r="AI139" s="109"/>
    </row>
    <row r="140">
      <c r="A140" s="109"/>
      <c r="B140" s="109"/>
      <c r="C140" s="109"/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09"/>
      <c r="AG140" s="109"/>
      <c r="AH140" s="109"/>
      <c r="AI140" s="109"/>
    </row>
    <row r="141">
      <c r="A141" s="109"/>
      <c r="B141" s="109"/>
      <c r="C141" s="109"/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  <c r="AE141" s="109"/>
      <c r="AF141" s="109"/>
      <c r="AG141" s="109"/>
      <c r="AH141" s="109"/>
      <c r="AI141" s="109"/>
    </row>
    <row r="142">
      <c r="A142" s="109"/>
      <c r="B142" s="109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</row>
    <row r="143">
      <c r="A143" s="109"/>
      <c r="B143" s="109"/>
      <c r="C143" s="109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09"/>
      <c r="AI143" s="109"/>
    </row>
    <row r="144">
      <c r="A144" s="109"/>
      <c r="B144" s="109"/>
      <c r="C144" s="109"/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09"/>
      <c r="AH144" s="109"/>
      <c r="AI144" s="109"/>
    </row>
    <row r="145">
      <c r="A145" s="109"/>
      <c r="B145" s="109"/>
      <c r="C145" s="109"/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09"/>
      <c r="AG145" s="109"/>
      <c r="AH145" s="109"/>
      <c r="AI145" s="109"/>
    </row>
    <row r="146">
      <c r="A146" s="109"/>
      <c r="B146" s="109"/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  <c r="AG146" s="109"/>
      <c r="AH146" s="109"/>
      <c r="AI146" s="109"/>
    </row>
    <row r="147">
      <c r="A147" s="109"/>
      <c r="B147" s="109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  <c r="AE147" s="109"/>
      <c r="AF147" s="109"/>
      <c r="AG147" s="109"/>
      <c r="AH147" s="109"/>
      <c r="AI147" s="109"/>
    </row>
    <row r="148">
      <c r="A148" s="109"/>
      <c r="B148" s="109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  <c r="AF148" s="109"/>
      <c r="AG148" s="109"/>
      <c r="AH148" s="109"/>
      <c r="AI148" s="109"/>
    </row>
    <row r="149">
      <c r="A149" s="109"/>
      <c r="B149" s="109"/>
      <c r="C149" s="109"/>
      <c r="D149" s="109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  <c r="AE149" s="109"/>
      <c r="AF149" s="109"/>
      <c r="AG149" s="109"/>
      <c r="AH149" s="109"/>
      <c r="AI149" s="109"/>
    </row>
    <row r="150">
      <c r="A150" s="109"/>
      <c r="B150" s="109"/>
      <c r="C150" s="109"/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  <c r="AE150" s="109"/>
      <c r="AF150" s="109"/>
      <c r="AG150" s="109"/>
      <c r="AH150" s="109"/>
      <c r="AI150" s="109"/>
    </row>
    <row r="151">
      <c r="A151" s="109"/>
      <c r="B151" s="109"/>
      <c r="C151" s="109"/>
      <c r="D151" s="109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  <c r="AE151" s="109"/>
      <c r="AF151" s="109"/>
      <c r="AG151" s="109"/>
      <c r="AH151" s="109"/>
      <c r="AI151" s="109"/>
    </row>
    <row r="152">
      <c r="A152" s="109"/>
      <c r="B152" s="109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  <c r="AE152" s="109"/>
      <c r="AF152" s="109"/>
      <c r="AG152" s="109"/>
      <c r="AH152" s="109"/>
      <c r="AI152" s="109"/>
    </row>
    <row r="153">
      <c r="A153" s="109"/>
      <c r="B153" s="109"/>
      <c r="C153" s="109"/>
      <c r="D153" s="109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09"/>
      <c r="AF153" s="109"/>
      <c r="AG153" s="109"/>
      <c r="AH153" s="109"/>
      <c r="AI153" s="109"/>
    </row>
    <row r="154">
      <c r="A154" s="109"/>
      <c r="B154" s="109"/>
      <c r="C154" s="109"/>
      <c r="D154" s="109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  <c r="AE154" s="109"/>
      <c r="AF154" s="109"/>
      <c r="AG154" s="109"/>
      <c r="AH154" s="109"/>
      <c r="AI154" s="109"/>
    </row>
    <row r="155">
      <c r="A155" s="109"/>
      <c r="B155" s="109"/>
      <c r="C155" s="109"/>
      <c r="D155" s="109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  <c r="AE155" s="109"/>
      <c r="AF155" s="109"/>
      <c r="AG155" s="109"/>
      <c r="AH155" s="109"/>
      <c r="AI155" s="109"/>
    </row>
    <row r="156">
      <c r="A156" s="109"/>
      <c r="B156" s="109"/>
      <c r="C156" s="109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  <c r="AE156" s="109"/>
      <c r="AF156" s="109"/>
      <c r="AG156" s="109"/>
      <c r="AH156" s="109"/>
      <c r="AI156" s="109"/>
    </row>
    <row r="157">
      <c r="A157" s="109"/>
      <c r="B157" s="109"/>
      <c r="C157" s="109"/>
      <c r="D157" s="109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  <c r="AE157" s="109"/>
      <c r="AF157" s="109"/>
      <c r="AG157" s="109"/>
      <c r="AH157" s="109"/>
      <c r="AI157" s="109"/>
    </row>
    <row r="158">
      <c r="A158" s="109"/>
      <c r="B158" s="109"/>
      <c r="C158" s="109"/>
      <c r="D158" s="109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09"/>
      <c r="AF158" s="109"/>
      <c r="AG158" s="109"/>
      <c r="AH158" s="109"/>
      <c r="AI158" s="109"/>
    </row>
    <row r="159">
      <c r="A159" s="109"/>
      <c r="B159" s="109"/>
      <c r="C159" s="109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  <c r="AE159" s="109"/>
      <c r="AF159" s="109"/>
      <c r="AG159" s="109"/>
      <c r="AH159" s="109"/>
      <c r="AI159" s="109"/>
    </row>
    <row r="160">
      <c r="A160" s="109"/>
      <c r="B160" s="109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  <c r="AE160" s="109"/>
      <c r="AF160" s="109"/>
      <c r="AG160" s="109"/>
      <c r="AH160" s="109"/>
      <c r="AI160" s="109"/>
    </row>
    <row r="161">
      <c r="A161" s="109"/>
      <c r="B161" s="109"/>
      <c r="C161" s="109"/>
      <c r="D161" s="109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  <c r="AE161" s="109"/>
      <c r="AF161" s="109"/>
      <c r="AG161" s="109"/>
      <c r="AH161" s="109"/>
      <c r="AI161" s="109"/>
    </row>
    <row r="162">
      <c r="A162" s="109"/>
      <c r="B162" s="109"/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  <c r="AE162" s="109"/>
      <c r="AF162" s="109"/>
      <c r="AG162" s="109"/>
      <c r="AH162" s="109"/>
      <c r="AI162" s="109"/>
    </row>
    <row r="163">
      <c r="A163" s="109"/>
      <c r="B163" s="109"/>
      <c r="C163" s="109"/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09"/>
      <c r="AE163" s="109"/>
      <c r="AF163" s="109"/>
      <c r="AG163" s="109"/>
      <c r="AH163" s="109"/>
      <c r="AI163" s="109"/>
    </row>
    <row r="164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  <c r="AE164" s="109"/>
      <c r="AF164" s="109"/>
      <c r="AG164" s="109"/>
      <c r="AH164" s="109"/>
      <c r="AI164" s="109"/>
    </row>
    <row r="16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09"/>
    </row>
    <row r="166">
      <c r="A166" s="109"/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09"/>
      <c r="AI166" s="109"/>
    </row>
    <row r="167">
      <c r="A167" s="109"/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  <c r="AE167" s="109"/>
      <c r="AF167" s="109"/>
      <c r="AG167" s="109"/>
      <c r="AH167" s="109"/>
      <c r="AI167" s="109"/>
    </row>
    <row r="168">
      <c r="A168" s="109"/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  <c r="AE168" s="109"/>
      <c r="AF168" s="109"/>
      <c r="AG168" s="109"/>
      <c r="AH168" s="109"/>
      <c r="AI168" s="109"/>
    </row>
    <row r="169">
      <c r="A169" s="109"/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  <c r="AE169" s="109"/>
      <c r="AF169" s="109"/>
      <c r="AG169" s="109"/>
      <c r="AH169" s="109"/>
      <c r="AI169" s="109"/>
    </row>
    <row r="170">
      <c r="A170" s="109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  <c r="AI170" s="109"/>
    </row>
    <row r="171">
      <c r="A171" s="109"/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  <c r="AI171" s="109"/>
    </row>
    <row r="172">
      <c r="A172" s="109"/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  <c r="AE172" s="109"/>
      <c r="AF172" s="109"/>
      <c r="AG172" s="109"/>
      <c r="AH172" s="109"/>
      <c r="AI172" s="109"/>
    </row>
    <row r="173">
      <c r="A173" s="109"/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  <c r="AE173" s="109"/>
      <c r="AF173" s="109"/>
      <c r="AG173" s="109"/>
      <c r="AH173" s="109"/>
      <c r="AI173" s="109"/>
    </row>
    <row r="174">
      <c r="A174" s="109"/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  <c r="AE174" s="109"/>
      <c r="AF174" s="109"/>
      <c r="AG174" s="109"/>
      <c r="AH174" s="109"/>
      <c r="AI174" s="109"/>
    </row>
    <row r="175">
      <c r="A175" s="109"/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  <c r="AG175" s="109"/>
      <c r="AH175" s="109"/>
      <c r="AI175" s="109"/>
    </row>
    <row r="176">
      <c r="A176" s="109"/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09"/>
      <c r="AH176" s="109"/>
      <c r="AI176" s="109"/>
    </row>
    <row r="177">
      <c r="A177" s="109"/>
      <c r="B177" s="109"/>
      <c r="C177" s="109"/>
      <c r="D177" s="109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  <c r="AE177" s="109"/>
      <c r="AF177" s="109"/>
      <c r="AG177" s="109"/>
      <c r="AH177" s="109"/>
      <c r="AI177" s="109"/>
    </row>
    <row r="178">
      <c r="A178" s="109"/>
      <c r="B178" s="109"/>
      <c r="C178" s="109"/>
      <c r="D178" s="109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  <c r="AE178" s="109"/>
      <c r="AF178" s="109"/>
      <c r="AG178" s="109"/>
      <c r="AH178" s="109"/>
      <c r="AI178" s="109"/>
    </row>
    <row r="179">
      <c r="A179" s="109"/>
      <c r="B179" s="109"/>
      <c r="C179" s="109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  <c r="AE179" s="109"/>
      <c r="AF179" s="109"/>
      <c r="AG179" s="109"/>
      <c r="AH179" s="109"/>
      <c r="AI179" s="109"/>
    </row>
    <row r="180">
      <c r="A180" s="109"/>
      <c r="B180" s="109"/>
      <c r="C180" s="109"/>
      <c r="D180" s="109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  <c r="AE180" s="109"/>
      <c r="AF180" s="109"/>
      <c r="AG180" s="109"/>
      <c r="AH180" s="109"/>
      <c r="AI180" s="109"/>
    </row>
    <row r="181">
      <c r="A181" s="109"/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  <c r="AI181" s="109"/>
    </row>
    <row r="182">
      <c r="A182" s="109"/>
      <c r="B182" s="109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  <c r="AE182" s="109"/>
      <c r="AF182" s="109"/>
      <c r="AG182" s="109"/>
      <c r="AH182" s="109"/>
      <c r="AI182" s="109"/>
    </row>
    <row r="183">
      <c r="A183" s="109"/>
      <c r="B183" s="109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  <c r="AE183" s="109"/>
      <c r="AF183" s="109"/>
      <c r="AG183" s="109"/>
      <c r="AH183" s="109"/>
      <c r="AI183" s="109"/>
    </row>
    <row r="184">
      <c r="A184" s="109"/>
      <c r="B184" s="109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  <c r="AC184" s="109"/>
      <c r="AD184" s="109"/>
      <c r="AE184" s="109"/>
      <c r="AF184" s="109"/>
      <c r="AG184" s="109"/>
      <c r="AH184" s="109"/>
      <c r="AI184" s="109"/>
    </row>
    <row r="185">
      <c r="A185" s="109"/>
      <c r="B185" s="109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  <c r="AG185" s="109"/>
      <c r="AH185" s="109"/>
      <c r="AI185" s="109"/>
    </row>
    <row r="186">
      <c r="A186" s="109"/>
      <c r="B186" s="109"/>
      <c r="C186" s="109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  <c r="AB186" s="109"/>
      <c r="AC186" s="109"/>
      <c r="AD186" s="109"/>
      <c r="AE186" s="109"/>
      <c r="AF186" s="109"/>
      <c r="AG186" s="109"/>
      <c r="AH186" s="109"/>
      <c r="AI186" s="109"/>
    </row>
    <row r="187">
      <c r="A187" s="109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  <c r="AI187" s="109"/>
    </row>
    <row r="188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09"/>
    </row>
    <row r="189">
      <c r="A189" s="109"/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09"/>
      <c r="AI189" s="109"/>
    </row>
    <row r="190">
      <c r="A190" s="109"/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109"/>
      <c r="AI190" s="109"/>
    </row>
    <row r="191">
      <c r="A191" s="109"/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  <c r="AB191" s="109"/>
      <c r="AC191" s="109"/>
      <c r="AD191" s="109"/>
      <c r="AE191" s="109"/>
      <c r="AF191" s="109"/>
      <c r="AG191" s="109"/>
      <c r="AH191" s="109"/>
      <c r="AI191" s="109"/>
    </row>
    <row r="192">
      <c r="A192" s="109"/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  <c r="AB192" s="109"/>
      <c r="AC192" s="109"/>
      <c r="AD192" s="109"/>
      <c r="AE192" s="109"/>
      <c r="AF192" s="109"/>
      <c r="AG192" s="109"/>
      <c r="AH192" s="109"/>
      <c r="AI192" s="109"/>
    </row>
    <row r="193">
      <c r="A193" s="109"/>
      <c r="B193" s="109"/>
      <c r="C193" s="109"/>
      <c r="D193" s="109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  <c r="AB193" s="109"/>
      <c r="AC193" s="109"/>
      <c r="AD193" s="109"/>
      <c r="AE193" s="109"/>
      <c r="AF193" s="109"/>
      <c r="AG193" s="109"/>
      <c r="AH193" s="109"/>
      <c r="AI193" s="109"/>
    </row>
    <row r="194">
      <c r="A194" s="109"/>
      <c r="B194" s="109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  <c r="AC194" s="109"/>
      <c r="AD194" s="109"/>
      <c r="AE194" s="109"/>
      <c r="AF194" s="109"/>
      <c r="AG194" s="109"/>
      <c r="AH194" s="109"/>
      <c r="AI194" s="109"/>
    </row>
    <row r="195">
      <c r="A195" s="109"/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  <c r="AC195" s="109"/>
      <c r="AD195" s="109"/>
      <c r="AE195" s="109"/>
      <c r="AF195" s="109"/>
      <c r="AG195" s="109"/>
      <c r="AH195" s="109"/>
      <c r="AI195" s="109"/>
    </row>
    <row r="196">
      <c r="A196" s="109"/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09"/>
      <c r="AE196" s="109"/>
      <c r="AF196" s="109"/>
      <c r="AG196" s="109"/>
      <c r="AH196" s="109"/>
      <c r="AI196" s="109"/>
    </row>
    <row r="197">
      <c r="A197" s="109"/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  <c r="AC197" s="109"/>
      <c r="AD197" s="109"/>
      <c r="AE197" s="109"/>
      <c r="AF197" s="109"/>
      <c r="AG197" s="109"/>
      <c r="AH197" s="109"/>
      <c r="AI197" s="109"/>
    </row>
    <row r="198">
      <c r="A198" s="109"/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  <c r="AB198" s="109"/>
      <c r="AC198" s="109"/>
      <c r="AD198" s="109"/>
      <c r="AE198" s="109"/>
      <c r="AF198" s="109"/>
      <c r="AG198" s="109"/>
      <c r="AH198" s="109"/>
      <c r="AI198" s="109"/>
    </row>
    <row r="199">
      <c r="A199" s="109"/>
      <c r="B199" s="109"/>
      <c r="C199" s="109"/>
      <c r="D199" s="109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  <c r="AB199" s="109"/>
      <c r="AC199" s="109"/>
      <c r="AD199" s="109"/>
      <c r="AE199" s="109"/>
      <c r="AF199" s="109"/>
      <c r="AG199" s="109"/>
      <c r="AH199" s="109"/>
      <c r="AI199" s="109"/>
    </row>
    <row r="200">
      <c r="A200" s="109"/>
      <c r="B200" s="109"/>
      <c r="C200" s="109"/>
      <c r="D200" s="109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  <c r="AC200" s="109"/>
      <c r="AD200" s="109"/>
      <c r="AE200" s="109"/>
      <c r="AF200" s="109"/>
      <c r="AG200" s="109"/>
      <c r="AH200" s="109"/>
      <c r="AI200" s="109"/>
    </row>
    <row r="201">
      <c r="A201" s="109"/>
      <c r="B201" s="109"/>
      <c r="C201" s="109"/>
      <c r="D201" s="109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  <c r="AB201" s="109"/>
      <c r="AC201" s="109"/>
      <c r="AD201" s="109"/>
      <c r="AE201" s="109"/>
      <c r="AF201" s="109"/>
      <c r="AG201" s="109"/>
      <c r="AH201" s="109"/>
      <c r="AI201" s="109"/>
    </row>
    <row r="202">
      <c r="A202" s="109"/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  <c r="AB202" s="109"/>
      <c r="AC202" s="109"/>
      <c r="AD202" s="109"/>
      <c r="AE202" s="109"/>
      <c r="AF202" s="109"/>
      <c r="AG202" s="109"/>
      <c r="AH202" s="109"/>
      <c r="AI202" s="109"/>
    </row>
    <row r="203">
      <c r="A203" s="109"/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  <c r="AB203" s="109"/>
      <c r="AC203" s="109"/>
      <c r="AD203" s="109"/>
      <c r="AE203" s="109"/>
      <c r="AF203" s="109"/>
      <c r="AG203" s="109"/>
      <c r="AH203" s="109"/>
      <c r="AI203" s="109"/>
    </row>
    <row r="204">
      <c r="A204" s="109"/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  <c r="AB204" s="109"/>
      <c r="AC204" s="109"/>
      <c r="AD204" s="109"/>
      <c r="AE204" s="109"/>
      <c r="AF204" s="109"/>
      <c r="AG204" s="109"/>
      <c r="AH204" s="109"/>
      <c r="AI204" s="109"/>
    </row>
    <row r="205">
      <c r="A205" s="109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  <c r="AG205" s="109"/>
      <c r="AH205" s="109"/>
      <c r="AI205" s="109"/>
    </row>
    <row r="206">
      <c r="A206" s="109"/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  <c r="AB206" s="109"/>
      <c r="AC206" s="109"/>
      <c r="AD206" s="109"/>
      <c r="AE206" s="109"/>
      <c r="AF206" s="109"/>
      <c r="AG206" s="109"/>
      <c r="AH206" s="109"/>
      <c r="AI206" s="109"/>
    </row>
    <row r="207">
      <c r="A207" s="109"/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  <c r="AB207" s="109"/>
      <c r="AC207" s="109"/>
      <c r="AD207" s="109"/>
      <c r="AE207" s="109"/>
      <c r="AF207" s="109"/>
      <c r="AG207" s="109"/>
      <c r="AH207" s="109"/>
      <c r="AI207" s="109"/>
    </row>
    <row r="208">
      <c r="A208" s="109"/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  <c r="AB208" s="109"/>
      <c r="AC208" s="109"/>
      <c r="AD208" s="109"/>
      <c r="AE208" s="109"/>
      <c r="AF208" s="109"/>
      <c r="AG208" s="109"/>
      <c r="AH208" s="109"/>
      <c r="AI208" s="109"/>
    </row>
    <row r="209">
      <c r="A209" s="109"/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  <c r="AB209" s="109"/>
      <c r="AC209" s="109"/>
      <c r="AD209" s="109"/>
      <c r="AE209" s="109"/>
      <c r="AF209" s="109"/>
      <c r="AG209" s="109"/>
      <c r="AH209" s="109"/>
      <c r="AI209" s="109"/>
    </row>
    <row r="210">
      <c r="A210" s="109"/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  <c r="AB210" s="109"/>
      <c r="AC210" s="109"/>
      <c r="AD210" s="109"/>
      <c r="AE210" s="109"/>
      <c r="AF210" s="109"/>
      <c r="AG210" s="109"/>
      <c r="AH210" s="109"/>
      <c r="AI210" s="109"/>
    </row>
    <row r="211">
      <c r="A211" s="109"/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09"/>
    </row>
    <row r="212">
      <c r="A212" s="109"/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09"/>
      <c r="AI212" s="109"/>
    </row>
    <row r="213">
      <c r="A213" s="109"/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  <c r="AB213" s="109"/>
      <c r="AC213" s="109"/>
      <c r="AD213" s="109"/>
      <c r="AE213" s="109"/>
      <c r="AF213" s="109"/>
      <c r="AG213" s="109"/>
      <c r="AH213" s="109"/>
      <c r="AI213" s="109"/>
    </row>
    <row r="214">
      <c r="A214" s="109"/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  <c r="AB214" s="109"/>
      <c r="AC214" s="109"/>
      <c r="AD214" s="109"/>
      <c r="AE214" s="109"/>
      <c r="AF214" s="109"/>
      <c r="AG214" s="109"/>
      <c r="AH214" s="109"/>
      <c r="AI214" s="109"/>
    </row>
    <row r="215">
      <c r="A215" s="109"/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  <c r="AB215" s="109"/>
      <c r="AC215" s="109"/>
      <c r="AD215" s="109"/>
      <c r="AE215" s="109"/>
      <c r="AF215" s="109"/>
      <c r="AG215" s="109"/>
      <c r="AH215" s="109"/>
      <c r="AI215" s="109"/>
    </row>
    <row r="216">
      <c r="A216" s="109"/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  <c r="AB216" s="109"/>
      <c r="AC216" s="109"/>
      <c r="AD216" s="109"/>
      <c r="AE216" s="109"/>
      <c r="AF216" s="109"/>
      <c r="AG216" s="109"/>
      <c r="AH216" s="109"/>
      <c r="AI216" s="109"/>
    </row>
    <row r="217">
      <c r="A217" s="109"/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  <c r="AB217" s="109"/>
      <c r="AC217" s="109"/>
      <c r="AD217" s="109"/>
      <c r="AE217" s="109"/>
      <c r="AF217" s="109"/>
      <c r="AG217" s="109"/>
      <c r="AH217" s="109"/>
      <c r="AI217" s="109"/>
    </row>
    <row r="218">
      <c r="A218" s="109"/>
      <c r="B218" s="109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  <c r="AB218" s="109"/>
      <c r="AC218" s="109"/>
      <c r="AD218" s="109"/>
      <c r="AE218" s="109"/>
      <c r="AF218" s="109"/>
      <c r="AG218" s="109"/>
      <c r="AH218" s="109"/>
      <c r="AI218" s="109"/>
    </row>
    <row r="219">
      <c r="A219" s="109"/>
      <c r="B219" s="109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  <c r="AB219" s="109"/>
      <c r="AC219" s="109"/>
      <c r="AD219" s="109"/>
      <c r="AE219" s="109"/>
      <c r="AF219" s="109"/>
      <c r="AG219" s="109"/>
      <c r="AH219" s="109"/>
      <c r="AI219" s="109"/>
    </row>
    <row r="220">
      <c r="A220" s="109"/>
      <c r="B220" s="109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  <c r="AA220" s="109"/>
      <c r="AB220" s="109"/>
      <c r="AC220" s="109"/>
      <c r="AD220" s="109"/>
      <c r="AE220" s="109"/>
      <c r="AF220" s="109"/>
      <c r="AG220" s="109"/>
      <c r="AH220" s="109"/>
      <c r="AI220" s="109"/>
    </row>
    <row r="221">
      <c r="A221" s="109"/>
      <c r="B221" s="109"/>
      <c r="C221" s="109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  <c r="AB221" s="109"/>
      <c r="AC221" s="109"/>
      <c r="AD221" s="109"/>
      <c r="AE221" s="109"/>
      <c r="AF221" s="109"/>
      <c r="AG221" s="109"/>
      <c r="AH221" s="109"/>
      <c r="AI221" s="109"/>
    </row>
    <row r="222">
      <c r="A222" s="109"/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  <c r="AB222" s="109"/>
      <c r="AC222" s="109"/>
      <c r="AD222" s="109"/>
      <c r="AE222" s="109"/>
      <c r="AF222" s="109"/>
      <c r="AG222" s="109"/>
      <c r="AH222" s="109"/>
      <c r="AI222" s="109"/>
    </row>
    <row r="223">
      <c r="A223" s="109"/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  <c r="AA223" s="109"/>
      <c r="AB223" s="109"/>
      <c r="AC223" s="109"/>
      <c r="AD223" s="109"/>
      <c r="AE223" s="109"/>
      <c r="AF223" s="109"/>
      <c r="AG223" s="109"/>
      <c r="AH223" s="109"/>
      <c r="AI223" s="109"/>
    </row>
    <row r="224">
      <c r="A224" s="109"/>
      <c r="B224" s="109"/>
      <c r="C224" s="109"/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  <c r="AB224" s="109"/>
      <c r="AC224" s="109"/>
      <c r="AD224" s="109"/>
      <c r="AE224" s="109"/>
      <c r="AF224" s="109"/>
      <c r="AG224" s="109"/>
      <c r="AH224" s="109"/>
      <c r="AI224" s="109"/>
    </row>
    <row r="225">
      <c r="A225" s="109"/>
      <c r="B225" s="109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  <c r="AA225" s="109"/>
      <c r="AB225" s="109"/>
      <c r="AC225" s="109"/>
      <c r="AD225" s="109"/>
      <c r="AE225" s="109"/>
      <c r="AF225" s="109"/>
      <c r="AG225" s="109"/>
      <c r="AH225" s="109"/>
      <c r="AI225" s="109"/>
    </row>
    <row r="226">
      <c r="A226" s="109"/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  <c r="AA226" s="109"/>
      <c r="AB226" s="109"/>
      <c r="AC226" s="109"/>
      <c r="AD226" s="109"/>
      <c r="AE226" s="109"/>
      <c r="AF226" s="109"/>
      <c r="AG226" s="109"/>
      <c r="AH226" s="109"/>
      <c r="AI226" s="109"/>
    </row>
    <row r="227">
      <c r="A227" s="109"/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  <c r="AB227" s="109"/>
      <c r="AC227" s="109"/>
      <c r="AD227" s="109"/>
      <c r="AE227" s="109"/>
      <c r="AF227" s="109"/>
      <c r="AG227" s="109"/>
      <c r="AH227" s="109"/>
      <c r="AI227" s="109"/>
    </row>
    <row r="228">
      <c r="A228" s="109"/>
      <c r="B228" s="109"/>
      <c r="C228" s="109"/>
      <c r="D228" s="109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  <c r="AB228" s="109"/>
      <c r="AC228" s="109"/>
      <c r="AD228" s="109"/>
      <c r="AE228" s="109"/>
      <c r="AF228" s="109"/>
      <c r="AG228" s="109"/>
      <c r="AH228" s="109"/>
      <c r="AI228" s="109"/>
    </row>
    <row r="229">
      <c r="A229" s="109"/>
      <c r="B229" s="109"/>
      <c r="C229" s="109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  <c r="AB229" s="109"/>
      <c r="AC229" s="109"/>
      <c r="AD229" s="109"/>
      <c r="AE229" s="109"/>
      <c r="AF229" s="109"/>
      <c r="AG229" s="109"/>
      <c r="AH229" s="109"/>
      <c r="AI229" s="109"/>
    </row>
    <row r="230">
      <c r="A230" s="109"/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  <c r="AB230" s="109"/>
      <c r="AC230" s="109"/>
      <c r="AD230" s="109"/>
      <c r="AE230" s="109"/>
      <c r="AF230" s="109"/>
      <c r="AG230" s="109"/>
      <c r="AH230" s="109"/>
      <c r="AI230" s="109"/>
    </row>
    <row r="231">
      <c r="A231" s="109"/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  <c r="AC231" s="109"/>
      <c r="AD231" s="109"/>
      <c r="AE231" s="109"/>
      <c r="AF231" s="109"/>
      <c r="AG231" s="109"/>
      <c r="AH231" s="109"/>
      <c r="AI231" s="109"/>
    </row>
    <row r="232">
      <c r="A232" s="109"/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  <c r="AB232" s="109"/>
      <c r="AC232" s="109"/>
      <c r="AD232" s="109"/>
      <c r="AE232" s="109"/>
      <c r="AF232" s="109"/>
      <c r="AG232" s="109"/>
      <c r="AH232" s="109"/>
      <c r="AI232" s="109"/>
    </row>
    <row r="233">
      <c r="A233" s="109"/>
      <c r="B233" s="109"/>
      <c r="C233" s="109"/>
      <c r="D233" s="109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  <c r="AC233" s="109"/>
      <c r="AD233" s="109"/>
      <c r="AE233" s="109"/>
      <c r="AF233" s="109"/>
      <c r="AG233" s="109"/>
      <c r="AH233" s="109"/>
      <c r="AI233" s="109"/>
    </row>
    <row r="234">
      <c r="A234" s="109"/>
      <c r="B234" s="109"/>
      <c r="C234" s="10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09"/>
    </row>
    <row r="235">
      <c r="A235" s="109"/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09"/>
      <c r="AI235" s="109"/>
    </row>
    <row r="236">
      <c r="A236" s="109"/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  <c r="AC236" s="109"/>
      <c r="AD236" s="109"/>
      <c r="AE236" s="109"/>
      <c r="AF236" s="109"/>
      <c r="AG236" s="109"/>
      <c r="AH236" s="109"/>
      <c r="AI236" s="109"/>
    </row>
    <row r="237">
      <c r="A237" s="109"/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  <c r="AB237" s="109"/>
      <c r="AC237" s="109"/>
      <c r="AD237" s="109"/>
      <c r="AE237" s="109"/>
      <c r="AF237" s="109"/>
      <c r="AG237" s="109"/>
      <c r="AH237" s="109"/>
      <c r="AI237" s="109"/>
    </row>
    <row r="238">
      <c r="A238" s="109"/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  <c r="AB238" s="109"/>
      <c r="AC238" s="109"/>
      <c r="AD238" s="109"/>
      <c r="AE238" s="109"/>
      <c r="AF238" s="109"/>
      <c r="AG238" s="109"/>
      <c r="AH238" s="109"/>
      <c r="AI238" s="109"/>
    </row>
    <row r="239">
      <c r="A239" s="109"/>
      <c r="B239" s="109"/>
      <c r="C239" s="109"/>
      <c r="D239" s="109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  <c r="AB239" s="109"/>
      <c r="AC239" s="109"/>
      <c r="AD239" s="109"/>
      <c r="AE239" s="109"/>
      <c r="AF239" s="109"/>
      <c r="AG239" s="109"/>
      <c r="AH239" s="109"/>
      <c r="AI239" s="109"/>
    </row>
    <row r="240">
      <c r="A240" s="109"/>
      <c r="B240" s="109"/>
      <c r="C240" s="109"/>
      <c r="D240" s="109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  <c r="AA240" s="109"/>
      <c r="AB240" s="109"/>
      <c r="AC240" s="109"/>
      <c r="AD240" s="109"/>
      <c r="AE240" s="109"/>
      <c r="AF240" s="109"/>
      <c r="AG240" s="109"/>
      <c r="AH240" s="109"/>
      <c r="AI240" s="109"/>
    </row>
    <row r="241">
      <c r="A241" s="109"/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  <c r="AA241" s="109"/>
      <c r="AB241" s="109"/>
      <c r="AC241" s="109"/>
      <c r="AD241" s="109"/>
      <c r="AE241" s="109"/>
      <c r="AF241" s="109"/>
      <c r="AG241" s="109"/>
      <c r="AH241" s="109"/>
      <c r="AI241" s="109"/>
    </row>
    <row r="242">
      <c r="A242" s="109"/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  <c r="AA242" s="109"/>
      <c r="AB242" s="109"/>
      <c r="AC242" s="109"/>
      <c r="AD242" s="109"/>
      <c r="AE242" s="109"/>
      <c r="AF242" s="109"/>
      <c r="AG242" s="109"/>
      <c r="AH242" s="109"/>
      <c r="AI242" s="109"/>
    </row>
    <row r="243">
      <c r="A243" s="109"/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  <c r="AA243" s="109"/>
      <c r="AB243" s="109"/>
      <c r="AC243" s="109"/>
      <c r="AD243" s="109"/>
      <c r="AE243" s="109"/>
      <c r="AF243" s="109"/>
      <c r="AG243" s="109"/>
      <c r="AH243" s="109"/>
      <c r="AI243" s="109"/>
    </row>
    <row r="244">
      <c r="A244" s="109"/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  <c r="AB244" s="109"/>
      <c r="AC244" s="109"/>
      <c r="AD244" s="109"/>
      <c r="AE244" s="109"/>
      <c r="AF244" s="109"/>
      <c r="AG244" s="109"/>
      <c r="AH244" s="109"/>
      <c r="AI244" s="109"/>
    </row>
    <row r="245">
      <c r="A245" s="109"/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  <c r="AA245" s="109"/>
      <c r="AB245" s="109"/>
      <c r="AC245" s="109"/>
      <c r="AD245" s="109"/>
      <c r="AE245" s="109"/>
      <c r="AF245" s="109"/>
      <c r="AG245" s="109"/>
      <c r="AH245" s="109"/>
      <c r="AI245" s="109"/>
    </row>
    <row r="246">
      <c r="A246" s="109"/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  <c r="AB246" s="109"/>
      <c r="AC246" s="109"/>
      <c r="AD246" s="109"/>
      <c r="AE246" s="109"/>
      <c r="AF246" s="109"/>
      <c r="AG246" s="109"/>
      <c r="AH246" s="109"/>
      <c r="AI246" s="109"/>
    </row>
    <row r="247">
      <c r="A247" s="109"/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  <c r="AB247" s="109"/>
      <c r="AC247" s="109"/>
      <c r="AD247" s="109"/>
      <c r="AE247" s="109"/>
      <c r="AF247" s="109"/>
      <c r="AG247" s="109"/>
      <c r="AH247" s="109"/>
      <c r="AI247" s="109"/>
    </row>
    <row r="248">
      <c r="A248" s="109"/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  <c r="AB248" s="109"/>
      <c r="AC248" s="109"/>
      <c r="AD248" s="109"/>
      <c r="AE248" s="109"/>
      <c r="AF248" s="109"/>
      <c r="AG248" s="109"/>
      <c r="AH248" s="109"/>
      <c r="AI248" s="109"/>
    </row>
    <row r="249">
      <c r="A249" s="109"/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  <c r="AB249" s="109"/>
      <c r="AC249" s="109"/>
      <c r="AD249" s="109"/>
      <c r="AE249" s="109"/>
      <c r="AF249" s="109"/>
      <c r="AG249" s="109"/>
      <c r="AH249" s="109"/>
      <c r="AI249" s="109"/>
    </row>
    <row r="250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  <c r="AB250" s="109"/>
      <c r="AC250" s="109"/>
      <c r="AD250" s="109"/>
      <c r="AE250" s="109"/>
      <c r="AF250" s="109"/>
      <c r="AG250" s="109"/>
      <c r="AH250" s="109"/>
      <c r="AI250" s="109"/>
    </row>
    <row r="251">
      <c r="A251" s="109"/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  <c r="AA251" s="109"/>
      <c r="AB251" s="109"/>
      <c r="AC251" s="109"/>
      <c r="AD251" s="109"/>
      <c r="AE251" s="109"/>
      <c r="AF251" s="109"/>
      <c r="AG251" s="109"/>
      <c r="AH251" s="109"/>
      <c r="AI251" s="109"/>
    </row>
    <row r="252">
      <c r="A252" s="109"/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  <c r="AA252" s="109"/>
      <c r="AB252" s="109"/>
      <c r="AC252" s="109"/>
      <c r="AD252" s="109"/>
      <c r="AE252" s="109"/>
      <c r="AF252" s="109"/>
      <c r="AG252" s="109"/>
      <c r="AH252" s="109"/>
      <c r="AI252" s="109"/>
    </row>
    <row r="253">
      <c r="A253" s="109"/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  <c r="AA253" s="109"/>
      <c r="AB253" s="109"/>
      <c r="AC253" s="109"/>
      <c r="AD253" s="109"/>
      <c r="AE253" s="109"/>
      <c r="AF253" s="109"/>
      <c r="AG253" s="109"/>
      <c r="AH253" s="109"/>
      <c r="AI253" s="109"/>
    </row>
    <row r="254">
      <c r="A254" s="109"/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  <c r="AA254" s="109"/>
      <c r="AB254" s="109"/>
      <c r="AC254" s="109"/>
      <c r="AD254" s="109"/>
      <c r="AE254" s="109"/>
      <c r="AF254" s="109"/>
      <c r="AG254" s="109"/>
      <c r="AH254" s="109"/>
      <c r="AI254" s="109"/>
    </row>
    <row r="255">
      <c r="A255" s="109"/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  <c r="AB255" s="109"/>
      <c r="AC255" s="109"/>
      <c r="AD255" s="109"/>
      <c r="AE255" s="109"/>
      <c r="AF255" s="109"/>
      <c r="AG255" s="109"/>
      <c r="AH255" s="109"/>
      <c r="AI255" s="109"/>
    </row>
    <row r="256">
      <c r="A256" s="109"/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  <c r="AA256" s="109"/>
      <c r="AB256" s="109"/>
      <c r="AC256" s="109"/>
      <c r="AD256" s="109"/>
      <c r="AE256" s="109"/>
      <c r="AF256" s="109"/>
      <c r="AG256" s="109"/>
      <c r="AH256" s="109"/>
      <c r="AI256" s="109"/>
    </row>
    <row r="257">
      <c r="A257" s="109"/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09"/>
    </row>
    <row r="258">
      <c r="A258" s="109"/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09"/>
      <c r="AI258" s="109"/>
    </row>
    <row r="259">
      <c r="A259" s="109"/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  <c r="AC259" s="109"/>
      <c r="AD259" s="109"/>
      <c r="AE259" s="109"/>
      <c r="AF259" s="109"/>
      <c r="AG259" s="109"/>
      <c r="AH259" s="109"/>
      <c r="AI259" s="109"/>
    </row>
    <row r="260">
      <c r="A260" s="109"/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  <c r="AC260" s="109"/>
      <c r="AD260" s="109"/>
      <c r="AE260" s="109"/>
      <c r="AF260" s="109"/>
      <c r="AG260" s="109"/>
      <c r="AH260" s="109"/>
      <c r="AI260" s="109"/>
    </row>
    <row r="261">
      <c r="A261" s="109"/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  <c r="AB261" s="109"/>
      <c r="AC261" s="109"/>
      <c r="AD261" s="109"/>
      <c r="AE261" s="109"/>
      <c r="AF261" s="109"/>
      <c r="AG261" s="109"/>
      <c r="AH261" s="109"/>
      <c r="AI261" s="109"/>
    </row>
    <row r="262">
      <c r="A262" s="109"/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  <c r="AA262" s="109"/>
      <c r="AB262" s="109"/>
      <c r="AC262" s="109"/>
      <c r="AD262" s="109"/>
      <c r="AE262" s="109"/>
      <c r="AF262" s="109"/>
      <c r="AG262" s="109"/>
      <c r="AH262" s="109"/>
      <c r="AI262" s="109"/>
    </row>
    <row r="263">
      <c r="A263" s="109"/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  <c r="AB263" s="109"/>
      <c r="AC263" s="109"/>
      <c r="AD263" s="109"/>
      <c r="AE263" s="109"/>
      <c r="AF263" s="109"/>
      <c r="AG263" s="109"/>
      <c r="AH263" s="109"/>
      <c r="AI263" s="109"/>
    </row>
    <row r="264">
      <c r="A264" s="109"/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  <c r="AA264" s="109"/>
      <c r="AB264" s="109"/>
      <c r="AC264" s="109"/>
      <c r="AD264" s="109"/>
      <c r="AE264" s="109"/>
      <c r="AF264" s="109"/>
      <c r="AG264" s="109"/>
      <c r="AH264" s="109"/>
      <c r="AI264" s="109"/>
    </row>
    <row r="265">
      <c r="A265" s="109"/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  <c r="AA265" s="109"/>
      <c r="AB265" s="109"/>
      <c r="AC265" s="109"/>
      <c r="AD265" s="109"/>
      <c r="AE265" s="109"/>
      <c r="AF265" s="109"/>
      <c r="AG265" s="109"/>
      <c r="AH265" s="109"/>
      <c r="AI265" s="109"/>
    </row>
    <row r="266">
      <c r="A266" s="109"/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  <c r="AA266" s="109"/>
      <c r="AB266" s="109"/>
      <c r="AC266" s="109"/>
      <c r="AD266" s="109"/>
      <c r="AE266" s="109"/>
      <c r="AF266" s="109"/>
      <c r="AG266" s="109"/>
      <c r="AH266" s="109"/>
      <c r="AI266" s="109"/>
    </row>
    <row r="267">
      <c r="A267" s="109"/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  <c r="AA267" s="109"/>
      <c r="AB267" s="109"/>
      <c r="AC267" s="109"/>
      <c r="AD267" s="109"/>
      <c r="AE267" s="109"/>
      <c r="AF267" s="109"/>
      <c r="AG267" s="109"/>
      <c r="AH267" s="109"/>
      <c r="AI267" s="109"/>
    </row>
    <row r="268">
      <c r="A268" s="109"/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  <c r="AA268" s="109"/>
      <c r="AB268" s="109"/>
      <c r="AC268" s="109"/>
      <c r="AD268" s="109"/>
      <c r="AE268" s="109"/>
      <c r="AF268" s="109"/>
      <c r="AG268" s="109"/>
      <c r="AH268" s="109"/>
      <c r="AI268" s="109"/>
    </row>
    <row r="269">
      <c r="A269" s="109"/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  <c r="AA269" s="109"/>
      <c r="AB269" s="109"/>
      <c r="AC269" s="109"/>
      <c r="AD269" s="109"/>
      <c r="AE269" s="109"/>
      <c r="AF269" s="109"/>
      <c r="AG269" s="109"/>
      <c r="AH269" s="109"/>
      <c r="AI269" s="109"/>
    </row>
    <row r="270">
      <c r="A270" s="109"/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  <c r="AA270" s="109"/>
      <c r="AB270" s="109"/>
      <c r="AC270" s="109"/>
      <c r="AD270" s="109"/>
      <c r="AE270" s="109"/>
      <c r="AF270" s="109"/>
      <c r="AG270" s="109"/>
      <c r="AH270" s="109"/>
      <c r="AI270" s="109"/>
    </row>
    <row r="271">
      <c r="A271" s="109"/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  <c r="AA271" s="109"/>
      <c r="AB271" s="109"/>
      <c r="AC271" s="109"/>
      <c r="AD271" s="109"/>
      <c r="AE271" s="109"/>
      <c r="AF271" s="109"/>
      <c r="AG271" s="109"/>
      <c r="AH271" s="109"/>
      <c r="AI271" s="109"/>
    </row>
    <row r="272">
      <c r="A272" s="109"/>
      <c r="B272" s="109"/>
      <c r="C272" s="109"/>
      <c r="D272" s="109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  <c r="AA272" s="109"/>
      <c r="AB272" s="109"/>
      <c r="AC272" s="109"/>
      <c r="AD272" s="109"/>
      <c r="AE272" s="109"/>
      <c r="AF272" s="109"/>
      <c r="AG272" s="109"/>
      <c r="AH272" s="109"/>
      <c r="AI272" s="109"/>
    </row>
    <row r="273">
      <c r="A273" s="109"/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  <c r="AA273" s="109"/>
      <c r="AB273" s="109"/>
      <c r="AC273" s="109"/>
      <c r="AD273" s="109"/>
      <c r="AE273" s="109"/>
      <c r="AF273" s="109"/>
      <c r="AG273" s="109"/>
      <c r="AH273" s="109"/>
      <c r="AI273" s="109"/>
    </row>
    <row r="274">
      <c r="A274" s="109"/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  <c r="AA274" s="109"/>
      <c r="AB274" s="109"/>
      <c r="AC274" s="109"/>
      <c r="AD274" s="109"/>
      <c r="AE274" s="109"/>
      <c r="AF274" s="109"/>
      <c r="AG274" s="109"/>
      <c r="AH274" s="109"/>
      <c r="AI274" s="109"/>
    </row>
    <row r="275">
      <c r="A275" s="109"/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  <c r="AA275" s="109"/>
      <c r="AB275" s="109"/>
      <c r="AC275" s="109"/>
      <c r="AD275" s="109"/>
      <c r="AE275" s="109"/>
      <c r="AF275" s="109"/>
      <c r="AG275" s="109"/>
      <c r="AH275" s="109"/>
      <c r="AI275" s="109"/>
    </row>
    <row r="276">
      <c r="A276" s="109"/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  <c r="AB276" s="109"/>
      <c r="AC276" s="109"/>
      <c r="AD276" s="109"/>
      <c r="AE276" s="109"/>
      <c r="AF276" s="109"/>
      <c r="AG276" s="109"/>
      <c r="AH276" s="109"/>
      <c r="AI276" s="109"/>
    </row>
    <row r="277">
      <c r="A277" s="109"/>
      <c r="B277" s="109"/>
      <c r="C277" s="109"/>
      <c r="D277" s="109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  <c r="AA277" s="109"/>
      <c r="AB277" s="109"/>
      <c r="AC277" s="109"/>
      <c r="AD277" s="109"/>
      <c r="AE277" s="109"/>
      <c r="AF277" s="109"/>
      <c r="AG277" s="109"/>
      <c r="AH277" s="109"/>
      <c r="AI277" s="109"/>
    </row>
    <row r="278">
      <c r="A278" s="109"/>
      <c r="B278" s="109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  <c r="AA278" s="109"/>
      <c r="AB278" s="109"/>
      <c r="AC278" s="109"/>
      <c r="AD278" s="109"/>
      <c r="AE278" s="109"/>
      <c r="AF278" s="109"/>
      <c r="AG278" s="109"/>
      <c r="AH278" s="109"/>
      <c r="AI278" s="109"/>
    </row>
    <row r="279">
      <c r="A279" s="109"/>
      <c r="B279" s="109"/>
      <c r="C279" s="109"/>
      <c r="D279" s="109"/>
      <c r="E279" s="109"/>
      <c r="F279" s="109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  <c r="AA279" s="109"/>
      <c r="AB279" s="109"/>
      <c r="AC279" s="109"/>
      <c r="AD279" s="109"/>
      <c r="AE279" s="109"/>
      <c r="AF279" s="109"/>
      <c r="AG279" s="109"/>
      <c r="AH279" s="109"/>
      <c r="AI279" s="109"/>
    </row>
    <row r="280">
      <c r="A280" s="109"/>
      <c r="B280" s="109"/>
      <c r="C280" s="109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09"/>
    </row>
    <row r="281">
      <c r="A281" s="109"/>
      <c r="B281" s="109"/>
      <c r="C281" s="109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09"/>
      <c r="AI281" s="109"/>
    </row>
    <row r="282">
      <c r="A282" s="109"/>
      <c r="B282" s="109"/>
      <c r="C282" s="109"/>
      <c r="D282" s="109"/>
      <c r="E282" s="109"/>
      <c r="F282" s="109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  <c r="AA282" s="109"/>
      <c r="AB282" s="109"/>
      <c r="AC282" s="109"/>
      <c r="AD282" s="109"/>
      <c r="AE282" s="109"/>
      <c r="AF282" s="109"/>
      <c r="AG282" s="109"/>
      <c r="AH282" s="109"/>
      <c r="AI282" s="109"/>
    </row>
    <row r="283">
      <c r="A283" s="109"/>
      <c r="B283" s="109"/>
      <c r="C283" s="109"/>
      <c r="D283" s="109"/>
      <c r="E283" s="109"/>
      <c r="F283" s="109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  <c r="AB283" s="109"/>
      <c r="AC283" s="109"/>
      <c r="AD283" s="109"/>
      <c r="AE283" s="109"/>
      <c r="AF283" s="109"/>
      <c r="AG283" s="109"/>
      <c r="AH283" s="109"/>
      <c r="AI283" s="109"/>
    </row>
    <row r="284">
      <c r="A284" s="109"/>
      <c r="B284" s="109"/>
      <c r="C284" s="109"/>
      <c r="D284" s="109"/>
      <c r="E284" s="109"/>
      <c r="F284" s="109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  <c r="AA284" s="109"/>
      <c r="AB284" s="109"/>
      <c r="AC284" s="109"/>
      <c r="AD284" s="109"/>
      <c r="AE284" s="109"/>
      <c r="AF284" s="109"/>
      <c r="AG284" s="109"/>
      <c r="AH284" s="109"/>
      <c r="AI284" s="109"/>
    </row>
    <row r="285">
      <c r="A285" s="109"/>
      <c r="B285" s="109"/>
      <c r="C285" s="109"/>
      <c r="D285" s="109"/>
      <c r="E285" s="109"/>
      <c r="F285" s="109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  <c r="AA285" s="109"/>
      <c r="AB285" s="109"/>
      <c r="AC285" s="109"/>
      <c r="AD285" s="109"/>
      <c r="AE285" s="109"/>
      <c r="AF285" s="109"/>
      <c r="AG285" s="109"/>
      <c r="AH285" s="109"/>
      <c r="AI285" s="109"/>
    </row>
    <row r="286">
      <c r="A286" s="109"/>
      <c r="B286" s="109"/>
      <c r="C286" s="109"/>
      <c r="D286" s="109"/>
      <c r="E286" s="109"/>
      <c r="F286" s="109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  <c r="AA286" s="109"/>
      <c r="AB286" s="109"/>
      <c r="AC286" s="109"/>
      <c r="AD286" s="109"/>
      <c r="AE286" s="109"/>
      <c r="AF286" s="109"/>
      <c r="AG286" s="109"/>
      <c r="AH286" s="109"/>
      <c r="AI286" s="109"/>
    </row>
    <row r="287">
      <c r="A287" s="109"/>
      <c r="B287" s="109"/>
      <c r="C287" s="109"/>
      <c r="D287" s="109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  <c r="AB287" s="109"/>
      <c r="AC287" s="109"/>
      <c r="AD287" s="109"/>
      <c r="AE287" s="109"/>
      <c r="AF287" s="109"/>
      <c r="AG287" s="109"/>
      <c r="AH287" s="109"/>
      <c r="AI287" s="109"/>
    </row>
    <row r="288">
      <c r="A288" s="109"/>
      <c r="B288" s="109"/>
      <c r="C288" s="109"/>
      <c r="D288" s="109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  <c r="AA288" s="109"/>
      <c r="AB288" s="109"/>
      <c r="AC288" s="109"/>
      <c r="AD288" s="109"/>
      <c r="AE288" s="109"/>
      <c r="AF288" s="109"/>
      <c r="AG288" s="109"/>
      <c r="AH288" s="109"/>
      <c r="AI288" s="109"/>
    </row>
    <row r="289">
      <c r="A289" s="109"/>
      <c r="B289" s="109"/>
      <c r="C289" s="109"/>
      <c r="D289" s="109"/>
      <c r="E289" s="109"/>
      <c r="F289" s="109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  <c r="AA289" s="109"/>
      <c r="AB289" s="109"/>
      <c r="AC289" s="109"/>
      <c r="AD289" s="109"/>
      <c r="AE289" s="109"/>
      <c r="AF289" s="109"/>
      <c r="AG289" s="109"/>
      <c r="AH289" s="109"/>
      <c r="AI289" s="109"/>
    </row>
    <row r="290">
      <c r="A290" s="109"/>
      <c r="B290" s="109"/>
      <c r="C290" s="109"/>
      <c r="D290" s="109"/>
      <c r="E290" s="109"/>
      <c r="F290" s="109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  <c r="AA290" s="109"/>
      <c r="AB290" s="109"/>
      <c r="AC290" s="109"/>
      <c r="AD290" s="109"/>
      <c r="AE290" s="109"/>
      <c r="AF290" s="109"/>
      <c r="AG290" s="109"/>
      <c r="AH290" s="109"/>
      <c r="AI290" s="109"/>
    </row>
    <row r="291">
      <c r="A291" s="109"/>
      <c r="B291" s="109"/>
      <c r="C291" s="109"/>
      <c r="D291" s="109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  <c r="AA291" s="109"/>
      <c r="AB291" s="109"/>
      <c r="AC291" s="109"/>
      <c r="AD291" s="109"/>
      <c r="AE291" s="109"/>
      <c r="AF291" s="109"/>
      <c r="AG291" s="109"/>
      <c r="AH291" s="109"/>
      <c r="AI291" s="109"/>
    </row>
    <row r="292">
      <c r="A292" s="109"/>
      <c r="B292" s="109"/>
      <c r="C292" s="109"/>
      <c r="D292" s="109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  <c r="AA292" s="109"/>
      <c r="AB292" s="109"/>
      <c r="AC292" s="109"/>
      <c r="AD292" s="109"/>
      <c r="AE292" s="109"/>
      <c r="AF292" s="109"/>
      <c r="AG292" s="109"/>
      <c r="AH292" s="109"/>
      <c r="AI292" s="109"/>
    </row>
    <row r="293">
      <c r="A293" s="109"/>
      <c r="B293" s="109"/>
      <c r="C293" s="109"/>
      <c r="D293" s="109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  <c r="AA293" s="109"/>
      <c r="AB293" s="109"/>
      <c r="AC293" s="109"/>
      <c r="AD293" s="109"/>
      <c r="AE293" s="109"/>
      <c r="AF293" s="109"/>
      <c r="AG293" s="109"/>
      <c r="AH293" s="109"/>
      <c r="AI293" s="109"/>
    </row>
    <row r="294">
      <c r="A294" s="109"/>
      <c r="B294" s="109"/>
      <c r="C294" s="109"/>
      <c r="D294" s="109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  <c r="AA294" s="109"/>
      <c r="AB294" s="109"/>
      <c r="AC294" s="109"/>
      <c r="AD294" s="109"/>
      <c r="AE294" s="109"/>
      <c r="AF294" s="109"/>
      <c r="AG294" s="109"/>
      <c r="AH294" s="109"/>
      <c r="AI294" s="109"/>
    </row>
    <row r="295">
      <c r="A295" s="109"/>
      <c r="B295" s="109"/>
      <c r="C295" s="109"/>
      <c r="D295" s="109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  <c r="AA295" s="109"/>
      <c r="AB295" s="109"/>
      <c r="AC295" s="109"/>
      <c r="AD295" s="109"/>
      <c r="AE295" s="109"/>
      <c r="AF295" s="109"/>
      <c r="AG295" s="109"/>
      <c r="AH295" s="109"/>
      <c r="AI295" s="109"/>
    </row>
    <row r="296">
      <c r="A296" s="109"/>
      <c r="B296" s="109"/>
      <c r="C296" s="109"/>
      <c r="D296" s="109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  <c r="AA296" s="109"/>
      <c r="AB296" s="109"/>
      <c r="AC296" s="109"/>
      <c r="AD296" s="109"/>
      <c r="AE296" s="109"/>
      <c r="AF296" s="109"/>
      <c r="AG296" s="109"/>
      <c r="AH296" s="109"/>
      <c r="AI296" s="109"/>
    </row>
    <row r="297">
      <c r="A297" s="109"/>
      <c r="B297" s="109"/>
      <c r="C297" s="109"/>
      <c r="D297" s="109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  <c r="AA297" s="109"/>
      <c r="AB297" s="109"/>
      <c r="AC297" s="109"/>
      <c r="AD297" s="109"/>
      <c r="AE297" s="109"/>
      <c r="AF297" s="109"/>
      <c r="AG297" s="109"/>
      <c r="AH297" s="109"/>
      <c r="AI297" s="109"/>
    </row>
    <row r="298">
      <c r="A298" s="109"/>
      <c r="B298" s="109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  <c r="AA298" s="109"/>
      <c r="AB298" s="109"/>
      <c r="AC298" s="109"/>
      <c r="AD298" s="109"/>
      <c r="AE298" s="109"/>
      <c r="AF298" s="109"/>
      <c r="AG298" s="109"/>
      <c r="AH298" s="109"/>
      <c r="AI298" s="109"/>
    </row>
    <row r="299">
      <c r="A299" s="109"/>
      <c r="B299" s="109"/>
      <c r="C299" s="109"/>
      <c r="D299" s="109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  <c r="AA299" s="109"/>
      <c r="AB299" s="109"/>
      <c r="AC299" s="109"/>
      <c r="AD299" s="109"/>
      <c r="AE299" s="109"/>
      <c r="AF299" s="109"/>
      <c r="AG299" s="109"/>
      <c r="AH299" s="109"/>
      <c r="AI299" s="109"/>
    </row>
    <row r="300">
      <c r="A300" s="109"/>
      <c r="B300" s="109"/>
      <c r="C300" s="109"/>
      <c r="D300" s="109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  <c r="AA300" s="109"/>
      <c r="AB300" s="109"/>
      <c r="AC300" s="109"/>
      <c r="AD300" s="109"/>
      <c r="AE300" s="109"/>
      <c r="AF300" s="109"/>
      <c r="AG300" s="109"/>
      <c r="AH300" s="109"/>
      <c r="AI300" s="109"/>
    </row>
    <row r="301">
      <c r="A301" s="109"/>
      <c r="B301" s="109"/>
      <c r="C301" s="109"/>
      <c r="D301" s="109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  <c r="AA301" s="109"/>
      <c r="AB301" s="109"/>
      <c r="AC301" s="109"/>
      <c r="AD301" s="109"/>
      <c r="AE301" s="109"/>
      <c r="AF301" s="109"/>
      <c r="AG301" s="109"/>
      <c r="AH301" s="109"/>
      <c r="AI301" s="109"/>
    </row>
    <row r="302">
      <c r="A302" s="109"/>
      <c r="B302" s="109"/>
      <c r="C302" s="109"/>
      <c r="D302" s="109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  <c r="AA302" s="109"/>
      <c r="AB302" s="109"/>
      <c r="AC302" s="109"/>
      <c r="AD302" s="109"/>
      <c r="AE302" s="109"/>
      <c r="AF302" s="109"/>
      <c r="AG302" s="109"/>
      <c r="AH302" s="109"/>
      <c r="AI302" s="109"/>
    </row>
    <row r="303">
      <c r="A303" s="109"/>
      <c r="B303" s="109"/>
      <c r="C303" s="10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09"/>
    </row>
    <row r="304">
      <c r="A304" s="109"/>
      <c r="B304" s="109"/>
      <c r="C304" s="109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09"/>
      <c r="AI304" s="109"/>
    </row>
    <row r="305">
      <c r="A305" s="109"/>
      <c r="B305" s="109"/>
      <c r="C305" s="109"/>
      <c r="D305" s="109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  <c r="AA305" s="109"/>
      <c r="AB305" s="109"/>
      <c r="AC305" s="109"/>
      <c r="AD305" s="109"/>
      <c r="AE305" s="109"/>
      <c r="AF305" s="109"/>
      <c r="AG305" s="109"/>
      <c r="AH305" s="109"/>
      <c r="AI305" s="109"/>
    </row>
    <row r="306">
      <c r="A306" s="109"/>
      <c r="B306" s="109"/>
      <c r="C306" s="109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  <c r="AA306" s="109"/>
      <c r="AB306" s="109"/>
      <c r="AC306" s="109"/>
      <c r="AD306" s="109"/>
      <c r="AE306" s="109"/>
      <c r="AF306" s="109"/>
      <c r="AG306" s="109"/>
      <c r="AH306" s="109"/>
      <c r="AI306" s="109"/>
    </row>
    <row r="307">
      <c r="A307" s="109"/>
      <c r="B307" s="109"/>
      <c r="C307" s="109"/>
      <c r="D307" s="109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  <c r="AA307" s="109"/>
      <c r="AB307" s="109"/>
      <c r="AC307" s="109"/>
      <c r="AD307" s="109"/>
      <c r="AE307" s="109"/>
      <c r="AF307" s="109"/>
      <c r="AG307" s="109"/>
      <c r="AH307" s="109"/>
      <c r="AI307" s="109"/>
    </row>
    <row r="308">
      <c r="A308" s="109"/>
      <c r="B308" s="109"/>
      <c r="C308" s="109"/>
      <c r="D308" s="109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  <c r="AA308" s="109"/>
      <c r="AB308" s="109"/>
      <c r="AC308" s="109"/>
      <c r="AD308" s="109"/>
      <c r="AE308" s="109"/>
      <c r="AF308" s="109"/>
      <c r="AG308" s="109"/>
      <c r="AH308" s="109"/>
      <c r="AI308" s="109"/>
    </row>
    <row r="309">
      <c r="A309" s="109"/>
      <c r="B309" s="109"/>
      <c r="C309" s="109"/>
      <c r="D309" s="109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  <c r="AA309" s="109"/>
      <c r="AB309" s="109"/>
      <c r="AC309" s="109"/>
      <c r="AD309" s="109"/>
      <c r="AE309" s="109"/>
      <c r="AF309" s="109"/>
      <c r="AG309" s="109"/>
      <c r="AH309" s="109"/>
      <c r="AI309" s="109"/>
    </row>
    <row r="310">
      <c r="A310" s="109"/>
      <c r="B310" s="109"/>
      <c r="C310" s="109"/>
      <c r="D310" s="109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  <c r="AA310" s="109"/>
      <c r="AB310" s="109"/>
      <c r="AC310" s="109"/>
      <c r="AD310" s="109"/>
      <c r="AE310" s="109"/>
      <c r="AF310" s="109"/>
      <c r="AG310" s="109"/>
      <c r="AH310" s="109"/>
      <c r="AI310" s="109"/>
    </row>
    <row r="311">
      <c r="A311" s="109"/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  <c r="AA311" s="109"/>
      <c r="AB311" s="109"/>
      <c r="AC311" s="109"/>
      <c r="AD311" s="109"/>
      <c r="AE311" s="109"/>
      <c r="AF311" s="109"/>
      <c r="AG311" s="109"/>
      <c r="AH311" s="109"/>
      <c r="AI311" s="109"/>
    </row>
    <row r="312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  <c r="AA312" s="109"/>
      <c r="AB312" s="109"/>
      <c r="AC312" s="109"/>
      <c r="AD312" s="109"/>
      <c r="AE312" s="109"/>
      <c r="AF312" s="109"/>
      <c r="AG312" s="109"/>
      <c r="AH312" s="109"/>
      <c r="AI312" s="109"/>
    </row>
    <row r="313">
      <c r="A313" s="109"/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  <c r="AA313" s="109"/>
      <c r="AB313" s="109"/>
      <c r="AC313" s="109"/>
      <c r="AD313" s="109"/>
      <c r="AE313" s="109"/>
      <c r="AF313" s="109"/>
      <c r="AG313" s="109"/>
      <c r="AH313" s="109"/>
      <c r="AI313" s="109"/>
    </row>
    <row r="314">
      <c r="A314" s="109"/>
      <c r="B314" s="109"/>
      <c r="C314" s="109"/>
      <c r="D314" s="109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  <c r="AA314" s="109"/>
      <c r="AB314" s="109"/>
      <c r="AC314" s="109"/>
      <c r="AD314" s="109"/>
      <c r="AE314" s="109"/>
      <c r="AF314" s="109"/>
      <c r="AG314" s="109"/>
      <c r="AH314" s="109"/>
      <c r="AI314" s="109"/>
    </row>
    <row r="315">
      <c r="A315" s="109"/>
      <c r="B315" s="109"/>
      <c r="C315" s="109"/>
      <c r="D315" s="109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  <c r="AA315" s="109"/>
      <c r="AB315" s="109"/>
      <c r="AC315" s="109"/>
      <c r="AD315" s="109"/>
      <c r="AE315" s="109"/>
      <c r="AF315" s="109"/>
      <c r="AG315" s="109"/>
      <c r="AH315" s="109"/>
      <c r="AI315" s="109"/>
    </row>
    <row r="316">
      <c r="A316" s="109"/>
      <c r="B316" s="109"/>
      <c r="C316" s="109"/>
      <c r="D316" s="109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  <c r="AA316" s="109"/>
      <c r="AB316" s="109"/>
      <c r="AC316" s="109"/>
      <c r="AD316" s="109"/>
      <c r="AE316" s="109"/>
      <c r="AF316" s="109"/>
      <c r="AG316" s="109"/>
      <c r="AH316" s="109"/>
      <c r="AI316" s="109"/>
    </row>
    <row r="317">
      <c r="A317" s="109"/>
      <c r="B317" s="109"/>
      <c r="C317" s="109"/>
      <c r="D317" s="109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  <c r="AA317" s="109"/>
      <c r="AB317" s="109"/>
      <c r="AC317" s="109"/>
      <c r="AD317" s="109"/>
      <c r="AE317" s="109"/>
      <c r="AF317" s="109"/>
      <c r="AG317" s="109"/>
      <c r="AH317" s="109"/>
      <c r="AI317" s="109"/>
    </row>
    <row r="318">
      <c r="A318" s="109"/>
      <c r="B318" s="109"/>
      <c r="C318" s="109"/>
      <c r="D318" s="109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  <c r="AA318" s="109"/>
      <c r="AB318" s="109"/>
      <c r="AC318" s="109"/>
      <c r="AD318" s="109"/>
      <c r="AE318" s="109"/>
      <c r="AF318" s="109"/>
      <c r="AG318" s="109"/>
      <c r="AH318" s="109"/>
      <c r="AI318" s="109"/>
    </row>
    <row r="319">
      <c r="A319" s="109"/>
      <c r="B319" s="109"/>
      <c r="C319" s="109"/>
      <c r="D319" s="109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  <c r="AA319" s="109"/>
      <c r="AB319" s="109"/>
      <c r="AC319" s="109"/>
      <c r="AD319" s="109"/>
      <c r="AE319" s="109"/>
      <c r="AF319" s="109"/>
      <c r="AG319" s="109"/>
      <c r="AH319" s="109"/>
      <c r="AI319" s="109"/>
    </row>
    <row r="320">
      <c r="A320" s="109"/>
      <c r="B320" s="109"/>
      <c r="C320" s="109"/>
      <c r="D320" s="109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  <c r="AA320" s="109"/>
      <c r="AB320" s="109"/>
      <c r="AC320" s="109"/>
      <c r="AD320" s="109"/>
      <c r="AE320" s="109"/>
      <c r="AF320" s="109"/>
      <c r="AG320" s="109"/>
      <c r="AH320" s="109"/>
      <c r="AI320" s="109"/>
    </row>
    <row r="321">
      <c r="A321" s="109"/>
      <c r="B321" s="109"/>
      <c r="C321" s="109"/>
      <c r="D321" s="109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  <c r="AA321" s="109"/>
      <c r="AB321" s="109"/>
      <c r="AC321" s="109"/>
      <c r="AD321" s="109"/>
      <c r="AE321" s="109"/>
      <c r="AF321" s="109"/>
      <c r="AG321" s="109"/>
      <c r="AH321" s="109"/>
      <c r="AI321" s="109"/>
    </row>
    <row r="322">
      <c r="A322" s="109"/>
      <c r="B322" s="109"/>
      <c r="C322" s="109"/>
      <c r="D322" s="109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  <c r="AA322" s="109"/>
      <c r="AB322" s="109"/>
      <c r="AC322" s="109"/>
      <c r="AD322" s="109"/>
      <c r="AE322" s="109"/>
      <c r="AF322" s="109"/>
      <c r="AG322" s="109"/>
      <c r="AH322" s="109"/>
      <c r="AI322" s="109"/>
    </row>
    <row r="323">
      <c r="A323" s="109"/>
      <c r="B323" s="109"/>
      <c r="C323" s="109"/>
      <c r="D323" s="109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  <c r="AB323" s="109"/>
      <c r="AC323" s="109"/>
      <c r="AD323" s="109"/>
      <c r="AE323" s="109"/>
      <c r="AF323" s="109"/>
      <c r="AG323" s="109"/>
      <c r="AH323" s="109"/>
      <c r="AI323" s="109"/>
    </row>
    <row r="324">
      <c r="A324" s="109"/>
      <c r="B324" s="109"/>
      <c r="C324" s="109"/>
      <c r="D324" s="109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  <c r="AA324" s="109"/>
      <c r="AB324" s="109"/>
      <c r="AC324" s="109"/>
      <c r="AD324" s="109"/>
      <c r="AE324" s="109"/>
      <c r="AF324" s="109"/>
      <c r="AG324" s="109"/>
      <c r="AH324" s="109"/>
      <c r="AI324" s="109"/>
    </row>
    <row r="325">
      <c r="A325" s="109"/>
      <c r="B325" s="109"/>
      <c r="C325" s="109"/>
      <c r="D325" s="109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  <c r="AA325" s="109"/>
      <c r="AB325" s="109"/>
      <c r="AC325" s="109"/>
      <c r="AD325" s="109"/>
      <c r="AE325" s="109"/>
      <c r="AF325" s="109"/>
      <c r="AG325" s="109"/>
      <c r="AH325" s="109"/>
      <c r="AI325" s="109"/>
    </row>
    <row r="326">
      <c r="A326" s="109"/>
      <c r="B326" s="109"/>
      <c r="C326" s="10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09"/>
    </row>
    <row r="327">
      <c r="A327" s="109"/>
      <c r="B327" s="109"/>
      <c r="C327" s="109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09"/>
      <c r="AI327" s="109"/>
    </row>
    <row r="328">
      <c r="A328" s="109"/>
      <c r="B328" s="109"/>
      <c r="C328" s="109"/>
      <c r="D328" s="109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  <c r="AA328" s="109"/>
      <c r="AB328" s="109"/>
      <c r="AC328" s="109"/>
      <c r="AD328" s="109"/>
      <c r="AE328" s="109"/>
      <c r="AF328" s="109"/>
      <c r="AG328" s="109"/>
      <c r="AH328" s="109"/>
      <c r="AI328" s="109"/>
    </row>
    <row r="329">
      <c r="A329" s="109"/>
      <c r="B329" s="109"/>
      <c r="C329" s="109"/>
      <c r="D329" s="109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  <c r="AA329" s="109"/>
      <c r="AB329" s="109"/>
      <c r="AC329" s="109"/>
      <c r="AD329" s="109"/>
      <c r="AE329" s="109"/>
      <c r="AF329" s="109"/>
      <c r="AG329" s="109"/>
      <c r="AH329" s="109"/>
      <c r="AI329" s="109"/>
    </row>
    <row r="330">
      <c r="A330" s="109"/>
      <c r="B330" s="109"/>
      <c r="C330" s="109"/>
      <c r="D330" s="109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  <c r="AA330" s="109"/>
      <c r="AB330" s="109"/>
      <c r="AC330" s="109"/>
      <c r="AD330" s="109"/>
      <c r="AE330" s="109"/>
      <c r="AF330" s="109"/>
      <c r="AG330" s="109"/>
      <c r="AH330" s="109"/>
      <c r="AI330" s="109"/>
    </row>
    <row r="331">
      <c r="A331" s="109"/>
      <c r="B331" s="109"/>
      <c r="C331" s="109"/>
      <c r="D331" s="109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  <c r="AA331" s="109"/>
      <c r="AB331" s="109"/>
      <c r="AC331" s="109"/>
      <c r="AD331" s="109"/>
      <c r="AE331" s="109"/>
      <c r="AF331" s="109"/>
      <c r="AG331" s="109"/>
      <c r="AH331" s="109"/>
      <c r="AI331" s="109"/>
    </row>
    <row r="332">
      <c r="A332" s="109"/>
      <c r="B332" s="109"/>
      <c r="C332" s="109"/>
      <c r="D332" s="109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  <c r="AA332" s="109"/>
      <c r="AB332" s="109"/>
      <c r="AC332" s="109"/>
      <c r="AD332" s="109"/>
      <c r="AE332" s="109"/>
      <c r="AF332" s="109"/>
      <c r="AG332" s="109"/>
      <c r="AH332" s="109"/>
      <c r="AI332" s="109"/>
    </row>
    <row r="333">
      <c r="A333" s="109"/>
      <c r="B333" s="109"/>
      <c r="C333" s="109"/>
      <c r="D333" s="109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  <c r="AA333" s="109"/>
      <c r="AB333" s="109"/>
      <c r="AC333" s="109"/>
      <c r="AD333" s="109"/>
      <c r="AE333" s="109"/>
      <c r="AF333" s="109"/>
      <c r="AG333" s="109"/>
      <c r="AH333" s="109"/>
      <c r="AI333" s="109"/>
    </row>
    <row r="334">
      <c r="A334" s="109"/>
      <c r="B334" s="109"/>
      <c r="C334" s="109"/>
      <c r="D334" s="109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  <c r="AA334" s="109"/>
      <c r="AB334" s="109"/>
      <c r="AC334" s="109"/>
      <c r="AD334" s="109"/>
      <c r="AE334" s="109"/>
      <c r="AF334" s="109"/>
      <c r="AG334" s="109"/>
      <c r="AH334" s="109"/>
      <c r="AI334" s="109"/>
    </row>
    <row r="335">
      <c r="A335" s="109"/>
      <c r="B335" s="109"/>
      <c r="C335" s="109"/>
      <c r="D335" s="109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  <c r="AA335" s="109"/>
      <c r="AB335" s="109"/>
      <c r="AC335" s="109"/>
      <c r="AD335" s="109"/>
      <c r="AE335" s="109"/>
      <c r="AF335" s="109"/>
      <c r="AG335" s="109"/>
      <c r="AH335" s="109"/>
      <c r="AI335" s="109"/>
    </row>
    <row r="336">
      <c r="A336" s="109"/>
      <c r="B336" s="109"/>
      <c r="C336" s="109"/>
      <c r="D336" s="109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  <c r="AA336" s="109"/>
      <c r="AB336" s="109"/>
      <c r="AC336" s="109"/>
      <c r="AD336" s="109"/>
      <c r="AE336" s="109"/>
      <c r="AF336" s="109"/>
      <c r="AG336" s="109"/>
      <c r="AH336" s="109"/>
      <c r="AI336" s="109"/>
    </row>
    <row r="337">
      <c r="A337" s="109"/>
      <c r="B337" s="109"/>
      <c r="C337" s="109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  <c r="AB337" s="109"/>
      <c r="AC337" s="109"/>
      <c r="AD337" s="109"/>
      <c r="AE337" s="109"/>
      <c r="AF337" s="109"/>
      <c r="AG337" s="109"/>
      <c r="AH337" s="109"/>
      <c r="AI337" s="109"/>
    </row>
    <row r="338">
      <c r="A338" s="109"/>
      <c r="B338" s="109"/>
      <c r="C338" s="109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  <c r="AB338" s="109"/>
      <c r="AC338" s="109"/>
      <c r="AD338" s="109"/>
      <c r="AE338" s="109"/>
      <c r="AF338" s="109"/>
      <c r="AG338" s="109"/>
      <c r="AH338" s="109"/>
      <c r="AI338" s="109"/>
    </row>
    <row r="339">
      <c r="A339" s="109"/>
      <c r="B339" s="109"/>
      <c r="C339" s="109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  <c r="AB339" s="109"/>
      <c r="AC339" s="109"/>
      <c r="AD339" s="109"/>
      <c r="AE339" s="109"/>
      <c r="AF339" s="109"/>
      <c r="AG339" s="109"/>
      <c r="AH339" s="109"/>
      <c r="AI339" s="109"/>
    </row>
    <row r="340">
      <c r="A340" s="109"/>
      <c r="B340" s="109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  <c r="AB340" s="109"/>
      <c r="AC340" s="109"/>
      <c r="AD340" s="109"/>
      <c r="AE340" s="109"/>
      <c r="AF340" s="109"/>
      <c r="AG340" s="109"/>
      <c r="AH340" s="109"/>
      <c r="AI340" s="109"/>
    </row>
    <row r="341">
      <c r="A341" s="109"/>
      <c r="B341" s="109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  <c r="AB341" s="109"/>
      <c r="AC341" s="109"/>
      <c r="AD341" s="109"/>
      <c r="AE341" s="109"/>
      <c r="AF341" s="109"/>
      <c r="AG341" s="109"/>
      <c r="AH341" s="109"/>
      <c r="AI341" s="109"/>
    </row>
    <row r="342">
      <c r="A342" s="109"/>
      <c r="B342" s="109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  <c r="AB342" s="109"/>
      <c r="AC342" s="109"/>
      <c r="AD342" s="109"/>
      <c r="AE342" s="109"/>
      <c r="AF342" s="109"/>
      <c r="AG342" s="109"/>
      <c r="AH342" s="109"/>
      <c r="AI342" s="109"/>
    </row>
    <row r="343">
      <c r="A343" s="109"/>
      <c r="B343" s="109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  <c r="AB343" s="109"/>
      <c r="AC343" s="109"/>
      <c r="AD343" s="109"/>
      <c r="AE343" s="109"/>
      <c r="AF343" s="109"/>
      <c r="AG343" s="109"/>
      <c r="AH343" s="109"/>
      <c r="AI343" s="109"/>
    </row>
    <row r="344">
      <c r="A344" s="109"/>
      <c r="B344" s="109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  <c r="AB344" s="109"/>
      <c r="AC344" s="109"/>
      <c r="AD344" s="109"/>
      <c r="AE344" s="109"/>
      <c r="AF344" s="109"/>
      <c r="AG344" s="109"/>
      <c r="AH344" s="109"/>
      <c r="AI344" s="109"/>
    </row>
    <row r="345">
      <c r="A345" s="109"/>
      <c r="B345" s="109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  <c r="AB345" s="109"/>
      <c r="AC345" s="109"/>
      <c r="AD345" s="109"/>
      <c r="AE345" s="109"/>
      <c r="AF345" s="109"/>
      <c r="AG345" s="109"/>
      <c r="AH345" s="109"/>
      <c r="AI345" s="109"/>
    </row>
    <row r="346">
      <c r="A346" s="109"/>
      <c r="B346" s="109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  <c r="AB346" s="109"/>
      <c r="AC346" s="109"/>
      <c r="AD346" s="109"/>
      <c r="AE346" s="109"/>
      <c r="AF346" s="109"/>
      <c r="AG346" s="109"/>
      <c r="AH346" s="109"/>
      <c r="AI346" s="109"/>
    </row>
    <row r="347">
      <c r="A347" s="109"/>
      <c r="B347" s="109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  <c r="AB347" s="109"/>
      <c r="AC347" s="109"/>
      <c r="AD347" s="109"/>
      <c r="AE347" s="109"/>
      <c r="AF347" s="109"/>
      <c r="AG347" s="109"/>
      <c r="AH347" s="109"/>
      <c r="AI347" s="109"/>
    </row>
    <row r="348">
      <c r="A348" s="109"/>
      <c r="B348" s="109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  <c r="AB348" s="109"/>
      <c r="AC348" s="109"/>
      <c r="AD348" s="109"/>
      <c r="AE348" s="109"/>
      <c r="AF348" s="109"/>
      <c r="AG348" s="109"/>
      <c r="AH348" s="109"/>
      <c r="AI348" s="109"/>
    </row>
    <row r="349">
      <c r="A349" s="109"/>
      <c r="B349" s="109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09"/>
    </row>
    <row r="350">
      <c r="A350" s="109"/>
      <c r="B350" s="109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09"/>
      <c r="AI350" s="109"/>
    </row>
    <row r="351">
      <c r="A351" s="109"/>
      <c r="B351" s="109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  <c r="AB351" s="109"/>
      <c r="AC351" s="109"/>
      <c r="AD351" s="109"/>
      <c r="AE351" s="109"/>
      <c r="AF351" s="109"/>
      <c r="AG351" s="109"/>
      <c r="AH351" s="109"/>
      <c r="AI351" s="109"/>
    </row>
    <row r="352">
      <c r="A352" s="109"/>
      <c r="B352" s="109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  <c r="AB352" s="109"/>
      <c r="AC352" s="109"/>
      <c r="AD352" s="109"/>
      <c r="AE352" s="109"/>
      <c r="AF352" s="109"/>
      <c r="AG352" s="109"/>
      <c r="AH352" s="109"/>
      <c r="AI352" s="109"/>
    </row>
    <row r="353">
      <c r="A353" s="109"/>
      <c r="B353" s="109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  <c r="AB353" s="109"/>
      <c r="AC353" s="109"/>
      <c r="AD353" s="109"/>
      <c r="AE353" s="109"/>
      <c r="AF353" s="109"/>
      <c r="AG353" s="109"/>
      <c r="AH353" s="109"/>
      <c r="AI353" s="109"/>
    </row>
    <row r="354">
      <c r="A354" s="109"/>
      <c r="B354" s="109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  <c r="AC354" s="109"/>
      <c r="AD354" s="109"/>
      <c r="AE354" s="109"/>
      <c r="AF354" s="109"/>
      <c r="AG354" s="109"/>
      <c r="AH354" s="109"/>
      <c r="AI354" s="109"/>
    </row>
    <row r="355">
      <c r="A355" s="109"/>
      <c r="B355" s="109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  <c r="AC355" s="109"/>
      <c r="AD355" s="109"/>
      <c r="AE355" s="109"/>
      <c r="AF355" s="109"/>
      <c r="AG355" s="109"/>
      <c r="AH355" s="109"/>
      <c r="AI355" s="109"/>
    </row>
    <row r="356">
      <c r="A356" s="109"/>
      <c r="B356" s="109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  <c r="AB356" s="109"/>
      <c r="AC356" s="109"/>
      <c r="AD356" s="109"/>
      <c r="AE356" s="109"/>
      <c r="AF356" s="109"/>
      <c r="AG356" s="109"/>
      <c r="AH356" s="109"/>
      <c r="AI356" s="109"/>
    </row>
    <row r="357">
      <c r="A357" s="109"/>
      <c r="B357" s="109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  <c r="AC357" s="109"/>
      <c r="AD357" s="109"/>
      <c r="AE357" s="109"/>
      <c r="AF357" s="109"/>
      <c r="AG357" s="109"/>
      <c r="AH357" s="109"/>
      <c r="AI357" s="109"/>
    </row>
    <row r="358">
      <c r="A358" s="109"/>
      <c r="B358" s="109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  <c r="AB358" s="109"/>
      <c r="AC358" s="109"/>
      <c r="AD358" s="109"/>
      <c r="AE358" s="109"/>
      <c r="AF358" s="109"/>
      <c r="AG358" s="109"/>
      <c r="AH358" s="109"/>
      <c r="AI358" s="109"/>
    </row>
    <row r="359">
      <c r="A359" s="109"/>
      <c r="B359" s="109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  <c r="AC359" s="109"/>
      <c r="AD359" s="109"/>
      <c r="AE359" s="109"/>
      <c r="AF359" s="109"/>
      <c r="AG359" s="109"/>
      <c r="AH359" s="109"/>
      <c r="AI359" s="109"/>
    </row>
    <row r="360">
      <c r="A360" s="109"/>
      <c r="B360" s="109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  <c r="AB360" s="109"/>
      <c r="AC360" s="109"/>
      <c r="AD360" s="109"/>
      <c r="AE360" s="109"/>
      <c r="AF360" s="109"/>
      <c r="AG360" s="109"/>
      <c r="AH360" s="109"/>
      <c r="AI360" s="109"/>
    </row>
    <row r="361">
      <c r="A361" s="109"/>
      <c r="B361" s="109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  <c r="AB361" s="109"/>
      <c r="AC361" s="109"/>
      <c r="AD361" s="109"/>
      <c r="AE361" s="109"/>
      <c r="AF361" s="109"/>
      <c r="AG361" s="109"/>
      <c r="AH361" s="109"/>
      <c r="AI361" s="109"/>
    </row>
    <row r="362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  <c r="AB362" s="109"/>
      <c r="AC362" s="109"/>
      <c r="AD362" s="109"/>
      <c r="AE362" s="109"/>
      <c r="AF362" s="109"/>
      <c r="AG362" s="109"/>
      <c r="AH362" s="109"/>
      <c r="AI362" s="109"/>
    </row>
    <row r="363">
      <c r="A363" s="109"/>
      <c r="B363" s="109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09"/>
      <c r="AD363" s="109"/>
      <c r="AE363" s="109"/>
      <c r="AF363" s="109"/>
      <c r="AG363" s="109"/>
      <c r="AH363" s="109"/>
      <c r="AI363" s="109"/>
    </row>
    <row r="364">
      <c r="A364" s="109"/>
      <c r="B364" s="109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  <c r="AB364" s="109"/>
      <c r="AC364" s="109"/>
      <c r="AD364" s="109"/>
      <c r="AE364" s="109"/>
      <c r="AF364" s="109"/>
      <c r="AG364" s="109"/>
      <c r="AH364" s="109"/>
      <c r="AI364" s="109"/>
    </row>
    <row r="365">
      <c r="A365" s="109"/>
      <c r="B365" s="109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  <c r="AB365" s="109"/>
      <c r="AC365" s="109"/>
      <c r="AD365" s="109"/>
      <c r="AE365" s="109"/>
      <c r="AF365" s="109"/>
      <c r="AG365" s="109"/>
      <c r="AH365" s="109"/>
      <c r="AI365" s="109"/>
    </row>
    <row r="366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  <c r="AB366" s="109"/>
      <c r="AC366" s="109"/>
      <c r="AD366" s="109"/>
      <c r="AE366" s="109"/>
      <c r="AF366" s="109"/>
      <c r="AG366" s="109"/>
      <c r="AH366" s="109"/>
      <c r="AI366" s="109"/>
    </row>
    <row r="367">
      <c r="A367" s="109"/>
      <c r="B367" s="109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  <c r="AB367" s="109"/>
      <c r="AC367" s="109"/>
      <c r="AD367" s="109"/>
      <c r="AE367" s="109"/>
      <c r="AF367" s="109"/>
      <c r="AG367" s="109"/>
      <c r="AH367" s="109"/>
      <c r="AI367" s="109"/>
    </row>
    <row r="368">
      <c r="A368" s="109"/>
      <c r="B368" s="109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  <c r="AB368" s="109"/>
      <c r="AC368" s="109"/>
      <c r="AD368" s="109"/>
      <c r="AE368" s="109"/>
      <c r="AF368" s="109"/>
      <c r="AG368" s="109"/>
      <c r="AH368" s="109"/>
      <c r="AI368" s="109"/>
    </row>
    <row r="369">
      <c r="A369" s="109"/>
      <c r="B369" s="109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  <c r="AC369" s="109"/>
      <c r="AD369" s="109"/>
      <c r="AE369" s="109"/>
      <c r="AF369" s="109"/>
      <c r="AG369" s="109"/>
      <c r="AH369" s="109"/>
      <c r="AI369" s="109"/>
    </row>
    <row r="370">
      <c r="A370" s="109"/>
      <c r="B370" s="109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  <c r="AB370" s="109"/>
      <c r="AC370" s="109"/>
      <c r="AD370" s="109"/>
      <c r="AE370" s="109"/>
      <c r="AF370" s="109"/>
      <c r="AG370" s="109"/>
      <c r="AH370" s="109"/>
      <c r="AI370" s="109"/>
    </row>
    <row r="371">
      <c r="A371" s="109"/>
      <c r="B371" s="109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/>
      <c r="AC371" s="109"/>
      <c r="AD371" s="109"/>
      <c r="AE371" s="109"/>
      <c r="AF371" s="109"/>
      <c r="AG371" s="109"/>
      <c r="AH371" s="109"/>
      <c r="AI371" s="109"/>
    </row>
    <row r="372">
      <c r="A372" s="109"/>
      <c r="B372" s="109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09"/>
    </row>
    <row r="373">
      <c r="A373" s="109"/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09"/>
      <c r="AI373" s="109"/>
    </row>
    <row r="374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  <c r="AB374" s="109"/>
      <c r="AC374" s="109"/>
      <c r="AD374" s="109"/>
      <c r="AE374" s="109"/>
      <c r="AF374" s="109"/>
      <c r="AG374" s="109"/>
      <c r="AH374" s="109"/>
      <c r="AI374" s="109"/>
    </row>
    <row r="375">
      <c r="A375" s="109"/>
      <c r="B375" s="109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  <c r="AB375" s="109"/>
      <c r="AC375" s="109"/>
      <c r="AD375" s="109"/>
      <c r="AE375" s="109"/>
      <c r="AF375" s="109"/>
      <c r="AG375" s="109"/>
      <c r="AH375" s="109"/>
      <c r="AI375" s="109"/>
    </row>
    <row r="376">
      <c r="A376" s="109"/>
      <c r="B376" s="109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  <c r="AB376" s="109"/>
      <c r="AC376" s="109"/>
      <c r="AD376" s="109"/>
      <c r="AE376" s="109"/>
      <c r="AF376" s="109"/>
      <c r="AG376" s="109"/>
      <c r="AH376" s="109"/>
      <c r="AI376" s="109"/>
    </row>
    <row r="377">
      <c r="A377" s="109"/>
      <c r="B377" s="109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  <c r="AC377" s="109"/>
      <c r="AD377" s="109"/>
      <c r="AE377" s="109"/>
      <c r="AF377" s="109"/>
      <c r="AG377" s="109"/>
      <c r="AH377" s="109"/>
      <c r="AI377" s="109"/>
    </row>
    <row r="378">
      <c r="A378" s="109"/>
      <c r="B378" s="109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  <c r="AB378" s="109"/>
      <c r="AC378" s="109"/>
      <c r="AD378" s="109"/>
      <c r="AE378" s="109"/>
      <c r="AF378" s="109"/>
      <c r="AG378" s="109"/>
      <c r="AH378" s="109"/>
      <c r="AI378" s="109"/>
    </row>
    <row r="379">
      <c r="A379" s="109"/>
      <c r="B379" s="109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  <c r="AB379" s="109"/>
      <c r="AC379" s="109"/>
      <c r="AD379" s="109"/>
      <c r="AE379" s="109"/>
      <c r="AF379" s="109"/>
      <c r="AG379" s="109"/>
      <c r="AH379" s="109"/>
      <c r="AI379" s="109"/>
    </row>
    <row r="380">
      <c r="A380" s="109"/>
      <c r="B380" s="109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  <c r="AB380" s="109"/>
      <c r="AC380" s="109"/>
      <c r="AD380" s="109"/>
      <c r="AE380" s="109"/>
      <c r="AF380" s="109"/>
      <c r="AG380" s="109"/>
      <c r="AH380" s="109"/>
      <c r="AI380" s="109"/>
    </row>
    <row r="381">
      <c r="A381" s="109"/>
      <c r="B381" s="109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  <c r="AC381" s="109"/>
      <c r="AD381" s="109"/>
      <c r="AE381" s="109"/>
      <c r="AF381" s="109"/>
      <c r="AG381" s="109"/>
      <c r="AH381" s="109"/>
      <c r="AI381" s="109"/>
    </row>
    <row r="382">
      <c r="A382" s="109"/>
      <c r="B382" s="109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  <c r="AB382" s="109"/>
      <c r="AC382" s="109"/>
      <c r="AD382" s="109"/>
      <c r="AE382" s="109"/>
      <c r="AF382" s="109"/>
      <c r="AG382" s="109"/>
      <c r="AH382" s="109"/>
      <c r="AI382" s="109"/>
    </row>
    <row r="383">
      <c r="A383" s="109"/>
      <c r="B383" s="109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  <c r="AB383" s="109"/>
      <c r="AC383" s="109"/>
      <c r="AD383" s="109"/>
      <c r="AE383" s="109"/>
      <c r="AF383" s="109"/>
      <c r="AG383" s="109"/>
      <c r="AH383" s="109"/>
      <c r="AI383" s="109"/>
    </row>
    <row r="384">
      <c r="A384" s="109"/>
      <c r="B384" s="109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  <c r="AB384" s="109"/>
      <c r="AC384" s="109"/>
      <c r="AD384" s="109"/>
      <c r="AE384" s="109"/>
      <c r="AF384" s="109"/>
      <c r="AG384" s="109"/>
      <c r="AH384" s="109"/>
      <c r="AI384" s="109"/>
    </row>
    <row r="385">
      <c r="A385" s="109"/>
      <c r="B385" s="109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  <c r="AC385" s="109"/>
      <c r="AD385" s="109"/>
      <c r="AE385" s="109"/>
      <c r="AF385" s="109"/>
      <c r="AG385" s="109"/>
      <c r="AH385" s="109"/>
      <c r="AI385" s="109"/>
    </row>
    <row r="386">
      <c r="A386" s="109"/>
      <c r="B386" s="109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09"/>
      <c r="AC386" s="109"/>
      <c r="AD386" s="109"/>
      <c r="AE386" s="109"/>
      <c r="AF386" s="109"/>
      <c r="AG386" s="109"/>
      <c r="AH386" s="109"/>
      <c r="AI386" s="109"/>
    </row>
    <row r="387">
      <c r="A387" s="109"/>
      <c r="B387" s="109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  <c r="AC387" s="109"/>
      <c r="AD387" s="109"/>
      <c r="AE387" s="109"/>
      <c r="AF387" s="109"/>
      <c r="AG387" s="109"/>
      <c r="AH387" s="109"/>
      <c r="AI387" s="109"/>
    </row>
    <row r="388">
      <c r="A388" s="109"/>
      <c r="B388" s="109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  <c r="AD388" s="109"/>
      <c r="AE388" s="109"/>
      <c r="AF388" s="109"/>
      <c r="AG388" s="109"/>
      <c r="AH388" s="109"/>
      <c r="AI388" s="109"/>
    </row>
    <row r="389">
      <c r="A389" s="109"/>
      <c r="B389" s="109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  <c r="AC389" s="109"/>
      <c r="AD389" s="109"/>
      <c r="AE389" s="109"/>
      <c r="AF389" s="109"/>
      <c r="AG389" s="109"/>
      <c r="AH389" s="109"/>
      <c r="AI389" s="109"/>
    </row>
    <row r="390">
      <c r="A390" s="109"/>
      <c r="B390" s="109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  <c r="AB390" s="109"/>
      <c r="AC390" s="109"/>
      <c r="AD390" s="109"/>
      <c r="AE390" s="109"/>
      <c r="AF390" s="109"/>
      <c r="AG390" s="109"/>
      <c r="AH390" s="109"/>
      <c r="AI390" s="109"/>
    </row>
    <row r="391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  <c r="AC391" s="109"/>
      <c r="AD391" s="109"/>
      <c r="AE391" s="109"/>
      <c r="AF391" s="109"/>
      <c r="AG391" s="109"/>
      <c r="AH391" s="109"/>
      <c r="AI391" s="109"/>
    </row>
    <row r="392">
      <c r="A392" s="109"/>
      <c r="B392" s="109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  <c r="AB392" s="109"/>
      <c r="AC392" s="109"/>
      <c r="AD392" s="109"/>
      <c r="AE392" s="109"/>
      <c r="AF392" s="109"/>
      <c r="AG392" s="109"/>
      <c r="AH392" s="109"/>
      <c r="AI392" s="109"/>
    </row>
    <row r="393">
      <c r="A393" s="109"/>
      <c r="B393" s="109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  <c r="AC393" s="109"/>
      <c r="AD393" s="109"/>
      <c r="AE393" s="109"/>
      <c r="AF393" s="109"/>
      <c r="AG393" s="109"/>
      <c r="AH393" s="109"/>
      <c r="AI393" s="109"/>
    </row>
    <row r="394">
      <c r="A394" s="109"/>
      <c r="B394" s="109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  <c r="AB394" s="109"/>
      <c r="AC394" s="109"/>
      <c r="AD394" s="109"/>
      <c r="AE394" s="109"/>
      <c r="AF394" s="109"/>
      <c r="AG394" s="109"/>
      <c r="AH394" s="109"/>
      <c r="AI394" s="109"/>
    </row>
    <row r="395">
      <c r="A395" s="109"/>
      <c r="B395" s="109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09"/>
    </row>
    <row r="396">
      <c r="A396" s="109"/>
      <c r="B396" s="109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09"/>
      <c r="AI396" s="109"/>
    </row>
    <row r="397">
      <c r="A397" s="109"/>
      <c r="B397" s="109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  <c r="AC397" s="109"/>
      <c r="AD397" s="109"/>
      <c r="AE397" s="109"/>
      <c r="AF397" s="109"/>
      <c r="AG397" s="109"/>
      <c r="AH397" s="109"/>
      <c r="AI397" s="109"/>
    </row>
    <row r="398">
      <c r="A398" s="109"/>
      <c r="B398" s="109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  <c r="AB398" s="109"/>
      <c r="AC398" s="109"/>
      <c r="AD398" s="109"/>
      <c r="AE398" s="109"/>
      <c r="AF398" s="109"/>
      <c r="AG398" s="109"/>
      <c r="AH398" s="109"/>
      <c r="AI398" s="109"/>
    </row>
    <row r="399">
      <c r="A399" s="109"/>
      <c r="B399" s="109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  <c r="AB399" s="109"/>
      <c r="AC399" s="109"/>
      <c r="AD399" s="109"/>
      <c r="AE399" s="109"/>
      <c r="AF399" s="109"/>
      <c r="AG399" s="109"/>
      <c r="AH399" s="109"/>
      <c r="AI399" s="109"/>
    </row>
    <row r="400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  <c r="AA400" s="109"/>
      <c r="AB400" s="109"/>
      <c r="AC400" s="109"/>
      <c r="AD400" s="109"/>
      <c r="AE400" s="109"/>
      <c r="AF400" s="109"/>
      <c r="AG400" s="109"/>
      <c r="AH400" s="109"/>
      <c r="AI400" s="109"/>
    </row>
    <row r="401">
      <c r="A401" s="109"/>
      <c r="B401" s="109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  <c r="AB401" s="109"/>
      <c r="AC401" s="109"/>
      <c r="AD401" s="109"/>
      <c r="AE401" s="109"/>
      <c r="AF401" s="109"/>
      <c r="AG401" s="109"/>
      <c r="AH401" s="109"/>
      <c r="AI401" s="109"/>
    </row>
    <row r="402">
      <c r="A402" s="109"/>
      <c r="B402" s="109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  <c r="AB402" s="109"/>
      <c r="AC402" s="109"/>
      <c r="AD402" s="109"/>
      <c r="AE402" s="109"/>
      <c r="AF402" s="109"/>
      <c r="AG402" s="109"/>
      <c r="AH402" s="109"/>
      <c r="AI402" s="109"/>
    </row>
    <row r="403">
      <c r="A403" s="109"/>
      <c r="B403" s="109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  <c r="AB403" s="109"/>
      <c r="AC403" s="109"/>
      <c r="AD403" s="109"/>
      <c r="AE403" s="109"/>
      <c r="AF403" s="109"/>
      <c r="AG403" s="109"/>
      <c r="AH403" s="109"/>
      <c r="AI403" s="109"/>
    </row>
    <row r="404">
      <c r="A404" s="109"/>
      <c r="B404" s="109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  <c r="AA404" s="109"/>
      <c r="AB404" s="109"/>
      <c r="AC404" s="109"/>
      <c r="AD404" s="109"/>
      <c r="AE404" s="109"/>
      <c r="AF404" s="109"/>
      <c r="AG404" s="109"/>
      <c r="AH404" s="109"/>
      <c r="AI404" s="109"/>
    </row>
    <row r="405">
      <c r="A405" s="109"/>
      <c r="B405" s="109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  <c r="AB405" s="109"/>
      <c r="AC405" s="109"/>
      <c r="AD405" s="109"/>
      <c r="AE405" s="109"/>
      <c r="AF405" s="109"/>
      <c r="AG405" s="109"/>
      <c r="AH405" s="109"/>
      <c r="AI405" s="109"/>
    </row>
    <row r="406">
      <c r="A406" s="109"/>
      <c r="B406" s="109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  <c r="AB406" s="109"/>
      <c r="AC406" s="109"/>
      <c r="AD406" s="109"/>
      <c r="AE406" s="109"/>
      <c r="AF406" s="109"/>
      <c r="AG406" s="109"/>
      <c r="AH406" s="109"/>
      <c r="AI406" s="109"/>
    </row>
    <row r="407">
      <c r="A407" s="109"/>
      <c r="B407" s="109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  <c r="AB407" s="109"/>
      <c r="AC407" s="109"/>
      <c r="AD407" s="109"/>
      <c r="AE407" s="109"/>
      <c r="AF407" s="109"/>
      <c r="AG407" s="109"/>
      <c r="AH407" s="109"/>
      <c r="AI407" s="109"/>
    </row>
    <row r="408">
      <c r="A408" s="109"/>
      <c r="B408" s="109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  <c r="AB408" s="109"/>
      <c r="AC408" s="109"/>
      <c r="AD408" s="109"/>
      <c r="AE408" s="109"/>
      <c r="AF408" s="109"/>
      <c r="AG408" s="109"/>
      <c r="AH408" s="109"/>
      <c r="AI408" s="109"/>
    </row>
    <row r="409">
      <c r="A409" s="109"/>
      <c r="B409" s="109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  <c r="AB409" s="109"/>
      <c r="AC409" s="109"/>
      <c r="AD409" s="109"/>
      <c r="AE409" s="109"/>
      <c r="AF409" s="109"/>
      <c r="AG409" s="109"/>
      <c r="AH409" s="109"/>
      <c r="AI409" s="109"/>
    </row>
    <row r="410">
      <c r="A410" s="109"/>
      <c r="B410" s="109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  <c r="AB410" s="109"/>
      <c r="AC410" s="109"/>
      <c r="AD410" s="109"/>
      <c r="AE410" s="109"/>
      <c r="AF410" s="109"/>
      <c r="AG410" s="109"/>
      <c r="AH410" s="109"/>
      <c r="AI410" s="109"/>
    </row>
    <row r="411">
      <c r="A411" s="109"/>
      <c r="B411" s="109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  <c r="AB411" s="109"/>
      <c r="AC411" s="109"/>
      <c r="AD411" s="109"/>
      <c r="AE411" s="109"/>
      <c r="AF411" s="109"/>
      <c r="AG411" s="109"/>
      <c r="AH411" s="109"/>
      <c r="AI411" s="109"/>
    </row>
    <row r="412">
      <c r="A412" s="109"/>
      <c r="B412" s="109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  <c r="AB412" s="109"/>
      <c r="AC412" s="109"/>
      <c r="AD412" s="109"/>
      <c r="AE412" s="109"/>
      <c r="AF412" s="109"/>
      <c r="AG412" s="109"/>
      <c r="AH412" s="109"/>
      <c r="AI412" s="109"/>
    </row>
    <row r="413">
      <c r="A413" s="109"/>
      <c r="B413" s="109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  <c r="AB413" s="109"/>
      <c r="AC413" s="109"/>
      <c r="AD413" s="109"/>
      <c r="AE413" s="109"/>
      <c r="AF413" s="109"/>
      <c r="AG413" s="109"/>
      <c r="AH413" s="109"/>
      <c r="AI413" s="109"/>
    </row>
    <row r="414">
      <c r="A414" s="109"/>
      <c r="B414" s="109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  <c r="AB414" s="109"/>
      <c r="AC414" s="109"/>
      <c r="AD414" s="109"/>
      <c r="AE414" s="109"/>
      <c r="AF414" s="109"/>
      <c r="AG414" s="109"/>
      <c r="AH414" s="109"/>
      <c r="AI414" s="109"/>
    </row>
    <row r="415">
      <c r="A415" s="109"/>
      <c r="B415" s="109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  <c r="AB415" s="109"/>
      <c r="AC415" s="109"/>
      <c r="AD415" s="109"/>
      <c r="AE415" s="109"/>
      <c r="AF415" s="109"/>
      <c r="AG415" s="109"/>
      <c r="AH415" s="109"/>
      <c r="AI415" s="109"/>
    </row>
    <row r="416">
      <c r="A416" s="109"/>
      <c r="B416" s="109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  <c r="AB416" s="109"/>
      <c r="AC416" s="109"/>
      <c r="AD416" s="109"/>
      <c r="AE416" s="109"/>
      <c r="AF416" s="109"/>
      <c r="AG416" s="109"/>
      <c r="AH416" s="109"/>
      <c r="AI416" s="109"/>
    </row>
    <row r="417">
      <c r="A417" s="109"/>
      <c r="B417" s="109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  <c r="AB417" s="109"/>
      <c r="AC417" s="109"/>
      <c r="AD417" s="109"/>
      <c r="AE417" s="109"/>
      <c r="AF417" s="109"/>
      <c r="AG417" s="109"/>
      <c r="AH417" s="109"/>
      <c r="AI417" s="109"/>
    </row>
    <row r="418">
      <c r="A418" s="109"/>
      <c r="B418" s="109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  <c r="AA418" s="109"/>
      <c r="AB418" s="109"/>
      <c r="AC418" s="109"/>
      <c r="AD418" s="109"/>
      <c r="AE418" s="109"/>
      <c r="AF418" s="109"/>
      <c r="AG418" s="109"/>
      <c r="AH418" s="109"/>
      <c r="AI418" s="109"/>
    </row>
    <row r="419">
      <c r="A419" s="109"/>
      <c r="B419" s="109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  <c r="AA419" s="109"/>
      <c r="AB419" s="109"/>
      <c r="AC419" s="109"/>
      <c r="AD419" s="109"/>
      <c r="AE419" s="109"/>
      <c r="AF419" s="109"/>
      <c r="AG419" s="109"/>
      <c r="AH419" s="109"/>
      <c r="AI419" s="109"/>
    </row>
    <row r="420">
      <c r="A420" s="109"/>
      <c r="B420" s="109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  <c r="AA420" s="109"/>
      <c r="AB420" s="109"/>
      <c r="AC420" s="109"/>
      <c r="AD420" s="109"/>
      <c r="AE420" s="109"/>
      <c r="AF420" s="109"/>
      <c r="AG420" s="109"/>
      <c r="AH420" s="109"/>
      <c r="AI420" s="109"/>
    </row>
    <row r="421">
      <c r="A421" s="109"/>
      <c r="B421" s="109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  <c r="AB421" s="109"/>
      <c r="AC421" s="109"/>
      <c r="AD421" s="109"/>
      <c r="AE421" s="109"/>
      <c r="AF421" s="109"/>
      <c r="AG421" s="109"/>
      <c r="AH421" s="109"/>
      <c r="AI421" s="109"/>
    </row>
    <row r="422">
      <c r="A422" s="109"/>
      <c r="B422" s="109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  <c r="AA422" s="109"/>
      <c r="AB422" s="109"/>
      <c r="AC422" s="109"/>
      <c r="AD422" s="109"/>
      <c r="AE422" s="109"/>
      <c r="AF422" s="109"/>
      <c r="AG422" s="109"/>
      <c r="AH422" s="109"/>
      <c r="AI422" s="109"/>
    </row>
    <row r="423">
      <c r="A423" s="109"/>
      <c r="B423" s="109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  <c r="AA423" s="109"/>
      <c r="AB423" s="109"/>
      <c r="AC423" s="109"/>
      <c r="AD423" s="109"/>
      <c r="AE423" s="109"/>
      <c r="AF423" s="109"/>
      <c r="AG423" s="109"/>
      <c r="AH423" s="109"/>
      <c r="AI423" s="109"/>
    </row>
    <row r="424">
      <c r="A424" s="109"/>
      <c r="B424" s="109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  <c r="AA424" s="109"/>
      <c r="AB424" s="109"/>
      <c r="AC424" s="109"/>
      <c r="AD424" s="109"/>
      <c r="AE424" s="109"/>
      <c r="AF424" s="109"/>
      <c r="AG424" s="109"/>
      <c r="AH424" s="109"/>
      <c r="AI424" s="109"/>
    </row>
    <row r="425">
      <c r="A425" s="109"/>
      <c r="B425" s="109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  <c r="AB425" s="109"/>
      <c r="AC425" s="109"/>
      <c r="AD425" s="109"/>
      <c r="AE425" s="109"/>
      <c r="AF425" s="109"/>
      <c r="AG425" s="109"/>
      <c r="AH425" s="109"/>
      <c r="AI425" s="109"/>
    </row>
    <row r="426">
      <c r="A426" s="109"/>
      <c r="B426" s="109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  <c r="AA426" s="109"/>
      <c r="AB426" s="109"/>
      <c r="AC426" s="109"/>
      <c r="AD426" s="109"/>
      <c r="AE426" s="109"/>
      <c r="AF426" s="109"/>
      <c r="AG426" s="109"/>
      <c r="AH426" s="109"/>
      <c r="AI426" s="109"/>
    </row>
    <row r="427">
      <c r="A427" s="109"/>
      <c r="B427" s="109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  <c r="AB427" s="109"/>
      <c r="AC427" s="109"/>
      <c r="AD427" s="109"/>
      <c r="AE427" s="109"/>
      <c r="AF427" s="109"/>
      <c r="AG427" s="109"/>
      <c r="AH427" s="109"/>
      <c r="AI427" s="109"/>
    </row>
    <row r="428">
      <c r="A428" s="109"/>
      <c r="B428" s="109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  <c r="AA428" s="109"/>
      <c r="AB428" s="109"/>
      <c r="AC428" s="109"/>
      <c r="AD428" s="109"/>
      <c r="AE428" s="109"/>
      <c r="AF428" s="109"/>
      <c r="AG428" s="109"/>
      <c r="AH428" s="109"/>
      <c r="AI428" s="109"/>
    </row>
    <row r="429">
      <c r="A429" s="109"/>
      <c r="B429" s="109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  <c r="AB429" s="109"/>
      <c r="AC429" s="109"/>
      <c r="AD429" s="109"/>
      <c r="AE429" s="109"/>
      <c r="AF429" s="109"/>
      <c r="AG429" s="109"/>
      <c r="AH429" s="109"/>
      <c r="AI429" s="109"/>
    </row>
    <row r="430">
      <c r="A430" s="109"/>
      <c r="B430" s="109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  <c r="AB430" s="109"/>
      <c r="AC430" s="109"/>
      <c r="AD430" s="109"/>
      <c r="AE430" s="109"/>
      <c r="AF430" s="109"/>
      <c r="AG430" s="109"/>
      <c r="AH430" s="109"/>
      <c r="AI430" s="109"/>
    </row>
    <row r="431">
      <c r="A431" s="109"/>
      <c r="B431" s="109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  <c r="AA431" s="109"/>
      <c r="AB431" s="109"/>
      <c r="AC431" s="109"/>
      <c r="AD431" s="109"/>
      <c r="AE431" s="109"/>
      <c r="AF431" s="109"/>
      <c r="AG431" s="109"/>
      <c r="AH431" s="109"/>
      <c r="AI431" s="109"/>
    </row>
    <row r="432">
      <c r="A432" s="109"/>
      <c r="B432" s="109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  <c r="AA432" s="109"/>
      <c r="AB432" s="109"/>
      <c r="AC432" s="109"/>
      <c r="AD432" s="109"/>
      <c r="AE432" s="109"/>
      <c r="AF432" s="109"/>
      <c r="AG432" s="109"/>
      <c r="AH432" s="109"/>
      <c r="AI432" s="109"/>
    </row>
    <row r="433">
      <c r="A433" s="109"/>
      <c r="B433" s="109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  <c r="AA433" s="109"/>
      <c r="AB433" s="109"/>
      <c r="AC433" s="109"/>
      <c r="AD433" s="109"/>
      <c r="AE433" s="109"/>
      <c r="AF433" s="109"/>
      <c r="AG433" s="109"/>
      <c r="AH433" s="109"/>
      <c r="AI433" s="109"/>
    </row>
    <row r="434">
      <c r="A434" s="109"/>
      <c r="B434" s="109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  <c r="AB434" s="109"/>
      <c r="AC434" s="109"/>
      <c r="AD434" s="109"/>
      <c r="AE434" s="109"/>
      <c r="AF434" s="109"/>
      <c r="AG434" s="109"/>
      <c r="AH434" s="109"/>
      <c r="AI434" s="109"/>
    </row>
    <row r="435">
      <c r="A435" s="109"/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  <c r="AA435" s="109"/>
      <c r="AB435" s="109"/>
      <c r="AC435" s="109"/>
      <c r="AD435" s="109"/>
      <c r="AE435" s="109"/>
      <c r="AF435" s="109"/>
      <c r="AG435" s="109"/>
      <c r="AH435" s="109"/>
      <c r="AI435" s="109"/>
    </row>
    <row r="436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  <c r="AB436" s="109"/>
      <c r="AC436" s="109"/>
      <c r="AD436" s="109"/>
      <c r="AE436" s="109"/>
      <c r="AF436" s="109"/>
      <c r="AG436" s="109"/>
      <c r="AH436" s="109"/>
      <c r="AI436" s="109"/>
    </row>
    <row r="437">
      <c r="A437" s="109"/>
      <c r="B437" s="109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  <c r="AA437" s="109"/>
      <c r="AB437" s="109"/>
      <c r="AC437" s="109"/>
      <c r="AD437" s="109"/>
      <c r="AE437" s="109"/>
      <c r="AF437" s="109"/>
      <c r="AG437" s="109"/>
      <c r="AH437" s="109"/>
      <c r="AI437" s="109"/>
    </row>
    <row r="438">
      <c r="A438" s="109"/>
      <c r="B438" s="109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  <c r="AA438" s="109"/>
      <c r="AB438" s="109"/>
      <c r="AC438" s="109"/>
      <c r="AD438" s="109"/>
      <c r="AE438" s="109"/>
      <c r="AF438" s="109"/>
      <c r="AG438" s="109"/>
      <c r="AH438" s="109"/>
      <c r="AI438" s="109"/>
    </row>
    <row r="439">
      <c r="A439" s="109"/>
      <c r="B439" s="109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  <c r="AA439" s="109"/>
      <c r="AB439" s="109"/>
      <c r="AC439" s="109"/>
      <c r="AD439" s="109"/>
      <c r="AE439" s="109"/>
      <c r="AF439" s="109"/>
      <c r="AG439" s="109"/>
      <c r="AH439" s="109"/>
      <c r="AI439" s="109"/>
    </row>
    <row r="440">
      <c r="A440" s="109"/>
      <c r="B440" s="109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  <c r="AA440" s="109"/>
      <c r="AB440" s="109"/>
      <c r="AC440" s="109"/>
      <c r="AD440" s="109"/>
      <c r="AE440" s="109"/>
      <c r="AF440" s="109"/>
      <c r="AG440" s="109"/>
      <c r="AH440" s="109"/>
      <c r="AI440" s="109"/>
    </row>
    <row r="441">
      <c r="A441" s="109"/>
      <c r="B441" s="109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  <c r="AA441" s="109"/>
      <c r="AB441" s="109"/>
      <c r="AC441" s="109"/>
      <c r="AD441" s="109"/>
      <c r="AE441" s="109"/>
      <c r="AF441" s="109"/>
      <c r="AG441" s="109"/>
      <c r="AH441" s="109"/>
      <c r="AI441" s="109"/>
    </row>
    <row r="442">
      <c r="A442" s="109"/>
      <c r="B442" s="109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  <c r="AB442" s="109"/>
      <c r="AC442" s="109"/>
      <c r="AD442" s="109"/>
      <c r="AE442" s="109"/>
      <c r="AF442" s="109"/>
      <c r="AG442" s="109"/>
      <c r="AH442" s="109"/>
      <c r="AI442" s="109"/>
    </row>
    <row r="443">
      <c r="A443" s="109"/>
      <c r="B443" s="109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  <c r="AA443" s="109"/>
      <c r="AB443" s="109"/>
      <c r="AC443" s="109"/>
      <c r="AD443" s="109"/>
      <c r="AE443" s="109"/>
      <c r="AF443" s="109"/>
      <c r="AG443" s="109"/>
      <c r="AH443" s="109"/>
      <c r="AI443" s="109"/>
    </row>
    <row r="444">
      <c r="A444" s="109"/>
      <c r="B444" s="109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  <c r="AB444" s="109"/>
      <c r="AC444" s="109"/>
      <c r="AD444" s="109"/>
      <c r="AE444" s="109"/>
      <c r="AF444" s="109"/>
      <c r="AG444" s="109"/>
      <c r="AH444" s="109"/>
      <c r="AI444" s="109"/>
    </row>
    <row r="445">
      <c r="A445" s="109"/>
      <c r="B445" s="109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  <c r="AA445" s="109"/>
      <c r="AB445" s="109"/>
      <c r="AC445" s="109"/>
      <c r="AD445" s="109"/>
      <c r="AE445" s="109"/>
      <c r="AF445" s="109"/>
      <c r="AG445" s="109"/>
      <c r="AH445" s="109"/>
      <c r="AI445" s="109"/>
    </row>
    <row r="446">
      <c r="A446" s="109"/>
      <c r="B446" s="109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  <c r="AB446" s="109"/>
      <c r="AC446" s="109"/>
      <c r="AD446" s="109"/>
      <c r="AE446" s="109"/>
      <c r="AF446" s="109"/>
      <c r="AG446" s="109"/>
      <c r="AH446" s="109"/>
      <c r="AI446" s="109"/>
    </row>
    <row r="447">
      <c r="A447" s="109"/>
      <c r="B447" s="109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  <c r="AA447" s="109"/>
      <c r="AB447" s="109"/>
      <c r="AC447" s="109"/>
      <c r="AD447" s="109"/>
      <c r="AE447" s="109"/>
      <c r="AF447" s="109"/>
      <c r="AG447" s="109"/>
      <c r="AH447" s="109"/>
      <c r="AI447" s="109"/>
    </row>
    <row r="448">
      <c r="A448" s="109"/>
      <c r="B448" s="109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  <c r="AA448" s="109"/>
      <c r="AB448" s="109"/>
      <c r="AC448" s="109"/>
      <c r="AD448" s="109"/>
      <c r="AE448" s="109"/>
      <c r="AF448" s="109"/>
      <c r="AG448" s="109"/>
      <c r="AH448" s="109"/>
      <c r="AI448" s="109"/>
    </row>
    <row r="449">
      <c r="A449" s="109"/>
      <c r="B449" s="109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  <c r="AA449" s="109"/>
      <c r="AB449" s="109"/>
      <c r="AC449" s="109"/>
      <c r="AD449" s="109"/>
      <c r="AE449" s="109"/>
      <c r="AF449" s="109"/>
      <c r="AG449" s="109"/>
      <c r="AH449" s="109"/>
      <c r="AI449" s="109"/>
    </row>
    <row r="450">
      <c r="A450" s="109"/>
      <c r="B450" s="109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  <c r="AB450" s="109"/>
      <c r="AC450" s="109"/>
      <c r="AD450" s="109"/>
      <c r="AE450" s="109"/>
      <c r="AF450" s="109"/>
      <c r="AG450" s="109"/>
      <c r="AH450" s="109"/>
      <c r="AI450" s="109"/>
    </row>
    <row r="451">
      <c r="A451" s="109"/>
      <c r="B451" s="109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  <c r="AA451" s="109"/>
      <c r="AB451" s="109"/>
      <c r="AC451" s="109"/>
      <c r="AD451" s="109"/>
      <c r="AE451" s="109"/>
      <c r="AF451" s="109"/>
      <c r="AG451" s="109"/>
      <c r="AH451" s="109"/>
      <c r="AI451" s="109"/>
    </row>
    <row r="452">
      <c r="A452" s="109"/>
      <c r="B452" s="109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  <c r="AB452" s="109"/>
      <c r="AC452" s="109"/>
      <c r="AD452" s="109"/>
      <c r="AE452" s="109"/>
      <c r="AF452" s="109"/>
      <c r="AG452" s="109"/>
      <c r="AH452" s="109"/>
      <c r="AI452" s="109"/>
    </row>
    <row r="453">
      <c r="A453" s="109"/>
      <c r="B453" s="109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  <c r="AA453" s="109"/>
      <c r="AB453" s="109"/>
      <c r="AC453" s="109"/>
      <c r="AD453" s="109"/>
      <c r="AE453" s="109"/>
      <c r="AF453" s="109"/>
      <c r="AG453" s="109"/>
      <c r="AH453" s="109"/>
      <c r="AI453" s="109"/>
    </row>
    <row r="454">
      <c r="A454" s="109"/>
      <c r="B454" s="109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  <c r="AA454" s="109"/>
      <c r="AB454" s="109"/>
      <c r="AC454" s="109"/>
      <c r="AD454" s="109"/>
      <c r="AE454" s="109"/>
      <c r="AF454" s="109"/>
      <c r="AG454" s="109"/>
      <c r="AH454" s="109"/>
      <c r="AI454" s="109"/>
    </row>
    <row r="455">
      <c r="A455" s="109"/>
      <c r="B455" s="109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  <c r="AA455" s="109"/>
      <c r="AB455" s="109"/>
      <c r="AC455" s="109"/>
      <c r="AD455" s="109"/>
      <c r="AE455" s="109"/>
      <c r="AF455" s="109"/>
      <c r="AG455" s="109"/>
      <c r="AH455" s="109"/>
      <c r="AI455" s="109"/>
    </row>
    <row r="456">
      <c r="A456" s="109"/>
      <c r="B456" s="109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  <c r="AB456" s="109"/>
      <c r="AC456" s="109"/>
      <c r="AD456" s="109"/>
      <c r="AE456" s="109"/>
      <c r="AF456" s="109"/>
      <c r="AG456" s="109"/>
      <c r="AH456" s="109"/>
      <c r="AI456" s="109"/>
    </row>
    <row r="457">
      <c r="A457" s="109"/>
      <c r="B457" s="109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  <c r="AB457" s="109"/>
      <c r="AC457" s="109"/>
      <c r="AD457" s="109"/>
      <c r="AE457" s="109"/>
      <c r="AF457" s="109"/>
      <c r="AG457" s="109"/>
      <c r="AH457" s="109"/>
      <c r="AI457" s="109"/>
    </row>
    <row r="458">
      <c r="A458" s="109"/>
      <c r="B458" s="109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  <c r="AB458" s="109"/>
      <c r="AC458" s="109"/>
      <c r="AD458" s="109"/>
      <c r="AE458" s="109"/>
      <c r="AF458" s="109"/>
      <c r="AG458" s="109"/>
      <c r="AH458" s="109"/>
      <c r="AI458" s="109"/>
    </row>
    <row r="459">
      <c r="A459" s="109"/>
      <c r="B459" s="109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  <c r="AB459" s="109"/>
      <c r="AC459" s="109"/>
      <c r="AD459" s="109"/>
      <c r="AE459" s="109"/>
      <c r="AF459" s="109"/>
      <c r="AG459" s="109"/>
      <c r="AH459" s="109"/>
      <c r="AI459" s="109"/>
    </row>
    <row r="460">
      <c r="A460" s="109"/>
      <c r="B460" s="109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  <c r="AA460" s="109"/>
      <c r="AB460" s="109"/>
      <c r="AC460" s="109"/>
      <c r="AD460" s="109"/>
      <c r="AE460" s="109"/>
      <c r="AF460" s="109"/>
      <c r="AG460" s="109"/>
      <c r="AH460" s="109"/>
      <c r="AI460" s="109"/>
    </row>
    <row r="461">
      <c r="A461" s="109"/>
      <c r="B461" s="109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  <c r="AB461" s="109"/>
      <c r="AC461" s="109"/>
      <c r="AD461" s="109"/>
      <c r="AE461" s="109"/>
      <c r="AF461" s="109"/>
      <c r="AG461" s="109"/>
      <c r="AH461" s="109"/>
      <c r="AI461" s="109"/>
    </row>
    <row r="462">
      <c r="A462" s="109"/>
      <c r="B462" s="109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  <c r="AB462" s="109"/>
      <c r="AC462" s="109"/>
      <c r="AD462" s="109"/>
      <c r="AE462" s="109"/>
      <c r="AF462" s="109"/>
      <c r="AG462" s="109"/>
      <c r="AH462" s="109"/>
      <c r="AI462" s="109"/>
    </row>
    <row r="463">
      <c r="A463" s="109"/>
      <c r="B463" s="109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  <c r="AB463" s="109"/>
      <c r="AC463" s="109"/>
      <c r="AD463" s="109"/>
      <c r="AE463" s="109"/>
      <c r="AF463" s="109"/>
      <c r="AG463" s="109"/>
      <c r="AH463" s="109"/>
      <c r="AI463" s="109"/>
    </row>
    <row r="464">
      <c r="A464" s="109"/>
      <c r="B464" s="109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  <c r="AB464" s="109"/>
      <c r="AC464" s="109"/>
      <c r="AD464" s="109"/>
      <c r="AE464" s="109"/>
      <c r="AF464" s="109"/>
      <c r="AG464" s="109"/>
      <c r="AH464" s="109"/>
      <c r="AI464" s="109"/>
    </row>
    <row r="465">
      <c r="A465" s="109"/>
      <c r="B465" s="109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  <c r="AB465" s="109"/>
      <c r="AC465" s="109"/>
      <c r="AD465" s="109"/>
      <c r="AE465" s="109"/>
      <c r="AF465" s="109"/>
      <c r="AG465" s="109"/>
      <c r="AH465" s="109"/>
      <c r="AI465" s="109"/>
    </row>
    <row r="466">
      <c r="A466" s="109"/>
      <c r="B466" s="109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  <c r="AA466" s="109"/>
      <c r="AB466" s="109"/>
      <c r="AC466" s="109"/>
      <c r="AD466" s="109"/>
      <c r="AE466" s="109"/>
      <c r="AF466" s="109"/>
      <c r="AG466" s="109"/>
      <c r="AH466" s="109"/>
      <c r="AI466" s="109"/>
    </row>
    <row r="467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  <c r="AF467" s="109"/>
      <c r="AG467" s="109"/>
      <c r="AH467" s="109"/>
      <c r="AI467" s="109"/>
    </row>
    <row r="468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  <c r="AF468" s="109"/>
      <c r="AG468" s="109"/>
      <c r="AH468" s="109"/>
      <c r="AI468" s="109"/>
    </row>
    <row r="469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  <c r="AF469" s="109"/>
      <c r="AG469" s="109"/>
      <c r="AH469" s="109"/>
      <c r="AI469" s="109"/>
    </row>
    <row r="470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  <c r="AF470" s="109"/>
      <c r="AG470" s="109"/>
      <c r="AH470" s="109"/>
      <c r="AI470" s="109"/>
    </row>
    <row r="47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09"/>
      <c r="AG471" s="109"/>
      <c r="AH471" s="109"/>
      <c r="AI471" s="109"/>
    </row>
    <row r="472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  <c r="AF472" s="109"/>
      <c r="AG472" s="109"/>
      <c r="AH472" s="109"/>
      <c r="AI472" s="109"/>
    </row>
    <row r="473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09"/>
      <c r="AG473" s="109"/>
      <c r="AH473" s="109"/>
      <c r="AI473" s="109"/>
    </row>
    <row r="474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09"/>
      <c r="AG474" s="109"/>
      <c r="AH474" s="109"/>
      <c r="AI474" s="109"/>
    </row>
    <row r="475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  <c r="AG475" s="109"/>
      <c r="AH475" s="109"/>
      <c r="AI475" s="109"/>
    </row>
    <row r="476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09"/>
      <c r="AG476" s="109"/>
      <c r="AH476" s="109"/>
      <c r="AI476" s="109"/>
    </row>
    <row r="477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  <c r="AG477" s="109"/>
      <c r="AH477" s="109"/>
      <c r="AI477" s="109"/>
    </row>
    <row r="478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  <c r="AF478" s="109"/>
      <c r="AG478" s="109"/>
      <c r="AH478" s="109"/>
      <c r="AI478" s="109"/>
    </row>
    <row r="479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09"/>
      <c r="AG479" s="109"/>
      <c r="AH479" s="109"/>
      <c r="AI479" s="109"/>
    </row>
    <row r="480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09"/>
      <c r="AG480" s="109"/>
      <c r="AH480" s="109"/>
      <c r="AI480" s="109"/>
    </row>
    <row r="48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  <c r="AG481" s="109"/>
      <c r="AH481" s="109"/>
      <c r="AI481" s="109"/>
    </row>
    <row r="482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09"/>
      <c r="AG482" s="109"/>
      <c r="AH482" s="109"/>
      <c r="AI482" s="109"/>
    </row>
    <row r="483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  <c r="AG483" s="109"/>
      <c r="AH483" s="109"/>
      <c r="AI483" s="109"/>
    </row>
    <row r="484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  <c r="AF484" s="109"/>
      <c r="AG484" s="109"/>
      <c r="AH484" s="109"/>
      <c r="AI484" s="109"/>
    </row>
    <row r="485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  <c r="AG485" s="109"/>
      <c r="AH485" s="109"/>
      <c r="AI485" s="109"/>
    </row>
    <row r="486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09"/>
      <c r="AG486" s="109"/>
      <c r="AH486" s="109"/>
      <c r="AI486" s="109"/>
    </row>
    <row r="487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  <c r="AG487" s="109"/>
      <c r="AH487" s="109"/>
      <c r="AI487" s="109"/>
    </row>
    <row r="488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09"/>
      <c r="AG488" s="109"/>
      <c r="AH488" s="109"/>
      <c r="AI488" s="109"/>
    </row>
    <row r="489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  <c r="AG489" s="109"/>
      <c r="AH489" s="109"/>
      <c r="AI489" s="109"/>
    </row>
    <row r="490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09"/>
      <c r="AG490" s="109"/>
      <c r="AH490" s="109"/>
      <c r="AI490" s="109"/>
    </row>
    <row r="49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  <c r="AG491" s="109"/>
      <c r="AH491" s="109"/>
      <c r="AI491" s="109"/>
    </row>
    <row r="492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09"/>
      <c r="AG492" s="109"/>
      <c r="AH492" s="109"/>
      <c r="AI492" s="109"/>
    </row>
    <row r="493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  <c r="AG493" s="109"/>
      <c r="AH493" s="109"/>
      <c r="AI493" s="109"/>
    </row>
    <row r="494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09"/>
      <c r="AG494" s="109"/>
      <c r="AH494" s="109"/>
      <c r="AI494" s="109"/>
    </row>
    <row r="495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  <c r="AG495" s="109"/>
      <c r="AH495" s="109"/>
      <c r="AI495" s="109"/>
    </row>
    <row r="496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09"/>
      <c r="AG496" s="109"/>
      <c r="AH496" s="109"/>
      <c r="AI496" s="109"/>
    </row>
    <row r="497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  <c r="AG497" s="109"/>
      <c r="AH497" s="109"/>
      <c r="AI497" s="109"/>
    </row>
    <row r="498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09"/>
      <c r="AG498" s="109"/>
      <c r="AH498" s="109"/>
      <c r="AI498" s="109"/>
    </row>
    <row r="499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9"/>
      <c r="AG499" s="109"/>
      <c r="AH499" s="109"/>
      <c r="AI499" s="109"/>
    </row>
    <row r="500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09"/>
      <c r="AG500" s="109"/>
      <c r="AH500" s="109"/>
      <c r="AI500" s="109"/>
    </row>
    <row r="50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  <c r="AE501" s="109"/>
      <c r="AF501" s="109"/>
      <c r="AG501" s="109"/>
      <c r="AH501" s="109"/>
      <c r="AI501" s="109"/>
    </row>
    <row r="502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  <c r="AD502" s="109"/>
      <c r="AE502" s="109"/>
      <c r="AF502" s="109"/>
      <c r="AG502" s="109"/>
      <c r="AH502" s="109"/>
      <c r="AI502" s="109"/>
    </row>
    <row r="503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  <c r="AD503" s="109"/>
      <c r="AE503" s="109"/>
      <c r="AF503" s="109"/>
      <c r="AG503" s="109"/>
      <c r="AH503" s="109"/>
      <c r="AI503" s="109"/>
    </row>
    <row r="504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  <c r="AD504" s="109"/>
      <c r="AE504" s="109"/>
      <c r="AF504" s="109"/>
      <c r="AG504" s="109"/>
      <c r="AH504" s="109"/>
      <c r="AI504" s="109"/>
    </row>
    <row r="505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  <c r="AD505" s="109"/>
      <c r="AE505" s="109"/>
      <c r="AF505" s="109"/>
      <c r="AG505" s="109"/>
      <c r="AH505" s="109"/>
      <c r="AI505" s="109"/>
    </row>
    <row r="506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  <c r="AC506" s="109"/>
      <c r="AD506" s="109"/>
      <c r="AE506" s="109"/>
      <c r="AF506" s="109"/>
      <c r="AG506" s="109"/>
      <c r="AH506" s="109"/>
      <c r="AI506" s="109"/>
    </row>
    <row r="507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  <c r="AD507" s="109"/>
      <c r="AE507" s="109"/>
      <c r="AF507" s="109"/>
      <c r="AG507" s="109"/>
      <c r="AH507" s="109"/>
      <c r="AI507" s="109"/>
    </row>
    <row r="508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  <c r="AD508" s="109"/>
      <c r="AE508" s="109"/>
      <c r="AF508" s="109"/>
      <c r="AG508" s="109"/>
      <c r="AH508" s="109"/>
      <c r="AI508" s="109"/>
    </row>
    <row r="509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  <c r="AE509" s="109"/>
      <c r="AF509" s="109"/>
      <c r="AG509" s="109"/>
      <c r="AH509" s="109"/>
      <c r="AI509" s="109"/>
    </row>
    <row r="510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  <c r="AD510" s="109"/>
      <c r="AE510" s="109"/>
      <c r="AF510" s="109"/>
      <c r="AG510" s="109"/>
      <c r="AH510" s="109"/>
      <c r="AI510" s="109"/>
    </row>
    <row r="51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  <c r="AD511" s="109"/>
      <c r="AE511" s="109"/>
      <c r="AF511" s="109"/>
      <c r="AG511" s="109"/>
      <c r="AH511" s="109"/>
      <c r="AI511" s="109"/>
    </row>
    <row r="512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  <c r="AD512" s="109"/>
      <c r="AE512" s="109"/>
      <c r="AF512" s="109"/>
      <c r="AG512" s="109"/>
      <c r="AH512" s="109"/>
      <c r="AI512" s="109"/>
    </row>
    <row r="513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  <c r="AD513" s="109"/>
      <c r="AE513" s="109"/>
      <c r="AF513" s="109"/>
      <c r="AG513" s="109"/>
      <c r="AH513" s="109"/>
      <c r="AI513" s="109"/>
    </row>
    <row r="514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  <c r="AD514" s="109"/>
      <c r="AE514" s="109"/>
      <c r="AF514" s="109"/>
      <c r="AG514" s="109"/>
      <c r="AH514" s="109"/>
      <c r="AI514" s="109"/>
    </row>
    <row r="515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  <c r="AD515" s="109"/>
      <c r="AE515" s="109"/>
      <c r="AF515" s="109"/>
      <c r="AG515" s="109"/>
      <c r="AH515" s="109"/>
      <c r="AI515" s="109"/>
    </row>
    <row r="516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  <c r="AE516" s="109"/>
      <c r="AF516" s="109"/>
      <c r="AG516" s="109"/>
      <c r="AH516" s="109"/>
      <c r="AI516" s="109"/>
    </row>
    <row r="517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  <c r="AD517" s="109"/>
      <c r="AE517" s="109"/>
      <c r="AF517" s="109"/>
      <c r="AG517" s="109"/>
      <c r="AH517" s="109"/>
      <c r="AI517" s="109"/>
    </row>
    <row r="518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  <c r="AD518" s="109"/>
      <c r="AE518" s="109"/>
      <c r="AF518" s="109"/>
      <c r="AG518" s="109"/>
      <c r="AH518" s="109"/>
      <c r="AI518" s="109"/>
    </row>
    <row r="519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  <c r="AD519" s="109"/>
      <c r="AE519" s="109"/>
      <c r="AF519" s="109"/>
      <c r="AG519" s="109"/>
      <c r="AH519" s="109"/>
      <c r="AI519" s="109"/>
    </row>
    <row r="520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  <c r="AD520" s="109"/>
      <c r="AE520" s="109"/>
      <c r="AF520" s="109"/>
      <c r="AG520" s="109"/>
      <c r="AH520" s="109"/>
      <c r="AI520" s="109"/>
    </row>
    <row r="52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  <c r="AC521" s="109"/>
      <c r="AD521" s="109"/>
      <c r="AE521" s="109"/>
      <c r="AF521" s="109"/>
      <c r="AG521" s="109"/>
      <c r="AH521" s="109"/>
      <c r="AI521" s="109"/>
    </row>
    <row r="522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  <c r="AD522" s="109"/>
      <c r="AE522" s="109"/>
      <c r="AF522" s="109"/>
      <c r="AG522" s="109"/>
      <c r="AH522" s="109"/>
      <c r="AI522" s="109"/>
    </row>
    <row r="523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  <c r="AD523" s="109"/>
      <c r="AE523" s="109"/>
      <c r="AF523" s="109"/>
      <c r="AG523" s="109"/>
      <c r="AH523" s="109"/>
      <c r="AI523" s="109"/>
    </row>
    <row r="524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  <c r="AD524" s="109"/>
      <c r="AE524" s="109"/>
      <c r="AF524" s="109"/>
      <c r="AG524" s="109"/>
      <c r="AH524" s="109"/>
      <c r="AI524" s="109"/>
    </row>
    <row r="525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  <c r="AD525" s="109"/>
      <c r="AE525" s="109"/>
      <c r="AF525" s="109"/>
      <c r="AG525" s="109"/>
      <c r="AH525" s="109"/>
      <c r="AI525" s="109"/>
    </row>
    <row r="526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  <c r="AD526" s="109"/>
      <c r="AE526" s="109"/>
      <c r="AF526" s="109"/>
      <c r="AG526" s="109"/>
      <c r="AH526" s="109"/>
      <c r="AI526" s="109"/>
    </row>
    <row r="527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  <c r="AD527" s="109"/>
      <c r="AE527" s="109"/>
      <c r="AF527" s="109"/>
      <c r="AG527" s="109"/>
      <c r="AH527" s="109"/>
      <c r="AI527" s="109"/>
    </row>
    <row r="528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  <c r="AD528" s="109"/>
      <c r="AE528" s="109"/>
      <c r="AF528" s="109"/>
      <c r="AG528" s="109"/>
      <c r="AH528" s="109"/>
      <c r="AI528" s="109"/>
    </row>
    <row r="529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  <c r="AD529" s="109"/>
      <c r="AE529" s="109"/>
      <c r="AF529" s="109"/>
      <c r="AG529" s="109"/>
      <c r="AH529" s="109"/>
      <c r="AI529" s="109"/>
    </row>
    <row r="530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  <c r="AE530" s="109"/>
      <c r="AF530" s="109"/>
      <c r="AG530" s="109"/>
      <c r="AH530" s="109"/>
      <c r="AI530" s="109"/>
    </row>
    <row r="53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  <c r="AD531" s="109"/>
      <c r="AE531" s="109"/>
      <c r="AF531" s="109"/>
      <c r="AG531" s="109"/>
      <c r="AH531" s="109"/>
      <c r="AI531" s="109"/>
    </row>
    <row r="532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  <c r="AE532" s="109"/>
      <c r="AF532" s="109"/>
      <c r="AG532" s="109"/>
      <c r="AH532" s="109"/>
      <c r="AI532" s="109"/>
    </row>
    <row r="533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  <c r="AE533" s="109"/>
      <c r="AF533" s="109"/>
      <c r="AG533" s="109"/>
      <c r="AH533" s="109"/>
      <c r="AI533" s="109"/>
    </row>
    <row r="534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  <c r="AE534" s="109"/>
      <c r="AF534" s="109"/>
      <c r="AG534" s="109"/>
      <c r="AH534" s="109"/>
      <c r="AI534" s="109"/>
    </row>
    <row r="535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  <c r="AE535" s="109"/>
      <c r="AF535" s="109"/>
      <c r="AG535" s="109"/>
      <c r="AH535" s="109"/>
      <c r="AI535" s="109"/>
    </row>
    <row r="536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  <c r="AD536" s="109"/>
      <c r="AE536" s="109"/>
      <c r="AF536" s="109"/>
      <c r="AG536" s="109"/>
      <c r="AH536" s="109"/>
      <c r="AI536" s="109"/>
    </row>
    <row r="537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  <c r="AB537" s="109"/>
      <c r="AC537" s="109"/>
      <c r="AD537" s="109"/>
      <c r="AE537" s="109"/>
      <c r="AF537" s="109"/>
      <c r="AG537" s="109"/>
      <c r="AH537" s="109"/>
      <c r="AI537" s="109"/>
    </row>
    <row r="538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09"/>
      <c r="AC538" s="109"/>
      <c r="AD538" s="109"/>
      <c r="AE538" s="109"/>
      <c r="AF538" s="109"/>
      <c r="AG538" s="109"/>
      <c r="AH538" s="109"/>
      <c r="AI538" s="109"/>
    </row>
    <row r="539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  <c r="AB539" s="109"/>
      <c r="AC539" s="109"/>
      <c r="AD539" s="109"/>
      <c r="AE539" s="109"/>
      <c r="AF539" s="109"/>
      <c r="AG539" s="109"/>
      <c r="AH539" s="109"/>
      <c r="AI539" s="109"/>
    </row>
    <row r="540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09"/>
      <c r="AC540" s="109"/>
      <c r="AD540" s="109"/>
      <c r="AE540" s="109"/>
      <c r="AF540" s="109"/>
      <c r="AG540" s="109"/>
      <c r="AH540" s="109"/>
      <c r="AI540" s="109"/>
    </row>
    <row r="54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  <c r="AB541" s="109"/>
      <c r="AC541" s="109"/>
      <c r="AD541" s="109"/>
      <c r="AE541" s="109"/>
      <c r="AF541" s="109"/>
      <c r="AG541" s="109"/>
      <c r="AH541" s="109"/>
      <c r="AI541" s="109"/>
    </row>
    <row r="542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  <c r="AB542" s="109"/>
      <c r="AC542" s="109"/>
      <c r="AD542" s="109"/>
      <c r="AE542" s="109"/>
      <c r="AF542" s="109"/>
      <c r="AG542" s="109"/>
      <c r="AH542" s="109"/>
      <c r="AI542" s="109"/>
    </row>
    <row r="543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  <c r="AB543" s="109"/>
      <c r="AC543" s="109"/>
      <c r="AD543" s="109"/>
      <c r="AE543" s="109"/>
      <c r="AF543" s="109"/>
      <c r="AG543" s="109"/>
      <c r="AH543" s="109"/>
      <c r="AI543" s="109"/>
    </row>
    <row r="544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09"/>
      <c r="AC544" s="109"/>
      <c r="AD544" s="109"/>
      <c r="AE544" s="109"/>
      <c r="AF544" s="109"/>
      <c r="AG544" s="109"/>
      <c r="AH544" s="109"/>
      <c r="AI544" s="109"/>
    </row>
    <row r="545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09"/>
      <c r="AC545" s="109"/>
      <c r="AD545" s="109"/>
      <c r="AE545" s="109"/>
      <c r="AF545" s="109"/>
      <c r="AG545" s="109"/>
      <c r="AH545" s="109"/>
      <c r="AI545" s="109"/>
    </row>
    <row r="546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  <c r="AB546" s="109"/>
      <c r="AC546" s="109"/>
      <c r="AD546" s="109"/>
      <c r="AE546" s="109"/>
      <c r="AF546" s="109"/>
      <c r="AG546" s="109"/>
      <c r="AH546" s="109"/>
      <c r="AI546" s="109"/>
    </row>
    <row r="547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09"/>
      <c r="AC547" s="109"/>
      <c r="AD547" s="109"/>
      <c r="AE547" s="109"/>
      <c r="AF547" s="109"/>
      <c r="AG547" s="109"/>
      <c r="AH547" s="109"/>
      <c r="AI547" s="109"/>
    </row>
    <row r="548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09"/>
      <c r="AC548" s="109"/>
      <c r="AD548" s="109"/>
      <c r="AE548" s="109"/>
      <c r="AF548" s="109"/>
      <c r="AG548" s="109"/>
      <c r="AH548" s="109"/>
      <c r="AI548" s="109"/>
    </row>
    <row r="549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  <c r="AB549" s="109"/>
      <c r="AC549" s="109"/>
      <c r="AD549" s="109"/>
      <c r="AE549" s="109"/>
      <c r="AF549" s="109"/>
      <c r="AG549" s="109"/>
      <c r="AH549" s="109"/>
      <c r="AI549" s="109"/>
    </row>
    <row r="550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09"/>
      <c r="AC550" s="109"/>
      <c r="AD550" s="109"/>
      <c r="AE550" s="109"/>
      <c r="AF550" s="109"/>
      <c r="AG550" s="109"/>
      <c r="AH550" s="109"/>
      <c r="AI550" s="109"/>
    </row>
    <row r="55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  <c r="AB551" s="109"/>
      <c r="AC551" s="109"/>
      <c r="AD551" s="109"/>
      <c r="AE551" s="109"/>
      <c r="AF551" s="109"/>
      <c r="AG551" s="109"/>
      <c r="AH551" s="109"/>
      <c r="AI551" s="109"/>
    </row>
    <row r="552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  <c r="AB552" s="109"/>
      <c r="AC552" s="109"/>
      <c r="AD552" s="109"/>
      <c r="AE552" s="109"/>
      <c r="AF552" s="109"/>
      <c r="AG552" s="109"/>
      <c r="AH552" s="109"/>
      <c r="AI552" s="109"/>
    </row>
    <row r="553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  <c r="AB553" s="109"/>
      <c r="AC553" s="109"/>
      <c r="AD553" s="109"/>
      <c r="AE553" s="109"/>
      <c r="AF553" s="109"/>
      <c r="AG553" s="109"/>
      <c r="AH553" s="109"/>
      <c r="AI553" s="109"/>
    </row>
    <row r="554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  <c r="AB554" s="109"/>
      <c r="AC554" s="109"/>
      <c r="AD554" s="109"/>
      <c r="AE554" s="109"/>
      <c r="AF554" s="109"/>
      <c r="AG554" s="109"/>
      <c r="AH554" s="109"/>
      <c r="AI554" s="109"/>
    </row>
    <row r="555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  <c r="AB555" s="109"/>
      <c r="AC555" s="109"/>
      <c r="AD555" s="109"/>
      <c r="AE555" s="109"/>
      <c r="AF555" s="109"/>
      <c r="AG555" s="109"/>
      <c r="AH555" s="109"/>
      <c r="AI555" s="109"/>
    </row>
    <row r="556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  <c r="AB556" s="109"/>
      <c r="AC556" s="109"/>
      <c r="AD556" s="109"/>
      <c r="AE556" s="109"/>
      <c r="AF556" s="109"/>
      <c r="AG556" s="109"/>
      <c r="AH556" s="109"/>
      <c r="AI556" s="109"/>
    </row>
    <row r="557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  <c r="AB557" s="109"/>
      <c r="AC557" s="109"/>
      <c r="AD557" s="109"/>
      <c r="AE557" s="109"/>
      <c r="AF557" s="109"/>
      <c r="AG557" s="109"/>
      <c r="AH557" s="109"/>
      <c r="AI557" s="109"/>
    </row>
    <row r="558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  <c r="AB558" s="109"/>
      <c r="AC558" s="109"/>
      <c r="AD558" s="109"/>
      <c r="AE558" s="109"/>
      <c r="AF558" s="109"/>
      <c r="AG558" s="109"/>
      <c r="AH558" s="109"/>
      <c r="AI558" s="109"/>
    </row>
    <row r="559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  <c r="AB559" s="109"/>
      <c r="AC559" s="109"/>
      <c r="AD559" s="109"/>
      <c r="AE559" s="109"/>
      <c r="AF559" s="109"/>
      <c r="AG559" s="109"/>
      <c r="AH559" s="109"/>
      <c r="AI559" s="109"/>
    </row>
    <row r="560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  <c r="AB560" s="109"/>
      <c r="AC560" s="109"/>
      <c r="AD560" s="109"/>
      <c r="AE560" s="109"/>
      <c r="AF560" s="109"/>
      <c r="AG560" s="109"/>
      <c r="AH560" s="109"/>
      <c r="AI560" s="109"/>
    </row>
    <row r="56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  <c r="AB561" s="109"/>
      <c r="AC561" s="109"/>
      <c r="AD561" s="109"/>
      <c r="AE561" s="109"/>
      <c r="AF561" s="109"/>
      <c r="AG561" s="109"/>
      <c r="AH561" s="109"/>
      <c r="AI561" s="109"/>
    </row>
    <row r="562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  <c r="AB562" s="109"/>
      <c r="AC562" s="109"/>
      <c r="AD562" s="109"/>
      <c r="AE562" s="109"/>
      <c r="AF562" s="109"/>
      <c r="AG562" s="109"/>
      <c r="AH562" s="109"/>
      <c r="AI562" s="109"/>
    </row>
    <row r="563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  <c r="AB563" s="109"/>
      <c r="AC563" s="109"/>
      <c r="AD563" s="109"/>
      <c r="AE563" s="109"/>
      <c r="AF563" s="109"/>
      <c r="AG563" s="109"/>
      <c r="AH563" s="109"/>
      <c r="AI563" s="109"/>
    </row>
    <row r="564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  <c r="AB564" s="109"/>
      <c r="AC564" s="109"/>
      <c r="AD564" s="109"/>
      <c r="AE564" s="109"/>
      <c r="AF564" s="109"/>
      <c r="AG564" s="109"/>
      <c r="AH564" s="109"/>
      <c r="AI564" s="109"/>
    </row>
    <row r="565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09"/>
      <c r="AC565" s="109"/>
      <c r="AD565" s="109"/>
      <c r="AE565" s="109"/>
      <c r="AF565" s="109"/>
      <c r="AG565" s="109"/>
      <c r="AH565" s="109"/>
      <c r="AI565" s="109"/>
    </row>
    <row r="566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09"/>
      <c r="AC566" s="109"/>
      <c r="AD566" s="109"/>
      <c r="AE566" s="109"/>
      <c r="AF566" s="109"/>
      <c r="AG566" s="109"/>
      <c r="AH566" s="109"/>
      <c r="AI566" s="109"/>
    </row>
    <row r="567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09"/>
      <c r="AC567" s="109"/>
      <c r="AD567" s="109"/>
      <c r="AE567" s="109"/>
      <c r="AF567" s="109"/>
      <c r="AG567" s="109"/>
      <c r="AH567" s="109"/>
      <c r="AI567" s="109"/>
    </row>
    <row r="568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09"/>
      <c r="AC568" s="109"/>
      <c r="AD568" s="109"/>
      <c r="AE568" s="109"/>
      <c r="AF568" s="109"/>
      <c r="AG568" s="109"/>
      <c r="AH568" s="109"/>
      <c r="AI568" s="109"/>
    </row>
    <row r="569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09"/>
      <c r="AC569" s="109"/>
      <c r="AD569" s="109"/>
      <c r="AE569" s="109"/>
      <c r="AF569" s="109"/>
      <c r="AG569" s="109"/>
      <c r="AH569" s="109"/>
      <c r="AI569" s="109"/>
    </row>
    <row r="570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  <c r="AB570" s="109"/>
      <c r="AC570" s="109"/>
      <c r="AD570" s="109"/>
      <c r="AE570" s="109"/>
      <c r="AF570" s="109"/>
      <c r="AG570" s="109"/>
      <c r="AH570" s="109"/>
      <c r="AI570" s="109"/>
    </row>
    <row r="57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  <c r="AB571" s="109"/>
      <c r="AC571" s="109"/>
      <c r="AD571" s="109"/>
      <c r="AE571" s="109"/>
      <c r="AF571" s="109"/>
      <c r="AG571" s="109"/>
      <c r="AH571" s="109"/>
      <c r="AI571" s="109"/>
    </row>
    <row r="572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  <c r="AC572" s="109"/>
      <c r="AD572" s="109"/>
      <c r="AE572" s="109"/>
      <c r="AF572" s="109"/>
      <c r="AG572" s="109"/>
      <c r="AH572" s="109"/>
      <c r="AI572" s="109"/>
    </row>
    <row r="573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  <c r="AC573" s="109"/>
      <c r="AD573" s="109"/>
      <c r="AE573" s="109"/>
      <c r="AF573" s="109"/>
      <c r="AG573" s="109"/>
      <c r="AH573" s="109"/>
      <c r="AI573" s="109"/>
    </row>
    <row r="574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  <c r="AC574" s="109"/>
      <c r="AD574" s="109"/>
      <c r="AE574" s="109"/>
      <c r="AF574" s="109"/>
      <c r="AG574" s="109"/>
      <c r="AH574" s="109"/>
      <c r="AI574" s="109"/>
    </row>
    <row r="575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  <c r="AC575" s="109"/>
      <c r="AD575" s="109"/>
      <c r="AE575" s="109"/>
      <c r="AF575" s="109"/>
      <c r="AG575" s="109"/>
      <c r="AH575" s="109"/>
      <c r="AI575" s="109"/>
    </row>
    <row r="576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  <c r="AC576" s="109"/>
      <c r="AD576" s="109"/>
      <c r="AE576" s="109"/>
      <c r="AF576" s="109"/>
      <c r="AG576" s="109"/>
      <c r="AH576" s="109"/>
      <c r="AI576" s="109"/>
    </row>
    <row r="577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  <c r="AC577" s="109"/>
      <c r="AD577" s="109"/>
      <c r="AE577" s="109"/>
      <c r="AF577" s="109"/>
      <c r="AG577" s="109"/>
      <c r="AH577" s="109"/>
      <c r="AI577" s="109"/>
    </row>
    <row r="578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  <c r="AB578" s="109"/>
      <c r="AC578" s="109"/>
      <c r="AD578" s="109"/>
      <c r="AE578" s="109"/>
      <c r="AF578" s="109"/>
      <c r="AG578" s="109"/>
      <c r="AH578" s="109"/>
      <c r="AI578" s="109"/>
    </row>
    <row r="579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  <c r="AC579" s="109"/>
      <c r="AD579" s="109"/>
      <c r="AE579" s="109"/>
      <c r="AF579" s="109"/>
      <c r="AG579" s="109"/>
      <c r="AH579" s="109"/>
      <c r="AI579" s="109"/>
    </row>
    <row r="580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  <c r="AB580" s="109"/>
      <c r="AC580" s="109"/>
      <c r="AD580" s="109"/>
      <c r="AE580" s="109"/>
      <c r="AF580" s="109"/>
      <c r="AG580" s="109"/>
      <c r="AH580" s="109"/>
      <c r="AI580" s="109"/>
    </row>
    <row r="58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  <c r="AC581" s="109"/>
      <c r="AD581" s="109"/>
      <c r="AE581" s="109"/>
      <c r="AF581" s="109"/>
      <c r="AG581" s="109"/>
      <c r="AH581" s="109"/>
      <c r="AI581" s="109"/>
    </row>
    <row r="582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  <c r="AC582" s="109"/>
      <c r="AD582" s="109"/>
      <c r="AE582" s="109"/>
      <c r="AF582" s="109"/>
      <c r="AG582" s="109"/>
      <c r="AH582" s="109"/>
      <c r="AI582" s="109"/>
    </row>
    <row r="583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  <c r="AC583" s="109"/>
      <c r="AD583" s="109"/>
      <c r="AE583" s="109"/>
      <c r="AF583" s="109"/>
      <c r="AG583" s="109"/>
      <c r="AH583" s="109"/>
      <c r="AI583" s="109"/>
    </row>
    <row r="584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  <c r="AC584" s="109"/>
      <c r="AD584" s="109"/>
      <c r="AE584" s="109"/>
      <c r="AF584" s="109"/>
      <c r="AG584" s="109"/>
      <c r="AH584" s="109"/>
      <c r="AI584" s="109"/>
    </row>
    <row r="585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09"/>
      <c r="AC585" s="109"/>
      <c r="AD585" s="109"/>
      <c r="AE585" s="109"/>
      <c r="AF585" s="109"/>
      <c r="AG585" s="109"/>
      <c r="AH585" s="109"/>
      <c r="AI585" s="109"/>
    </row>
    <row r="586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  <c r="AC586" s="109"/>
      <c r="AD586" s="109"/>
      <c r="AE586" s="109"/>
      <c r="AF586" s="109"/>
      <c r="AG586" s="109"/>
      <c r="AH586" s="109"/>
      <c r="AI586" s="109"/>
    </row>
    <row r="587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  <c r="AC587" s="109"/>
      <c r="AD587" s="109"/>
      <c r="AE587" s="109"/>
      <c r="AF587" s="109"/>
      <c r="AG587" s="109"/>
      <c r="AH587" s="109"/>
      <c r="AI587" s="109"/>
    </row>
    <row r="588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  <c r="AB588" s="109"/>
      <c r="AC588" s="109"/>
      <c r="AD588" s="109"/>
      <c r="AE588" s="109"/>
      <c r="AF588" s="109"/>
      <c r="AG588" s="109"/>
      <c r="AH588" s="109"/>
      <c r="AI588" s="109"/>
    </row>
    <row r="589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  <c r="AC589" s="109"/>
      <c r="AD589" s="109"/>
      <c r="AE589" s="109"/>
      <c r="AF589" s="109"/>
      <c r="AG589" s="109"/>
      <c r="AH589" s="109"/>
      <c r="AI589" s="109"/>
    </row>
    <row r="590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  <c r="AC590" s="109"/>
      <c r="AD590" s="109"/>
      <c r="AE590" s="109"/>
      <c r="AF590" s="109"/>
      <c r="AG590" s="109"/>
      <c r="AH590" s="109"/>
      <c r="AI590" s="109"/>
    </row>
    <row r="59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  <c r="AC591" s="109"/>
      <c r="AD591" s="109"/>
      <c r="AE591" s="109"/>
      <c r="AF591" s="109"/>
      <c r="AG591" s="109"/>
      <c r="AH591" s="109"/>
      <c r="AI591" s="109"/>
    </row>
    <row r="592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  <c r="AC592" s="109"/>
      <c r="AD592" s="109"/>
      <c r="AE592" s="109"/>
      <c r="AF592" s="109"/>
      <c r="AG592" s="109"/>
      <c r="AH592" s="109"/>
      <c r="AI592" s="109"/>
    </row>
    <row r="593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  <c r="AC593" s="109"/>
      <c r="AD593" s="109"/>
      <c r="AE593" s="109"/>
      <c r="AF593" s="109"/>
      <c r="AG593" s="109"/>
      <c r="AH593" s="109"/>
      <c r="AI593" s="109"/>
    </row>
    <row r="594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  <c r="AD594" s="109"/>
      <c r="AE594" s="109"/>
      <c r="AF594" s="109"/>
      <c r="AG594" s="109"/>
      <c r="AH594" s="109"/>
      <c r="AI594" s="109"/>
    </row>
    <row r="595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09"/>
      <c r="AG595" s="109"/>
      <c r="AH595" s="109"/>
      <c r="AI595" s="109"/>
    </row>
    <row r="596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  <c r="AD596" s="109"/>
      <c r="AE596" s="109"/>
      <c r="AF596" s="109"/>
      <c r="AG596" s="109"/>
      <c r="AH596" s="109"/>
      <c r="AI596" s="109"/>
    </row>
    <row r="597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  <c r="AD597" s="109"/>
      <c r="AE597" s="109"/>
      <c r="AF597" s="109"/>
      <c r="AG597" s="109"/>
      <c r="AH597" s="109"/>
      <c r="AI597" s="109"/>
    </row>
    <row r="598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  <c r="AC598" s="109"/>
      <c r="AD598" s="109"/>
      <c r="AE598" s="109"/>
      <c r="AF598" s="109"/>
      <c r="AG598" s="109"/>
      <c r="AH598" s="109"/>
      <c r="AI598" s="109"/>
    </row>
    <row r="599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  <c r="AC599" s="109"/>
      <c r="AD599" s="109"/>
      <c r="AE599" s="109"/>
      <c r="AF599" s="109"/>
      <c r="AG599" s="109"/>
      <c r="AH599" s="109"/>
      <c r="AI599" s="109"/>
    </row>
    <row r="600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  <c r="AD600" s="109"/>
      <c r="AE600" s="109"/>
      <c r="AF600" s="109"/>
      <c r="AG600" s="109"/>
      <c r="AH600" s="109"/>
      <c r="AI600" s="109"/>
    </row>
    <row r="60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  <c r="AD601" s="109"/>
      <c r="AE601" s="109"/>
      <c r="AF601" s="109"/>
      <c r="AG601" s="109"/>
      <c r="AH601" s="109"/>
      <c r="AI601" s="109"/>
    </row>
    <row r="602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  <c r="AC602" s="109"/>
      <c r="AD602" s="109"/>
      <c r="AE602" s="109"/>
      <c r="AF602" s="109"/>
      <c r="AG602" s="109"/>
      <c r="AH602" s="109"/>
      <c r="AI602" s="109"/>
    </row>
    <row r="603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  <c r="AC603" s="109"/>
      <c r="AD603" s="109"/>
      <c r="AE603" s="109"/>
      <c r="AF603" s="109"/>
      <c r="AG603" s="109"/>
      <c r="AH603" s="109"/>
      <c r="AI603" s="109"/>
    </row>
    <row r="604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  <c r="AC604" s="109"/>
      <c r="AD604" s="109"/>
      <c r="AE604" s="109"/>
      <c r="AF604" s="109"/>
      <c r="AG604" s="109"/>
      <c r="AH604" s="109"/>
      <c r="AI604" s="109"/>
    </row>
    <row r="605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  <c r="AC605" s="109"/>
      <c r="AD605" s="109"/>
      <c r="AE605" s="109"/>
      <c r="AF605" s="109"/>
      <c r="AG605" s="109"/>
      <c r="AH605" s="109"/>
      <c r="AI605" s="109"/>
    </row>
    <row r="606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  <c r="AC606" s="109"/>
      <c r="AD606" s="109"/>
      <c r="AE606" s="109"/>
      <c r="AF606" s="109"/>
      <c r="AG606" s="109"/>
      <c r="AH606" s="109"/>
      <c r="AI606" s="109"/>
    </row>
    <row r="607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  <c r="AC607" s="109"/>
      <c r="AD607" s="109"/>
      <c r="AE607" s="109"/>
      <c r="AF607" s="109"/>
      <c r="AG607" s="109"/>
      <c r="AH607" s="109"/>
      <c r="AI607" s="109"/>
    </row>
    <row r="608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  <c r="AB608" s="109"/>
      <c r="AC608" s="109"/>
      <c r="AD608" s="109"/>
      <c r="AE608" s="109"/>
      <c r="AF608" s="109"/>
      <c r="AG608" s="109"/>
      <c r="AH608" s="109"/>
      <c r="AI608" s="109"/>
    </row>
    <row r="609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  <c r="AB609" s="109"/>
      <c r="AC609" s="109"/>
      <c r="AD609" s="109"/>
      <c r="AE609" s="109"/>
      <c r="AF609" s="109"/>
      <c r="AG609" s="109"/>
      <c r="AH609" s="109"/>
      <c r="AI609" s="109"/>
    </row>
    <row r="610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09"/>
      <c r="AC610" s="109"/>
      <c r="AD610" s="109"/>
      <c r="AE610" s="109"/>
      <c r="AF610" s="109"/>
      <c r="AG610" s="109"/>
      <c r="AH610" s="109"/>
      <c r="AI610" s="109"/>
    </row>
    <row r="61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  <c r="AB611" s="109"/>
      <c r="AC611" s="109"/>
      <c r="AD611" s="109"/>
      <c r="AE611" s="109"/>
      <c r="AF611" s="109"/>
      <c r="AG611" s="109"/>
      <c r="AH611" s="109"/>
      <c r="AI611" s="109"/>
    </row>
    <row r="612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  <c r="AB612" s="109"/>
      <c r="AC612" s="109"/>
      <c r="AD612" s="109"/>
      <c r="AE612" s="109"/>
      <c r="AF612" s="109"/>
      <c r="AG612" s="109"/>
      <c r="AH612" s="109"/>
      <c r="AI612" s="109"/>
    </row>
    <row r="613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09"/>
      <c r="AC613" s="109"/>
      <c r="AD613" s="109"/>
      <c r="AE613" s="109"/>
      <c r="AF613" s="109"/>
      <c r="AG613" s="109"/>
      <c r="AH613" s="109"/>
      <c r="AI613" s="109"/>
    </row>
    <row r="614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  <c r="AC614" s="109"/>
      <c r="AD614" s="109"/>
      <c r="AE614" s="109"/>
      <c r="AF614" s="109"/>
      <c r="AG614" s="109"/>
      <c r="AH614" s="109"/>
      <c r="AI614" s="109"/>
    </row>
    <row r="615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  <c r="AC615" s="109"/>
      <c r="AD615" s="109"/>
      <c r="AE615" s="109"/>
      <c r="AF615" s="109"/>
      <c r="AG615" s="109"/>
      <c r="AH615" s="109"/>
      <c r="AI615" s="109"/>
    </row>
    <row r="616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09"/>
      <c r="AC616" s="109"/>
      <c r="AD616" s="109"/>
      <c r="AE616" s="109"/>
      <c r="AF616" s="109"/>
      <c r="AG616" s="109"/>
      <c r="AH616" s="109"/>
      <c r="AI616" s="109"/>
    </row>
    <row r="617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  <c r="AC617" s="109"/>
      <c r="AD617" s="109"/>
      <c r="AE617" s="109"/>
      <c r="AF617" s="109"/>
      <c r="AG617" s="109"/>
      <c r="AH617" s="109"/>
      <c r="AI617" s="109"/>
    </row>
    <row r="618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09"/>
      <c r="AC618" s="109"/>
      <c r="AD618" s="109"/>
      <c r="AE618" s="109"/>
      <c r="AF618" s="109"/>
      <c r="AG618" s="109"/>
      <c r="AH618" s="109"/>
      <c r="AI618" s="109"/>
    </row>
    <row r="619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09"/>
      <c r="AC619" s="109"/>
      <c r="AD619" s="109"/>
      <c r="AE619" s="109"/>
      <c r="AF619" s="109"/>
      <c r="AG619" s="109"/>
      <c r="AH619" s="109"/>
      <c r="AI619" s="109"/>
    </row>
    <row r="620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09"/>
      <c r="AC620" s="109"/>
      <c r="AD620" s="109"/>
      <c r="AE620" s="109"/>
      <c r="AF620" s="109"/>
      <c r="AG620" s="109"/>
      <c r="AH620" s="109"/>
      <c r="AI620" s="109"/>
    </row>
    <row r="62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  <c r="AC621" s="109"/>
      <c r="AD621" s="109"/>
      <c r="AE621" s="109"/>
      <c r="AF621" s="109"/>
      <c r="AG621" s="109"/>
      <c r="AH621" s="109"/>
      <c r="AI621" s="109"/>
    </row>
    <row r="622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  <c r="AD622" s="109"/>
      <c r="AE622" s="109"/>
      <c r="AF622" s="109"/>
      <c r="AG622" s="109"/>
      <c r="AH622" s="109"/>
      <c r="AI622" s="109"/>
    </row>
    <row r="623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  <c r="AC623" s="109"/>
      <c r="AD623" s="109"/>
      <c r="AE623" s="109"/>
      <c r="AF623" s="109"/>
      <c r="AG623" s="109"/>
      <c r="AH623" s="109"/>
      <c r="AI623" s="109"/>
    </row>
    <row r="624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09"/>
      <c r="AC624" s="109"/>
      <c r="AD624" s="109"/>
      <c r="AE624" s="109"/>
      <c r="AF624" s="109"/>
      <c r="AG624" s="109"/>
      <c r="AH624" s="109"/>
      <c r="AI624" s="109"/>
    </row>
    <row r="625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09"/>
      <c r="AC625" s="109"/>
      <c r="AD625" s="109"/>
      <c r="AE625" s="109"/>
      <c r="AF625" s="109"/>
      <c r="AG625" s="109"/>
      <c r="AH625" s="109"/>
      <c r="AI625" s="109"/>
    </row>
    <row r="626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09"/>
      <c r="AC626" s="109"/>
      <c r="AD626" s="109"/>
      <c r="AE626" s="109"/>
      <c r="AF626" s="109"/>
      <c r="AG626" s="109"/>
      <c r="AH626" s="109"/>
      <c r="AI626" s="109"/>
    </row>
    <row r="627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09"/>
      <c r="AC627" s="109"/>
      <c r="AD627" s="109"/>
      <c r="AE627" s="109"/>
      <c r="AF627" s="109"/>
      <c r="AG627" s="109"/>
      <c r="AH627" s="109"/>
      <c r="AI627" s="109"/>
    </row>
    <row r="628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09"/>
      <c r="AC628" s="109"/>
      <c r="AD628" s="109"/>
      <c r="AE628" s="109"/>
      <c r="AF628" s="109"/>
      <c r="AG628" s="109"/>
      <c r="AH628" s="109"/>
      <c r="AI628" s="109"/>
    </row>
    <row r="629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09"/>
      <c r="AC629" s="109"/>
      <c r="AD629" s="109"/>
      <c r="AE629" s="109"/>
      <c r="AF629" s="109"/>
      <c r="AG629" s="109"/>
      <c r="AH629" s="109"/>
      <c r="AI629" s="109"/>
    </row>
    <row r="630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09"/>
      <c r="AC630" s="109"/>
      <c r="AD630" s="109"/>
      <c r="AE630" s="109"/>
      <c r="AF630" s="109"/>
      <c r="AG630" s="109"/>
      <c r="AH630" s="109"/>
      <c r="AI630" s="109"/>
    </row>
    <row r="63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09"/>
      <c r="AC631" s="109"/>
      <c r="AD631" s="109"/>
      <c r="AE631" s="109"/>
      <c r="AF631" s="109"/>
      <c r="AG631" s="109"/>
      <c r="AH631" s="109"/>
      <c r="AI631" s="109"/>
    </row>
    <row r="632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  <c r="AC632" s="109"/>
      <c r="AD632" s="109"/>
      <c r="AE632" s="109"/>
      <c r="AF632" s="109"/>
      <c r="AG632" s="109"/>
      <c r="AH632" s="109"/>
      <c r="AI632" s="109"/>
    </row>
    <row r="633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09"/>
      <c r="AC633" s="109"/>
      <c r="AD633" s="109"/>
      <c r="AE633" s="109"/>
      <c r="AF633" s="109"/>
      <c r="AG633" s="109"/>
      <c r="AH633" s="109"/>
      <c r="AI633" s="109"/>
    </row>
    <row r="634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09"/>
      <c r="AC634" s="109"/>
      <c r="AD634" s="109"/>
      <c r="AE634" s="109"/>
      <c r="AF634" s="109"/>
      <c r="AG634" s="109"/>
      <c r="AH634" s="109"/>
      <c r="AI634" s="109"/>
    </row>
    <row r="635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09"/>
      <c r="AC635" s="109"/>
      <c r="AD635" s="109"/>
      <c r="AE635" s="109"/>
      <c r="AF635" s="109"/>
      <c r="AG635" s="109"/>
      <c r="AH635" s="109"/>
      <c r="AI635" s="109"/>
    </row>
    <row r="636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09"/>
      <c r="AC636" s="109"/>
      <c r="AD636" s="109"/>
      <c r="AE636" s="109"/>
      <c r="AF636" s="109"/>
      <c r="AG636" s="109"/>
      <c r="AH636" s="109"/>
      <c r="AI636" s="109"/>
    </row>
    <row r="637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09"/>
      <c r="AC637" s="109"/>
      <c r="AD637" s="109"/>
      <c r="AE637" s="109"/>
      <c r="AF637" s="109"/>
      <c r="AG637" s="109"/>
      <c r="AH637" s="109"/>
      <c r="AI637" s="109"/>
    </row>
    <row r="638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09"/>
      <c r="AC638" s="109"/>
      <c r="AD638" s="109"/>
      <c r="AE638" s="109"/>
      <c r="AF638" s="109"/>
      <c r="AG638" s="109"/>
      <c r="AH638" s="109"/>
      <c r="AI638" s="109"/>
    </row>
    <row r="639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09"/>
      <c r="AC639" s="109"/>
      <c r="AD639" s="109"/>
      <c r="AE639" s="109"/>
      <c r="AF639" s="109"/>
      <c r="AG639" s="109"/>
      <c r="AH639" s="109"/>
      <c r="AI639" s="109"/>
    </row>
    <row r="640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09"/>
      <c r="AC640" s="109"/>
      <c r="AD640" s="109"/>
      <c r="AE640" s="109"/>
      <c r="AF640" s="109"/>
      <c r="AG640" s="109"/>
      <c r="AH640" s="109"/>
      <c r="AI640" s="109"/>
    </row>
    <row r="64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  <c r="AC641" s="109"/>
      <c r="AD641" s="109"/>
      <c r="AE641" s="109"/>
      <c r="AF641" s="109"/>
      <c r="AG641" s="109"/>
      <c r="AH641" s="109"/>
      <c r="AI641" s="109"/>
    </row>
    <row r="642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  <c r="AC642" s="109"/>
      <c r="AD642" s="109"/>
      <c r="AE642" s="109"/>
      <c r="AF642" s="109"/>
      <c r="AG642" s="109"/>
      <c r="AH642" s="109"/>
      <c r="AI642" s="109"/>
    </row>
    <row r="643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  <c r="AC643" s="109"/>
      <c r="AD643" s="109"/>
      <c r="AE643" s="109"/>
      <c r="AF643" s="109"/>
      <c r="AG643" s="109"/>
      <c r="AH643" s="109"/>
      <c r="AI643" s="109"/>
    </row>
    <row r="644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  <c r="AC644" s="109"/>
      <c r="AD644" s="109"/>
      <c r="AE644" s="109"/>
      <c r="AF644" s="109"/>
      <c r="AG644" s="109"/>
      <c r="AH644" s="109"/>
      <c r="AI644" s="109"/>
    </row>
    <row r="645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09"/>
      <c r="AC645" s="109"/>
      <c r="AD645" s="109"/>
      <c r="AE645" s="109"/>
      <c r="AF645" s="109"/>
      <c r="AG645" s="109"/>
      <c r="AH645" s="109"/>
      <c r="AI645" s="109"/>
    </row>
    <row r="646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09"/>
      <c r="AC646" s="109"/>
      <c r="AD646" s="109"/>
      <c r="AE646" s="109"/>
      <c r="AF646" s="109"/>
      <c r="AG646" s="109"/>
      <c r="AH646" s="109"/>
      <c r="AI646" s="109"/>
    </row>
    <row r="647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09"/>
      <c r="AC647" s="109"/>
      <c r="AD647" s="109"/>
      <c r="AE647" s="109"/>
      <c r="AF647" s="109"/>
      <c r="AG647" s="109"/>
      <c r="AH647" s="109"/>
      <c r="AI647" s="109"/>
    </row>
    <row r="648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09"/>
      <c r="AC648" s="109"/>
      <c r="AD648" s="109"/>
      <c r="AE648" s="109"/>
      <c r="AF648" s="109"/>
      <c r="AG648" s="109"/>
      <c r="AH648" s="109"/>
      <c r="AI648" s="109"/>
    </row>
    <row r="649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09"/>
      <c r="AC649" s="109"/>
      <c r="AD649" s="109"/>
      <c r="AE649" s="109"/>
      <c r="AF649" s="109"/>
      <c r="AG649" s="109"/>
      <c r="AH649" s="109"/>
      <c r="AI649" s="109"/>
    </row>
    <row r="650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  <c r="AC650" s="109"/>
      <c r="AD650" s="109"/>
      <c r="AE650" s="109"/>
      <c r="AF650" s="109"/>
      <c r="AG650" s="109"/>
      <c r="AH650" s="109"/>
      <c r="AI650" s="109"/>
    </row>
    <row r="65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09"/>
      <c r="AC651" s="109"/>
      <c r="AD651" s="109"/>
      <c r="AE651" s="109"/>
      <c r="AF651" s="109"/>
      <c r="AG651" s="109"/>
      <c r="AH651" s="109"/>
      <c r="AI651" s="109"/>
    </row>
    <row r="652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09"/>
      <c r="AC652" s="109"/>
      <c r="AD652" s="109"/>
      <c r="AE652" s="109"/>
      <c r="AF652" s="109"/>
      <c r="AG652" s="109"/>
      <c r="AH652" s="109"/>
      <c r="AI652" s="109"/>
    </row>
    <row r="653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09"/>
      <c r="AC653" s="109"/>
      <c r="AD653" s="109"/>
      <c r="AE653" s="109"/>
      <c r="AF653" s="109"/>
      <c r="AG653" s="109"/>
      <c r="AH653" s="109"/>
      <c r="AI653" s="109"/>
    </row>
    <row r="654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09"/>
      <c r="AC654" s="109"/>
      <c r="AD654" s="109"/>
      <c r="AE654" s="109"/>
      <c r="AF654" s="109"/>
      <c r="AG654" s="109"/>
      <c r="AH654" s="109"/>
      <c r="AI654" s="109"/>
    </row>
    <row r="655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09"/>
      <c r="AC655" s="109"/>
      <c r="AD655" s="109"/>
      <c r="AE655" s="109"/>
      <c r="AF655" s="109"/>
      <c r="AG655" s="109"/>
      <c r="AH655" s="109"/>
      <c r="AI655" s="109"/>
    </row>
    <row r="656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  <c r="AC656" s="109"/>
      <c r="AD656" s="109"/>
      <c r="AE656" s="109"/>
      <c r="AF656" s="109"/>
      <c r="AG656" s="109"/>
      <c r="AH656" s="109"/>
      <c r="AI656" s="109"/>
    </row>
    <row r="657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  <c r="AC657" s="109"/>
      <c r="AD657" s="109"/>
      <c r="AE657" s="109"/>
      <c r="AF657" s="109"/>
      <c r="AG657" s="109"/>
      <c r="AH657" s="109"/>
      <c r="AI657" s="109"/>
    </row>
    <row r="658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09"/>
      <c r="AC658" s="109"/>
      <c r="AD658" s="109"/>
      <c r="AE658" s="109"/>
      <c r="AF658" s="109"/>
      <c r="AG658" s="109"/>
      <c r="AH658" s="109"/>
      <c r="AI658" s="109"/>
    </row>
    <row r="659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09"/>
      <c r="AC659" s="109"/>
      <c r="AD659" s="109"/>
      <c r="AE659" s="109"/>
      <c r="AF659" s="109"/>
      <c r="AG659" s="109"/>
      <c r="AH659" s="109"/>
      <c r="AI659" s="109"/>
    </row>
    <row r="660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09"/>
      <c r="AC660" s="109"/>
      <c r="AD660" s="109"/>
      <c r="AE660" s="109"/>
      <c r="AF660" s="109"/>
      <c r="AG660" s="109"/>
      <c r="AH660" s="109"/>
      <c r="AI660" s="109"/>
    </row>
    <row r="66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09"/>
      <c r="AC661" s="109"/>
      <c r="AD661" s="109"/>
      <c r="AE661" s="109"/>
      <c r="AF661" s="109"/>
      <c r="AG661" s="109"/>
      <c r="AH661" s="109"/>
      <c r="AI661" s="109"/>
    </row>
    <row r="662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09"/>
      <c r="AC662" s="109"/>
      <c r="AD662" s="109"/>
      <c r="AE662" s="109"/>
      <c r="AF662" s="109"/>
      <c r="AG662" s="109"/>
      <c r="AH662" s="109"/>
      <c r="AI662" s="109"/>
    </row>
    <row r="663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09"/>
      <c r="AC663" s="109"/>
      <c r="AD663" s="109"/>
      <c r="AE663" s="109"/>
      <c r="AF663" s="109"/>
      <c r="AG663" s="109"/>
      <c r="AH663" s="109"/>
      <c r="AI663" s="109"/>
    </row>
    <row r="664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09"/>
      <c r="AC664" s="109"/>
      <c r="AD664" s="109"/>
      <c r="AE664" s="109"/>
      <c r="AF664" s="109"/>
      <c r="AG664" s="109"/>
      <c r="AH664" s="109"/>
      <c r="AI664" s="109"/>
    </row>
    <row r="665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09"/>
      <c r="AC665" s="109"/>
      <c r="AD665" s="109"/>
      <c r="AE665" s="109"/>
      <c r="AF665" s="109"/>
      <c r="AG665" s="109"/>
      <c r="AH665" s="109"/>
      <c r="AI665" s="109"/>
    </row>
    <row r="666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09"/>
      <c r="AC666" s="109"/>
      <c r="AD666" s="109"/>
      <c r="AE666" s="109"/>
      <c r="AF666" s="109"/>
      <c r="AG666" s="109"/>
      <c r="AH666" s="109"/>
      <c r="AI666" s="109"/>
    </row>
    <row r="667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09"/>
      <c r="AC667" s="109"/>
      <c r="AD667" s="109"/>
      <c r="AE667" s="109"/>
      <c r="AF667" s="109"/>
      <c r="AG667" s="109"/>
      <c r="AH667" s="109"/>
      <c r="AI667" s="109"/>
    </row>
    <row r="668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09"/>
      <c r="AC668" s="109"/>
      <c r="AD668" s="109"/>
      <c r="AE668" s="109"/>
      <c r="AF668" s="109"/>
      <c r="AG668" s="109"/>
      <c r="AH668" s="109"/>
      <c r="AI668" s="109"/>
    </row>
    <row r="669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09"/>
      <c r="AC669" s="109"/>
      <c r="AD669" s="109"/>
      <c r="AE669" s="109"/>
      <c r="AF669" s="109"/>
      <c r="AG669" s="109"/>
      <c r="AH669" s="109"/>
      <c r="AI669" s="109"/>
    </row>
    <row r="670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09"/>
      <c r="AC670" s="109"/>
      <c r="AD670" s="109"/>
      <c r="AE670" s="109"/>
      <c r="AF670" s="109"/>
      <c r="AG670" s="109"/>
      <c r="AH670" s="109"/>
      <c r="AI670" s="109"/>
    </row>
    <row r="67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09"/>
      <c r="AC671" s="109"/>
      <c r="AD671" s="109"/>
      <c r="AE671" s="109"/>
      <c r="AF671" s="109"/>
      <c r="AG671" s="109"/>
      <c r="AH671" s="109"/>
      <c r="AI671" s="109"/>
    </row>
    <row r="672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09"/>
      <c r="AC672" s="109"/>
      <c r="AD672" s="109"/>
      <c r="AE672" s="109"/>
      <c r="AF672" s="109"/>
      <c r="AG672" s="109"/>
      <c r="AH672" s="109"/>
      <c r="AI672" s="109"/>
    </row>
    <row r="673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09"/>
      <c r="AC673" s="109"/>
      <c r="AD673" s="109"/>
      <c r="AE673" s="109"/>
      <c r="AF673" s="109"/>
      <c r="AG673" s="109"/>
      <c r="AH673" s="109"/>
      <c r="AI673" s="109"/>
    </row>
    <row r="674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09"/>
      <c r="AC674" s="109"/>
      <c r="AD674" s="109"/>
      <c r="AE674" s="109"/>
      <c r="AF674" s="109"/>
      <c r="AG674" s="109"/>
      <c r="AH674" s="109"/>
      <c r="AI674" s="109"/>
    </row>
    <row r="675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09"/>
      <c r="AC675" s="109"/>
      <c r="AD675" s="109"/>
      <c r="AE675" s="109"/>
      <c r="AF675" s="109"/>
      <c r="AG675" s="109"/>
      <c r="AH675" s="109"/>
      <c r="AI675" s="109"/>
    </row>
    <row r="676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09"/>
      <c r="AC676" s="109"/>
      <c r="AD676" s="109"/>
      <c r="AE676" s="109"/>
      <c r="AF676" s="109"/>
      <c r="AG676" s="109"/>
      <c r="AH676" s="109"/>
      <c r="AI676" s="109"/>
    </row>
    <row r="677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09"/>
      <c r="AC677" s="109"/>
      <c r="AD677" s="109"/>
      <c r="AE677" s="109"/>
      <c r="AF677" s="109"/>
      <c r="AG677" s="109"/>
      <c r="AH677" s="109"/>
      <c r="AI677" s="109"/>
    </row>
    <row r="678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09"/>
      <c r="AC678" s="109"/>
      <c r="AD678" s="109"/>
      <c r="AE678" s="109"/>
      <c r="AF678" s="109"/>
      <c r="AG678" s="109"/>
      <c r="AH678" s="109"/>
      <c r="AI678" s="109"/>
    </row>
    <row r="679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09"/>
      <c r="AC679" s="109"/>
      <c r="AD679" s="109"/>
      <c r="AE679" s="109"/>
      <c r="AF679" s="109"/>
      <c r="AG679" s="109"/>
      <c r="AH679" s="109"/>
      <c r="AI679" s="109"/>
    </row>
    <row r="680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09"/>
      <c r="AC680" s="109"/>
      <c r="AD680" s="109"/>
      <c r="AE680" s="109"/>
      <c r="AF680" s="109"/>
      <c r="AG680" s="109"/>
      <c r="AH680" s="109"/>
      <c r="AI680" s="109"/>
    </row>
    <row r="68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09"/>
      <c r="AC681" s="109"/>
      <c r="AD681" s="109"/>
      <c r="AE681" s="109"/>
      <c r="AF681" s="109"/>
      <c r="AG681" s="109"/>
      <c r="AH681" s="109"/>
      <c r="AI681" s="109"/>
    </row>
    <row r="682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09"/>
      <c r="AC682" s="109"/>
      <c r="AD682" s="109"/>
      <c r="AE682" s="109"/>
      <c r="AF682" s="109"/>
      <c r="AG682" s="109"/>
      <c r="AH682" s="109"/>
      <c r="AI682" s="109"/>
    </row>
    <row r="683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09"/>
      <c r="AC683" s="109"/>
      <c r="AD683" s="109"/>
      <c r="AE683" s="109"/>
      <c r="AF683" s="109"/>
      <c r="AG683" s="109"/>
      <c r="AH683" s="109"/>
      <c r="AI683" s="109"/>
    </row>
    <row r="684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09"/>
      <c r="AC684" s="109"/>
      <c r="AD684" s="109"/>
      <c r="AE684" s="109"/>
      <c r="AF684" s="109"/>
      <c r="AG684" s="109"/>
      <c r="AH684" s="109"/>
      <c r="AI684" s="109"/>
    </row>
    <row r="685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09"/>
      <c r="AC685" s="109"/>
      <c r="AD685" s="109"/>
      <c r="AE685" s="109"/>
      <c r="AF685" s="109"/>
      <c r="AG685" s="109"/>
      <c r="AH685" s="109"/>
      <c r="AI685" s="109"/>
    </row>
    <row r="686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09"/>
      <c r="AC686" s="109"/>
      <c r="AD686" s="109"/>
      <c r="AE686" s="109"/>
      <c r="AF686" s="109"/>
      <c r="AG686" s="109"/>
      <c r="AH686" s="109"/>
      <c r="AI686" s="109"/>
    </row>
    <row r="687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09"/>
      <c r="AC687" s="109"/>
      <c r="AD687" s="109"/>
      <c r="AE687" s="109"/>
      <c r="AF687" s="109"/>
      <c r="AG687" s="109"/>
      <c r="AH687" s="109"/>
      <c r="AI687" s="109"/>
    </row>
    <row r="688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09"/>
      <c r="AC688" s="109"/>
      <c r="AD688" s="109"/>
      <c r="AE688" s="109"/>
      <c r="AF688" s="109"/>
      <c r="AG688" s="109"/>
      <c r="AH688" s="109"/>
      <c r="AI688" s="109"/>
    </row>
    <row r="689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09"/>
      <c r="AC689" s="109"/>
      <c r="AD689" s="109"/>
      <c r="AE689" s="109"/>
      <c r="AF689" s="109"/>
      <c r="AG689" s="109"/>
      <c r="AH689" s="109"/>
      <c r="AI689" s="109"/>
    </row>
    <row r="690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09"/>
      <c r="AC690" s="109"/>
      <c r="AD690" s="109"/>
      <c r="AE690" s="109"/>
      <c r="AF690" s="109"/>
      <c r="AG690" s="109"/>
      <c r="AH690" s="109"/>
      <c r="AI690" s="109"/>
    </row>
    <row r="69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  <c r="AB691" s="109"/>
      <c r="AC691" s="109"/>
      <c r="AD691" s="109"/>
      <c r="AE691" s="109"/>
      <c r="AF691" s="109"/>
      <c r="AG691" s="109"/>
      <c r="AH691" s="109"/>
      <c r="AI691" s="109"/>
    </row>
    <row r="692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09"/>
      <c r="AC692" s="109"/>
      <c r="AD692" s="109"/>
      <c r="AE692" s="109"/>
      <c r="AF692" s="109"/>
      <c r="AG692" s="109"/>
      <c r="AH692" s="109"/>
      <c r="AI692" s="109"/>
    </row>
    <row r="693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09"/>
      <c r="AC693" s="109"/>
      <c r="AD693" s="109"/>
      <c r="AE693" s="109"/>
      <c r="AF693" s="109"/>
      <c r="AG693" s="109"/>
      <c r="AH693" s="109"/>
      <c r="AI693" s="109"/>
    </row>
    <row r="694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  <c r="AB694" s="109"/>
      <c r="AC694" s="109"/>
      <c r="AD694" s="109"/>
      <c r="AE694" s="109"/>
      <c r="AF694" s="109"/>
      <c r="AG694" s="109"/>
      <c r="AH694" s="109"/>
      <c r="AI694" s="109"/>
    </row>
    <row r="695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09"/>
      <c r="AC695" s="109"/>
      <c r="AD695" s="109"/>
      <c r="AE695" s="109"/>
      <c r="AF695" s="109"/>
      <c r="AG695" s="109"/>
      <c r="AH695" s="109"/>
      <c r="AI695" s="109"/>
    </row>
    <row r="696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09"/>
      <c r="AC696" s="109"/>
      <c r="AD696" s="109"/>
      <c r="AE696" s="109"/>
      <c r="AF696" s="109"/>
      <c r="AG696" s="109"/>
      <c r="AH696" s="109"/>
      <c r="AI696" s="109"/>
    </row>
    <row r="697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09"/>
      <c r="AC697" s="109"/>
      <c r="AD697" s="109"/>
      <c r="AE697" s="109"/>
      <c r="AF697" s="109"/>
      <c r="AG697" s="109"/>
      <c r="AH697" s="109"/>
      <c r="AI697" s="109"/>
    </row>
    <row r="698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  <c r="AC698" s="109"/>
      <c r="AD698" s="109"/>
      <c r="AE698" s="109"/>
      <c r="AF698" s="109"/>
      <c r="AG698" s="109"/>
      <c r="AH698" s="109"/>
      <c r="AI698" s="109"/>
    </row>
    <row r="699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09"/>
      <c r="AC699" s="109"/>
      <c r="AD699" s="109"/>
      <c r="AE699" s="109"/>
      <c r="AF699" s="109"/>
      <c r="AG699" s="109"/>
      <c r="AH699" s="109"/>
      <c r="AI699" s="109"/>
    </row>
    <row r="700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  <c r="AB700" s="109"/>
      <c r="AC700" s="109"/>
      <c r="AD700" s="109"/>
      <c r="AE700" s="109"/>
      <c r="AF700" s="109"/>
      <c r="AG700" s="109"/>
      <c r="AH700" s="109"/>
      <c r="AI700" s="109"/>
    </row>
    <row r="70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09"/>
      <c r="AC701" s="109"/>
      <c r="AD701" s="109"/>
      <c r="AE701" s="109"/>
      <c r="AF701" s="109"/>
      <c r="AG701" s="109"/>
      <c r="AH701" s="109"/>
      <c r="AI701" s="109"/>
    </row>
    <row r="702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09"/>
      <c r="AC702" s="109"/>
      <c r="AD702" s="109"/>
      <c r="AE702" s="109"/>
      <c r="AF702" s="109"/>
      <c r="AG702" s="109"/>
      <c r="AH702" s="109"/>
      <c r="AI702" s="109"/>
    </row>
    <row r="703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09"/>
      <c r="AC703" s="109"/>
      <c r="AD703" s="109"/>
      <c r="AE703" s="109"/>
      <c r="AF703" s="109"/>
      <c r="AG703" s="109"/>
      <c r="AH703" s="109"/>
      <c r="AI703" s="109"/>
    </row>
    <row r="704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09"/>
      <c r="AC704" s="109"/>
      <c r="AD704" s="109"/>
      <c r="AE704" s="109"/>
      <c r="AF704" s="109"/>
      <c r="AG704" s="109"/>
      <c r="AH704" s="109"/>
      <c r="AI704" s="109"/>
    </row>
    <row r="705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09"/>
      <c r="AC705" s="109"/>
      <c r="AD705" s="109"/>
      <c r="AE705" s="109"/>
      <c r="AF705" s="109"/>
      <c r="AG705" s="109"/>
      <c r="AH705" s="109"/>
      <c r="AI705" s="109"/>
    </row>
    <row r="706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09"/>
      <c r="AC706" s="109"/>
      <c r="AD706" s="109"/>
      <c r="AE706" s="109"/>
      <c r="AF706" s="109"/>
      <c r="AG706" s="109"/>
      <c r="AH706" s="109"/>
      <c r="AI706" s="109"/>
    </row>
    <row r="707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09"/>
      <c r="AC707" s="109"/>
      <c r="AD707" s="109"/>
      <c r="AE707" s="109"/>
      <c r="AF707" s="109"/>
      <c r="AG707" s="109"/>
      <c r="AH707" s="109"/>
      <c r="AI707" s="109"/>
    </row>
    <row r="708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  <c r="AD708" s="109"/>
      <c r="AE708" s="109"/>
      <c r="AF708" s="109"/>
      <c r="AG708" s="109"/>
      <c r="AH708" s="109"/>
      <c r="AI708" s="109"/>
    </row>
    <row r="709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  <c r="AC709" s="109"/>
      <c r="AD709" s="109"/>
      <c r="AE709" s="109"/>
      <c r="AF709" s="109"/>
      <c r="AG709" s="109"/>
      <c r="AH709" s="109"/>
      <c r="AI709" s="109"/>
    </row>
    <row r="710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  <c r="AC710" s="109"/>
      <c r="AD710" s="109"/>
      <c r="AE710" s="109"/>
      <c r="AF710" s="109"/>
      <c r="AG710" s="109"/>
      <c r="AH710" s="109"/>
      <c r="AI710" s="109"/>
    </row>
    <row r="71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  <c r="AD711" s="109"/>
      <c r="AE711" s="109"/>
      <c r="AF711" s="109"/>
      <c r="AG711" s="109"/>
      <c r="AH711" s="109"/>
      <c r="AI711" s="109"/>
    </row>
    <row r="712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  <c r="AC712" s="109"/>
      <c r="AD712" s="109"/>
      <c r="AE712" s="109"/>
      <c r="AF712" s="109"/>
      <c r="AG712" s="109"/>
      <c r="AH712" s="109"/>
      <c r="AI712" s="109"/>
    </row>
    <row r="713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  <c r="AC713" s="109"/>
      <c r="AD713" s="109"/>
      <c r="AE713" s="109"/>
      <c r="AF713" s="109"/>
      <c r="AG713" s="109"/>
      <c r="AH713" s="109"/>
      <c r="AI713" s="109"/>
    </row>
    <row r="714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  <c r="AC714" s="109"/>
      <c r="AD714" s="109"/>
      <c r="AE714" s="109"/>
      <c r="AF714" s="109"/>
      <c r="AG714" s="109"/>
      <c r="AH714" s="109"/>
      <c r="AI714" s="109"/>
    </row>
    <row r="715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  <c r="AC715" s="109"/>
      <c r="AD715" s="109"/>
      <c r="AE715" s="109"/>
      <c r="AF715" s="109"/>
      <c r="AG715" s="109"/>
      <c r="AH715" s="109"/>
      <c r="AI715" s="109"/>
    </row>
    <row r="716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  <c r="AD716" s="109"/>
      <c r="AE716" s="109"/>
      <c r="AF716" s="109"/>
      <c r="AG716" s="109"/>
      <c r="AH716" s="109"/>
      <c r="AI716" s="109"/>
    </row>
    <row r="717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09"/>
      <c r="AC717" s="109"/>
      <c r="AD717" s="109"/>
      <c r="AE717" s="109"/>
      <c r="AF717" s="109"/>
      <c r="AG717" s="109"/>
      <c r="AH717" s="109"/>
      <c r="AI717" s="109"/>
    </row>
    <row r="718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  <c r="AC718" s="109"/>
      <c r="AD718" s="109"/>
      <c r="AE718" s="109"/>
      <c r="AF718" s="109"/>
      <c r="AG718" s="109"/>
      <c r="AH718" s="109"/>
      <c r="AI718" s="109"/>
    </row>
    <row r="719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  <c r="AC719" s="109"/>
      <c r="AD719" s="109"/>
      <c r="AE719" s="109"/>
      <c r="AF719" s="109"/>
      <c r="AG719" s="109"/>
      <c r="AH719" s="109"/>
      <c r="AI719" s="109"/>
    </row>
    <row r="720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  <c r="AC720" s="109"/>
      <c r="AD720" s="109"/>
      <c r="AE720" s="109"/>
      <c r="AF720" s="109"/>
      <c r="AG720" s="109"/>
      <c r="AH720" s="109"/>
      <c r="AI720" s="109"/>
    </row>
    <row r="72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  <c r="AC721" s="109"/>
      <c r="AD721" s="109"/>
      <c r="AE721" s="109"/>
      <c r="AF721" s="109"/>
      <c r="AG721" s="109"/>
      <c r="AH721" s="109"/>
      <c r="AI721" s="109"/>
    </row>
    <row r="722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  <c r="AC722" s="109"/>
      <c r="AD722" s="109"/>
      <c r="AE722" s="109"/>
      <c r="AF722" s="109"/>
      <c r="AG722" s="109"/>
      <c r="AH722" s="109"/>
      <c r="AI722" s="109"/>
    </row>
    <row r="723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  <c r="AC723" s="109"/>
      <c r="AD723" s="109"/>
      <c r="AE723" s="109"/>
      <c r="AF723" s="109"/>
      <c r="AG723" s="109"/>
      <c r="AH723" s="109"/>
      <c r="AI723" s="109"/>
    </row>
    <row r="724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  <c r="AC724" s="109"/>
      <c r="AD724" s="109"/>
      <c r="AE724" s="109"/>
      <c r="AF724" s="109"/>
      <c r="AG724" s="109"/>
      <c r="AH724" s="109"/>
      <c r="AI724" s="109"/>
    </row>
    <row r="725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  <c r="AC725" s="109"/>
      <c r="AD725" s="109"/>
      <c r="AE725" s="109"/>
      <c r="AF725" s="109"/>
      <c r="AG725" s="109"/>
      <c r="AH725" s="109"/>
      <c r="AI725" s="109"/>
    </row>
    <row r="726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  <c r="AC726" s="109"/>
      <c r="AD726" s="109"/>
      <c r="AE726" s="109"/>
      <c r="AF726" s="109"/>
      <c r="AG726" s="109"/>
      <c r="AH726" s="109"/>
      <c r="AI726" s="109"/>
    </row>
    <row r="727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  <c r="AC727" s="109"/>
      <c r="AD727" s="109"/>
      <c r="AE727" s="109"/>
      <c r="AF727" s="109"/>
      <c r="AG727" s="109"/>
      <c r="AH727" s="109"/>
      <c r="AI727" s="109"/>
    </row>
    <row r="728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  <c r="AC728" s="109"/>
      <c r="AD728" s="109"/>
      <c r="AE728" s="109"/>
      <c r="AF728" s="109"/>
      <c r="AG728" s="109"/>
      <c r="AH728" s="109"/>
      <c r="AI728" s="109"/>
    </row>
    <row r="729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  <c r="AC729" s="109"/>
      <c r="AD729" s="109"/>
      <c r="AE729" s="109"/>
      <c r="AF729" s="109"/>
      <c r="AG729" s="109"/>
      <c r="AH729" s="109"/>
      <c r="AI729" s="109"/>
    </row>
    <row r="730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  <c r="AC730" s="109"/>
      <c r="AD730" s="109"/>
      <c r="AE730" s="109"/>
      <c r="AF730" s="109"/>
      <c r="AG730" s="109"/>
      <c r="AH730" s="109"/>
      <c r="AI730" s="109"/>
    </row>
    <row r="73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  <c r="AC731" s="109"/>
      <c r="AD731" s="109"/>
      <c r="AE731" s="109"/>
      <c r="AF731" s="109"/>
      <c r="AG731" s="109"/>
      <c r="AH731" s="109"/>
      <c r="AI731" s="109"/>
    </row>
    <row r="732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09"/>
      <c r="AC732" s="109"/>
      <c r="AD732" s="109"/>
      <c r="AE732" s="109"/>
      <c r="AF732" s="109"/>
      <c r="AG732" s="109"/>
      <c r="AH732" s="109"/>
      <c r="AI732" s="109"/>
    </row>
    <row r="733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09"/>
      <c r="AC733" s="109"/>
      <c r="AD733" s="109"/>
      <c r="AE733" s="109"/>
      <c r="AF733" s="109"/>
      <c r="AG733" s="109"/>
      <c r="AH733" s="109"/>
      <c r="AI733" s="109"/>
    </row>
    <row r="734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09"/>
      <c r="AC734" s="109"/>
      <c r="AD734" s="109"/>
      <c r="AE734" s="109"/>
      <c r="AF734" s="109"/>
      <c r="AG734" s="109"/>
      <c r="AH734" s="109"/>
      <c r="AI734" s="109"/>
    </row>
    <row r="735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09"/>
      <c r="AC735" s="109"/>
      <c r="AD735" s="109"/>
      <c r="AE735" s="109"/>
      <c r="AF735" s="109"/>
      <c r="AG735" s="109"/>
      <c r="AH735" s="109"/>
      <c r="AI735" s="109"/>
    </row>
    <row r="736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09"/>
      <c r="AC736" s="109"/>
      <c r="AD736" s="109"/>
      <c r="AE736" s="109"/>
      <c r="AF736" s="109"/>
      <c r="AG736" s="109"/>
      <c r="AH736" s="109"/>
      <c r="AI736" s="109"/>
    </row>
    <row r="737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09"/>
      <c r="AC737" s="109"/>
      <c r="AD737" s="109"/>
      <c r="AE737" s="109"/>
      <c r="AF737" s="109"/>
      <c r="AG737" s="109"/>
      <c r="AH737" s="109"/>
      <c r="AI737" s="109"/>
    </row>
    <row r="738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09"/>
      <c r="AC738" s="109"/>
      <c r="AD738" s="109"/>
      <c r="AE738" s="109"/>
      <c r="AF738" s="109"/>
      <c r="AG738" s="109"/>
      <c r="AH738" s="109"/>
      <c r="AI738" s="109"/>
    </row>
    <row r="739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09"/>
      <c r="AC739" s="109"/>
      <c r="AD739" s="109"/>
      <c r="AE739" s="109"/>
      <c r="AF739" s="109"/>
      <c r="AG739" s="109"/>
      <c r="AH739" s="109"/>
      <c r="AI739" s="109"/>
    </row>
    <row r="740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09"/>
      <c r="AC740" s="109"/>
      <c r="AD740" s="109"/>
      <c r="AE740" s="109"/>
      <c r="AF740" s="109"/>
      <c r="AG740" s="109"/>
      <c r="AH740" s="109"/>
      <c r="AI740" s="109"/>
    </row>
    <row r="74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09"/>
      <c r="AC741" s="109"/>
      <c r="AD741" s="109"/>
      <c r="AE741" s="109"/>
      <c r="AF741" s="109"/>
      <c r="AG741" s="109"/>
      <c r="AH741" s="109"/>
      <c r="AI741" s="109"/>
    </row>
    <row r="742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09"/>
      <c r="AC742" s="109"/>
      <c r="AD742" s="109"/>
      <c r="AE742" s="109"/>
      <c r="AF742" s="109"/>
      <c r="AG742" s="109"/>
      <c r="AH742" s="109"/>
      <c r="AI742" s="109"/>
    </row>
    <row r="743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09"/>
      <c r="AC743" s="109"/>
      <c r="AD743" s="109"/>
      <c r="AE743" s="109"/>
      <c r="AF743" s="109"/>
      <c r="AG743" s="109"/>
      <c r="AH743" s="109"/>
      <c r="AI743" s="109"/>
    </row>
    <row r="744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  <c r="AC744" s="109"/>
      <c r="AD744" s="109"/>
      <c r="AE744" s="109"/>
      <c r="AF744" s="109"/>
      <c r="AG744" s="109"/>
      <c r="AH744" s="109"/>
      <c r="AI744" s="109"/>
    </row>
    <row r="745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09"/>
      <c r="AC745" s="109"/>
      <c r="AD745" s="109"/>
      <c r="AE745" s="109"/>
      <c r="AF745" s="109"/>
      <c r="AG745" s="109"/>
      <c r="AH745" s="109"/>
      <c r="AI745" s="109"/>
    </row>
    <row r="746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  <c r="AC746" s="109"/>
      <c r="AD746" s="109"/>
      <c r="AE746" s="109"/>
      <c r="AF746" s="109"/>
      <c r="AG746" s="109"/>
      <c r="AH746" s="109"/>
      <c r="AI746" s="109"/>
    </row>
    <row r="747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  <c r="AC747" s="109"/>
      <c r="AD747" s="109"/>
      <c r="AE747" s="109"/>
      <c r="AF747" s="109"/>
      <c r="AG747" s="109"/>
      <c r="AH747" s="109"/>
      <c r="AI747" s="109"/>
    </row>
    <row r="748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09"/>
      <c r="AC748" s="109"/>
      <c r="AD748" s="109"/>
      <c r="AE748" s="109"/>
      <c r="AF748" s="109"/>
      <c r="AG748" s="109"/>
      <c r="AH748" s="109"/>
      <c r="AI748" s="109"/>
    </row>
    <row r="749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09"/>
      <c r="AC749" s="109"/>
      <c r="AD749" s="109"/>
      <c r="AE749" s="109"/>
      <c r="AF749" s="109"/>
      <c r="AG749" s="109"/>
      <c r="AH749" s="109"/>
      <c r="AI749" s="109"/>
    </row>
    <row r="750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09"/>
      <c r="AC750" s="109"/>
      <c r="AD750" s="109"/>
      <c r="AE750" s="109"/>
      <c r="AF750" s="109"/>
      <c r="AG750" s="109"/>
      <c r="AH750" s="109"/>
      <c r="AI750" s="109"/>
    </row>
    <row r="75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09"/>
      <c r="AC751" s="109"/>
      <c r="AD751" s="109"/>
      <c r="AE751" s="109"/>
      <c r="AF751" s="109"/>
      <c r="AG751" s="109"/>
      <c r="AH751" s="109"/>
      <c r="AI751" s="109"/>
    </row>
    <row r="752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09"/>
      <c r="AC752" s="109"/>
      <c r="AD752" s="109"/>
      <c r="AE752" s="109"/>
      <c r="AF752" s="109"/>
      <c r="AG752" s="109"/>
      <c r="AH752" s="109"/>
      <c r="AI752" s="109"/>
    </row>
    <row r="753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09"/>
      <c r="AC753" s="109"/>
      <c r="AD753" s="109"/>
      <c r="AE753" s="109"/>
      <c r="AF753" s="109"/>
      <c r="AG753" s="109"/>
      <c r="AH753" s="109"/>
      <c r="AI753" s="109"/>
    </row>
    <row r="754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09"/>
      <c r="AC754" s="109"/>
      <c r="AD754" s="109"/>
      <c r="AE754" s="109"/>
      <c r="AF754" s="109"/>
      <c r="AG754" s="109"/>
      <c r="AH754" s="109"/>
      <c r="AI754" s="109"/>
    </row>
    <row r="755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  <c r="AB755" s="109"/>
      <c r="AC755" s="109"/>
      <c r="AD755" s="109"/>
      <c r="AE755" s="109"/>
      <c r="AF755" s="109"/>
      <c r="AG755" s="109"/>
      <c r="AH755" s="109"/>
      <c r="AI755" s="109"/>
    </row>
    <row r="756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  <c r="AB756" s="109"/>
      <c r="AC756" s="109"/>
      <c r="AD756" s="109"/>
      <c r="AE756" s="109"/>
      <c r="AF756" s="109"/>
      <c r="AG756" s="109"/>
      <c r="AH756" s="109"/>
      <c r="AI756" s="109"/>
    </row>
    <row r="757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09"/>
      <c r="AC757" s="109"/>
      <c r="AD757" s="109"/>
      <c r="AE757" s="109"/>
      <c r="AF757" s="109"/>
      <c r="AG757" s="109"/>
      <c r="AH757" s="109"/>
      <c r="AI757" s="109"/>
    </row>
    <row r="758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09"/>
      <c r="AC758" s="109"/>
      <c r="AD758" s="109"/>
      <c r="AE758" s="109"/>
      <c r="AF758" s="109"/>
      <c r="AG758" s="109"/>
      <c r="AH758" s="109"/>
      <c r="AI758" s="109"/>
    </row>
    <row r="759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09"/>
      <c r="AC759" s="109"/>
      <c r="AD759" s="109"/>
      <c r="AE759" s="109"/>
      <c r="AF759" s="109"/>
      <c r="AG759" s="109"/>
      <c r="AH759" s="109"/>
      <c r="AI759" s="109"/>
    </row>
    <row r="760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09"/>
      <c r="AC760" s="109"/>
      <c r="AD760" s="109"/>
      <c r="AE760" s="109"/>
      <c r="AF760" s="109"/>
      <c r="AG760" s="109"/>
      <c r="AH760" s="109"/>
      <c r="AI760" s="109"/>
    </row>
    <row r="76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09"/>
      <c r="AC761" s="109"/>
      <c r="AD761" s="109"/>
      <c r="AE761" s="109"/>
      <c r="AF761" s="109"/>
      <c r="AG761" s="109"/>
      <c r="AH761" s="109"/>
      <c r="AI761" s="109"/>
    </row>
    <row r="762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09"/>
      <c r="AC762" s="109"/>
      <c r="AD762" s="109"/>
      <c r="AE762" s="109"/>
      <c r="AF762" s="109"/>
      <c r="AG762" s="109"/>
      <c r="AH762" s="109"/>
      <c r="AI762" s="109"/>
    </row>
    <row r="763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09"/>
      <c r="AC763" s="109"/>
      <c r="AD763" s="109"/>
      <c r="AE763" s="109"/>
      <c r="AF763" s="109"/>
      <c r="AG763" s="109"/>
      <c r="AH763" s="109"/>
      <c r="AI763" s="109"/>
    </row>
    <row r="764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09"/>
      <c r="AC764" s="109"/>
      <c r="AD764" s="109"/>
      <c r="AE764" s="109"/>
      <c r="AF764" s="109"/>
      <c r="AG764" s="109"/>
      <c r="AH764" s="109"/>
      <c r="AI764" s="109"/>
    </row>
    <row r="765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09"/>
      <c r="AC765" s="109"/>
      <c r="AD765" s="109"/>
      <c r="AE765" s="109"/>
      <c r="AF765" s="109"/>
      <c r="AG765" s="109"/>
      <c r="AH765" s="109"/>
      <c r="AI765" s="109"/>
    </row>
    <row r="766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09"/>
      <c r="AC766" s="109"/>
      <c r="AD766" s="109"/>
      <c r="AE766" s="109"/>
      <c r="AF766" s="109"/>
      <c r="AG766" s="109"/>
      <c r="AH766" s="109"/>
      <c r="AI766" s="109"/>
    </row>
    <row r="767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09"/>
      <c r="AC767" s="109"/>
      <c r="AD767" s="109"/>
      <c r="AE767" s="109"/>
      <c r="AF767" s="109"/>
      <c r="AG767" s="109"/>
      <c r="AH767" s="109"/>
      <c r="AI767" s="109"/>
    </row>
    <row r="768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09"/>
      <c r="AC768" s="109"/>
      <c r="AD768" s="109"/>
      <c r="AE768" s="109"/>
      <c r="AF768" s="109"/>
      <c r="AG768" s="109"/>
      <c r="AH768" s="109"/>
      <c r="AI768" s="109"/>
    </row>
    <row r="769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09"/>
      <c r="AC769" s="109"/>
      <c r="AD769" s="109"/>
      <c r="AE769" s="109"/>
      <c r="AF769" s="109"/>
      <c r="AG769" s="109"/>
      <c r="AH769" s="109"/>
      <c r="AI769" s="109"/>
    </row>
    <row r="770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09"/>
      <c r="AC770" s="109"/>
      <c r="AD770" s="109"/>
      <c r="AE770" s="109"/>
      <c r="AF770" s="109"/>
      <c r="AG770" s="109"/>
      <c r="AH770" s="109"/>
      <c r="AI770" s="109"/>
    </row>
    <row r="77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09"/>
      <c r="AC771" s="109"/>
      <c r="AD771" s="109"/>
      <c r="AE771" s="109"/>
      <c r="AF771" s="109"/>
      <c r="AG771" s="109"/>
      <c r="AH771" s="109"/>
      <c r="AI771" s="109"/>
    </row>
    <row r="772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09"/>
      <c r="AC772" s="109"/>
      <c r="AD772" s="109"/>
      <c r="AE772" s="109"/>
      <c r="AF772" s="109"/>
      <c r="AG772" s="109"/>
      <c r="AH772" s="109"/>
      <c r="AI772" s="109"/>
    </row>
    <row r="773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09"/>
      <c r="AC773" s="109"/>
      <c r="AD773" s="109"/>
      <c r="AE773" s="109"/>
      <c r="AF773" s="109"/>
      <c r="AG773" s="109"/>
      <c r="AH773" s="109"/>
      <c r="AI773" s="109"/>
    </row>
    <row r="774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09"/>
      <c r="AC774" s="109"/>
      <c r="AD774" s="109"/>
      <c r="AE774" s="109"/>
      <c r="AF774" s="109"/>
      <c r="AG774" s="109"/>
      <c r="AH774" s="109"/>
      <c r="AI774" s="109"/>
    </row>
    <row r="775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09"/>
      <c r="AC775" s="109"/>
      <c r="AD775" s="109"/>
      <c r="AE775" s="109"/>
      <c r="AF775" s="109"/>
      <c r="AG775" s="109"/>
      <c r="AH775" s="109"/>
      <c r="AI775" s="109"/>
    </row>
    <row r="776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09"/>
      <c r="AC776" s="109"/>
      <c r="AD776" s="109"/>
      <c r="AE776" s="109"/>
      <c r="AF776" s="109"/>
      <c r="AG776" s="109"/>
      <c r="AH776" s="109"/>
      <c r="AI776" s="109"/>
    </row>
    <row r="777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09"/>
      <c r="AC777" s="109"/>
      <c r="AD777" s="109"/>
      <c r="AE777" s="109"/>
      <c r="AF777" s="109"/>
      <c r="AG777" s="109"/>
      <c r="AH777" s="109"/>
      <c r="AI777" s="109"/>
    </row>
    <row r="778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09"/>
      <c r="AC778" s="109"/>
      <c r="AD778" s="109"/>
      <c r="AE778" s="109"/>
      <c r="AF778" s="109"/>
      <c r="AG778" s="109"/>
      <c r="AH778" s="109"/>
      <c r="AI778" s="109"/>
    </row>
    <row r="779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09"/>
      <c r="AC779" s="109"/>
      <c r="AD779" s="109"/>
      <c r="AE779" s="109"/>
      <c r="AF779" s="109"/>
      <c r="AG779" s="109"/>
      <c r="AH779" s="109"/>
      <c r="AI779" s="109"/>
    </row>
    <row r="780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09"/>
      <c r="AC780" s="109"/>
      <c r="AD780" s="109"/>
      <c r="AE780" s="109"/>
      <c r="AF780" s="109"/>
      <c r="AG780" s="109"/>
      <c r="AH780" s="109"/>
      <c r="AI780" s="109"/>
    </row>
    <row r="78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09"/>
      <c r="AC781" s="109"/>
      <c r="AD781" s="109"/>
      <c r="AE781" s="109"/>
      <c r="AF781" s="109"/>
      <c r="AG781" s="109"/>
      <c r="AH781" s="109"/>
      <c r="AI781" s="109"/>
    </row>
    <row r="782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  <c r="AB782" s="109"/>
      <c r="AC782" s="109"/>
      <c r="AD782" s="109"/>
      <c r="AE782" s="109"/>
      <c r="AF782" s="109"/>
      <c r="AG782" s="109"/>
      <c r="AH782" s="109"/>
      <c r="AI782" s="109"/>
    </row>
    <row r="783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  <c r="AB783" s="109"/>
      <c r="AC783" s="109"/>
      <c r="AD783" s="109"/>
      <c r="AE783" s="109"/>
      <c r="AF783" s="109"/>
      <c r="AG783" s="109"/>
      <c r="AH783" s="109"/>
      <c r="AI783" s="109"/>
    </row>
    <row r="784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  <c r="AB784" s="109"/>
      <c r="AC784" s="109"/>
      <c r="AD784" s="109"/>
      <c r="AE784" s="109"/>
      <c r="AF784" s="109"/>
      <c r="AG784" s="109"/>
      <c r="AH784" s="109"/>
      <c r="AI784" s="109"/>
    </row>
    <row r="785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09"/>
      <c r="AC785" s="109"/>
      <c r="AD785" s="109"/>
      <c r="AE785" s="109"/>
      <c r="AF785" s="109"/>
      <c r="AG785" s="109"/>
      <c r="AH785" s="109"/>
      <c r="AI785" s="109"/>
    </row>
    <row r="786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09"/>
      <c r="AC786" s="109"/>
      <c r="AD786" s="109"/>
      <c r="AE786" s="109"/>
      <c r="AF786" s="109"/>
      <c r="AG786" s="109"/>
      <c r="AH786" s="109"/>
      <c r="AI786" s="109"/>
    </row>
    <row r="787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09"/>
      <c r="AC787" s="109"/>
      <c r="AD787" s="109"/>
      <c r="AE787" s="109"/>
      <c r="AF787" s="109"/>
      <c r="AG787" s="109"/>
      <c r="AH787" s="109"/>
      <c r="AI787" s="109"/>
    </row>
    <row r="788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09"/>
      <c r="AC788" s="109"/>
      <c r="AD788" s="109"/>
      <c r="AE788" s="109"/>
      <c r="AF788" s="109"/>
      <c r="AG788" s="109"/>
      <c r="AH788" s="109"/>
      <c r="AI788" s="109"/>
    </row>
    <row r="789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09"/>
      <c r="AC789" s="109"/>
      <c r="AD789" s="109"/>
      <c r="AE789" s="109"/>
      <c r="AF789" s="109"/>
      <c r="AG789" s="109"/>
      <c r="AH789" s="109"/>
      <c r="AI789" s="109"/>
    </row>
    <row r="790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09"/>
      <c r="AC790" s="109"/>
      <c r="AD790" s="109"/>
      <c r="AE790" s="109"/>
      <c r="AF790" s="109"/>
      <c r="AG790" s="109"/>
      <c r="AH790" s="109"/>
      <c r="AI790" s="109"/>
    </row>
    <row r="79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09"/>
      <c r="AC791" s="109"/>
      <c r="AD791" s="109"/>
      <c r="AE791" s="109"/>
      <c r="AF791" s="109"/>
      <c r="AG791" s="109"/>
      <c r="AH791" s="109"/>
      <c r="AI791" s="109"/>
    </row>
    <row r="792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09"/>
      <c r="AC792" s="109"/>
      <c r="AD792" s="109"/>
      <c r="AE792" s="109"/>
      <c r="AF792" s="109"/>
      <c r="AG792" s="109"/>
      <c r="AH792" s="109"/>
      <c r="AI792" s="109"/>
    </row>
    <row r="793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09"/>
      <c r="AC793" s="109"/>
      <c r="AD793" s="109"/>
      <c r="AE793" s="109"/>
      <c r="AF793" s="109"/>
      <c r="AG793" s="109"/>
      <c r="AH793" s="109"/>
      <c r="AI793" s="109"/>
    </row>
    <row r="794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09"/>
      <c r="AC794" s="109"/>
      <c r="AD794" s="109"/>
      <c r="AE794" s="109"/>
      <c r="AF794" s="109"/>
      <c r="AG794" s="109"/>
      <c r="AH794" s="109"/>
      <c r="AI794" s="109"/>
    </row>
    <row r="795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09"/>
      <c r="AC795" s="109"/>
      <c r="AD795" s="109"/>
      <c r="AE795" s="109"/>
      <c r="AF795" s="109"/>
      <c r="AG795" s="109"/>
      <c r="AH795" s="109"/>
      <c r="AI795" s="109"/>
    </row>
    <row r="796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09"/>
      <c r="AC796" s="109"/>
      <c r="AD796" s="109"/>
      <c r="AE796" s="109"/>
      <c r="AF796" s="109"/>
      <c r="AG796" s="109"/>
      <c r="AH796" s="109"/>
      <c r="AI796" s="109"/>
    </row>
    <row r="797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09"/>
      <c r="AC797" s="109"/>
      <c r="AD797" s="109"/>
      <c r="AE797" s="109"/>
      <c r="AF797" s="109"/>
      <c r="AG797" s="109"/>
      <c r="AH797" s="109"/>
      <c r="AI797" s="109"/>
    </row>
    <row r="798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09"/>
      <c r="AC798" s="109"/>
      <c r="AD798" s="109"/>
      <c r="AE798" s="109"/>
      <c r="AF798" s="109"/>
      <c r="AG798" s="109"/>
      <c r="AH798" s="109"/>
      <c r="AI798" s="109"/>
    </row>
    <row r="799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09"/>
      <c r="AC799" s="109"/>
      <c r="AD799" s="109"/>
      <c r="AE799" s="109"/>
      <c r="AF799" s="109"/>
      <c r="AG799" s="109"/>
      <c r="AH799" s="109"/>
      <c r="AI799" s="109"/>
    </row>
    <row r="800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09"/>
      <c r="AC800" s="109"/>
      <c r="AD800" s="109"/>
      <c r="AE800" s="109"/>
      <c r="AF800" s="109"/>
      <c r="AG800" s="109"/>
      <c r="AH800" s="109"/>
      <c r="AI800" s="109"/>
    </row>
    <row r="80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09"/>
      <c r="AC801" s="109"/>
      <c r="AD801" s="109"/>
      <c r="AE801" s="109"/>
      <c r="AF801" s="109"/>
      <c r="AG801" s="109"/>
      <c r="AH801" s="109"/>
      <c r="AI801" s="109"/>
    </row>
    <row r="802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09"/>
      <c r="AC802" s="109"/>
      <c r="AD802" s="109"/>
      <c r="AE802" s="109"/>
      <c r="AF802" s="109"/>
      <c r="AG802" s="109"/>
      <c r="AH802" s="109"/>
      <c r="AI802" s="109"/>
    </row>
    <row r="803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09"/>
      <c r="AC803" s="109"/>
      <c r="AD803" s="109"/>
      <c r="AE803" s="109"/>
      <c r="AF803" s="109"/>
      <c r="AG803" s="109"/>
      <c r="AH803" s="109"/>
      <c r="AI803" s="109"/>
    </row>
    <row r="804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09"/>
      <c r="AC804" s="109"/>
      <c r="AD804" s="109"/>
      <c r="AE804" s="109"/>
      <c r="AF804" s="109"/>
      <c r="AG804" s="109"/>
      <c r="AH804" s="109"/>
      <c r="AI804" s="109"/>
    </row>
    <row r="805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  <c r="AB805" s="109"/>
      <c r="AC805" s="109"/>
      <c r="AD805" s="109"/>
      <c r="AE805" s="109"/>
      <c r="AF805" s="109"/>
      <c r="AG805" s="109"/>
      <c r="AH805" s="109"/>
      <c r="AI805" s="109"/>
    </row>
    <row r="806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09"/>
      <c r="AC806" s="109"/>
      <c r="AD806" s="109"/>
      <c r="AE806" s="109"/>
      <c r="AF806" s="109"/>
      <c r="AG806" s="109"/>
      <c r="AH806" s="109"/>
      <c r="AI806" s="109"/>
    </row>
    <row r="807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09"/>
      <c r="AC807" s="109"/>
      <c r="AD807" s="109"/>
      <c r="AE807" s="109"/>
      <c r="AF807" s="109"/>
      <c r="AG807" s="109"/>
      <c r="AH807" s="109"/>
      <c r="AI807" s="109"/>
    </row>
    <row r="808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09"/>
      <c r="AC808" s="109"/>
      <c r="AD808" s="109"/>
      <c r="AE808" s="109"/>
      <c r="AF808" s="109"/>
      <c r="AG808" s="109"/>
      <c r="AH808" s="109"/>
      <c r="AI808" s="109"/>
    </row>
    <row r="809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09"/>
      <c r="AC809" s="109"/>
      <c r="AD809" s="109"/>
      <c r="AE809" s="109"/>
      <c r="AF809" s="109"/>
      <c r="AG809" s="109"/>
      <c r="AH809" s="109"/>
      <c r="AI809" s="109"/>
    </row>
    <row r="810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09"/>
      <c r="AC810" s="109"/>
      <c r="AD810" s="109"/>
      <c r="AE810" s="109"/>
      <c r="AF810" s="109"/>
      <c r="AG810" s="109"/>
      <c r="AH810" s="109"/>
      <c r="AI810" s="109"/>
    </row>
    <row r="81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  <c r="AB811" s="109"/>
      <c r="AC811" s="109"/>
      <c r="AD811" s="109"/>
      <c r="AE811" s="109"/>
      <c r="AF811" s="109"/>
      <c r="AG811" s="109"/>
      <c r="AH811" s="109"/>
      <c r="AI811" s="109"/>
    </row>
    <row r="812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  <c r="AB812" s="109"/>
      <c r="AC812" s="109"/>
      <c r="AD812" s="109"/>
      <c r="AE812" s="109"/>
      <c r="AF812" s="109"/>
      <c r="AG812" s="109"/>
      <c r="AH812" s="109"/>
      <c r="AI812" s="109"/>
    </row>
    <row r="813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09"/>
      <c r="AC813" s="109"/>
      <c r="AD813" s="109"/>
      <c r="AE813" s="109"/>
      <c r="AF813" s="109"/>
      <c r="AG813" s="109"/>
      <c r="AH813" s="109"/>
      <c r="AI813" s="109"/>
    </row>
    <row r="814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09"/>
      <c r="AC814" s="109"/>
      <c r="AD814" s="109"/>
      <c r="AE814" s="109"/>
      <c r="AF814" s="109"/>
      <c r="AG814" s="109"/>
      <c r="AH814" s="109"/>
      <c r="AI814" s="109"/>
    </row>
    <row r="815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09"/>
      <c r="AC815" s="109"/>
      <c r="AD815" s="109"/>
      <c r="AE815" s="109"/>
      <c r="AF815" s="109"/>
      <c r="AG815" s="109"/>
      <c r="AH815" s="109"/>
      <c r="AI815" s="109"/>
    </row>
    <row r="816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09"/>
      <c r="AC816" s="109"/>
      <c r="AD816" s="109"/>
      <c r="AE816" s="109"/>
      <c r="AF816" s="109"/>
      <c r="AG816" s="109"/>
      <c r="AH816" s="109"/>
      <c r="AI816" s="109"/>
    </row>
    <row r="817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09"/>
      <c r="AC817" s="109"/>
      <c r="AD817" s="109"/>
      <c r="AE817" s="109"/>
      <c r="AF817" s="109"/>
      <c r="AG817" s="109"/>
      <c r="AH817" s="109"/>
      <c r="AI817" s="109"/>
    </row>
    <row r="818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  <c r="AB818" s="109"/>
      <c r="AC818" s="109"/>
      <c r="AD818" s="109"/>
      <c r="AE818" s="109"/>
      <c r="AF818" s="109"/>
      <c r="AG818" s="109"/>
      <c r="AH818" s="109"/>
      <c r="AI818" s="109"/>
    </row>
    <row r="819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  <c r="AB819" s="109"/>
      <c r="AC819" s="109"/>
      <c r="AD819" s="109"/>
      <c r="AE819" s="109"/>
      <c r="AF819" s="109"/>
      <c r="AG819" s="109"/>
      <c r="AH819" s="109"/>
      <c r="AI819" s="109"/>
    </row>
    <row r="820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  <c r="AB820" s="109"/>
      <c r="AC820" s="109"/>
      <c r="AD820" s="109"/>
      <c r="AE820" s="109"/>
      <c r="AF820" s="109"/>
      <c r="AG820" s="109"/>
      <c r="AH820" s="109"/>
      <c r="AI820" s="109"/>
    </row>
    <row r="82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  <c r="AB821" s="109"/>
      <c r="AC821" s="109"/>
      <c r="AD821" s="109"/>
      <c r="AE821" s="109"/>
      <c r="AF821" s="109"/>
      <c r="AG821" s="109"/>
      <c r="AH821" s="109"/>
      <c r="AI821" s="109"/>
    </row>
    <row r="822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  <c r="AB822" s="109"/>
      <c r="AC822" s="109"/>
      <c r="AD822" s="109"/>
      <c r="AE822" s="109"/>
      <c r="AF822" s="109"/>
      <c r="AG822" s="109"/>
      <c r="AH822" s="109"/>
      <c r="AI822" s="109"/>
    </row>
    <row r="823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  <c r="AB823" s="109"/>
      <c r="AC823" s="109"/>
      <c r="AD823" s="109"/>
      <c r="AE823" s="109"/>
      <c r="AF823" s="109"/>
      <c r="AG823" s="109"/>
      <c r="AH823" s="109"/>
      <c r="AI823" s="109"/>
    </row>
    <row r="824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  <c r="AB824" s="109"/>
      <c r="AC824" s="109"/>
      <c r="AD824" s="109"/>
      <c r="AE824" s="109"/>
      <c r="AF824" s="109"/>
      <c r="AG824" s="109"/>
      <c r="AH824" s="109"/>
      <c r="AI824" s="109"/>
    </row>
    <row r="825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  <c r="AB825" s="109"/>
      <c r="AC825" s="109"/>
      <c r="AD825" s="109"/>
      <c r="AE825" s="109"/>
      <c r="AF825" s="109"/>
      <c r="AG825" s="109"/>
      <c r="AH825" s="109"/>
      <c r="AI825" s="109"/>
    </row>
    <row r="826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  <c r="AB826" s="109"/>
      <c r="AC826" s="109"/>
      <c r="AD826" s="109"/>
      <c r="AE826" s="109"/>
      <c r="AF826" s="109"/>
      <c r="AG826" s="109"/>
      <c r="AH826" s="109"/>
      <c r="AI826" s="109"/>
    </row>
    <row r="827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  <c r="AB827" s="109"/>
      <c r="AC827" s="109"/>
      <c r="AD827" s="109"/>
      <c r="AE827" s="109"/>
      <c r="AF827" s="109"/>
      <c r="AG827" s="109"/>
      <c r="AH827" s="109"/>
      <c r="AI827" s="109"/>
    </row>
    <row r="828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  <c r="AB828" s="109"/>
      <c r="AC828" s="109"/>
      <c r="AD828" s="109"/>
      <c r="AE828" s="109"/>
      <c r="AF828" s="109"/>
      <c r="AG828" s="109"/>
      <c r="AH828" s="109"/>
      <c r="AI828" s="109"/>
    </row>
    <row r="829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  <c r="AB829" s="109"/>
      <c r="AC829" s="109"/>
      <c r="AD829" s="109"/>
      <c r="AE829" s="109"/>
      <c r="AF829" s="109"/>
      <c r="AG829" s="109"/>
      <c r="AH829" s="109"/>
      <c r="AI829" s="109"/>
    </row>
    <row r="830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09"/>
      <c r="AC830" s="109"/>
      <c r="AD830" s="109"/>
      <c r="AE830" s="109"/>
      <c r="AF830" s="109"/>
      <c r="AG830" s="109"/>
      <c r="AH830" s="109"/>
      <c r="AI830" s="109"/>
    </row>
    <row r="83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  <c r="AB831" s="109"/>
      <c r="AC831" s="109"/>
      <c r="AD831" s="109"/>
      <c r="AE831" s="109"/>
      <c r="AF831" s="109"/>
      <c r="AG831" s="109"/>
      <c r="AH831" s="109"/>
      <c r="AI831" s="109"/>
    </row>
    <row r="832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  <c r="AB832" s="109"/>
      <c r="AC832" s="109"/>
      <c r="AD832" s="109"/>
      <c r="AE832" s="109"/>
      <c r="AF832" s="109"/>
      <c r="AG832" s="109"/>
      <c r="AH832" s="109"/>
      <c r="AI832" s="109"/>
    </row>
    <row r="833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  <c r="AB833" s="109"/>
      <c r="AC833" s="109"/>
      <c r="AD833" s="109"/>
      <c r="AE833" s="109"/>
      <c r="AF833" s="109"/>
      <c r="AG833" s="109"/>
      <c r="AH833" s="109"/>
      <c r="AI833" s="109"/>
    </row>
    <row r="834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  <c r="AB834" s="109"/>
      <c r="AC834" s="109"/>
      <c r="AD834" s="109"/>
      <c r="AE834" s="109"/>
      <c r="AF834" s="109"/>
      <c r="AG834" s="109"/>
      <c r="AH834" s="109"/>
      <c r="AI834" s="109"/>
    </row>
    <row r="835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  <c r="AB835" s="109"/>
      <c r="AC835" s="109"/>
      <c r="AD835" s="109"/>
      <c r="AE835" s="109"/>
      <c r="AF835" s="109"/>
      <c r="AG835" s="109"/>
      <c r="AH835" s="109"/>
      <c r="AI835" s="109"/>
    </row>
    <row r="836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  <c r="AB836" s="109"/>
      <c r="AC836" s="109"/>
      <c r="AD836" s="109"/>
      <c r="AE836" s="109"/>
      <c r="AF836" s="109"/>
      <c r="AG836" s="109"/>
      <c r="AH836" s="109"/>
      <c r="AI836" s="109"/>
    </row>
    <row r="837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  <c r="AB837" s="109"/>
      <c r="AC837" s="109"/>
      <c r="AD837" s="109"/>
      <c r="AE837" s="109"/>
      <c r="AF837" s="109"/>
      <c r="AG837" s="109"/>
      <c r="AH837" s="109"/>
      <c r="AI837" s="109"/>
    </row>
    <row r="838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  <c r="AB838" s="109"/>
      <c r="AC838" s="109"/>
      <c r="AD838" s="109"/>
      <c r="AE838" s="109"/>
      <c r="AF838" s="109"/>
      <c r="AG838" s="109"/>
      <c r="AH838" s="109"/>
      <c r="AI838" s="109"/>
    </row>
    <row r="839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  <c r="AB839" s="109"/>
      <c r="AC839" s="109"/>
      <c r="AD839" s="109"/>
      <c r="AE839" s="109"/>
      <c r="AF839" s="109"/>
      <c r="AG839" s="109"/>
      <c r="AH839" s="109"/>
      <c r="AI839" s="109"/>
    </row>
    <row r="840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  <c r="AB840" s="109"/>
      <c r="AC840" s="109"/>
      <c r="AD840" s="109"/>
      <c r="AE840" s="109"/>
      <c r="AF840" s="109"/>
      <c r="AG840" s="109"/>
      <c r="AH840" s="109"/>
      <c r="AI840" s="109"/>
    </row>
    <row r="84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  <c r="AB841" s="109"/>
      <c r="AC841" s="109"/>
      <c r="AD841" s="109"/>
      <c r="AE841" s="109"/>
      <c r="AF841" s="109"/>
      <c r="AG841" s="109"/>
      <c r="AH841" s="109"/>
      <c r="AI841" s="109"/>
    </row>
    <row r="842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  <c r="AB842" s="109"/>
      <c r="AC842" s="109"/>
      <c r="AD842" s="109"/>
      <c r="AE842" s="109"/>
      <c r="AF842" s="109"/>
      <c r="AG842" s="109"/>
      <c r="AH842" s="109"/>
      <c r="AI842" s="109"/>
    </row>
    <row r="843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  <c r="AB843" s="109"/>
      <c r="AC843" s="109"/>
      <c r="AD843" s="109"/>
      <c r="AE843" s="109"/>
      <c r="AF843" s="109"/>
      <c r="AG843" s="109"/>
      <c r="AH843" s="109"/>
      <c r="AI843" s="109"/>
    </row>
    <row r="844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  <c r="AB844" s="109"/>
      <c r="AC844" s="109"/>
      <c r="AD844" s="109"/>
      <c r="AE844" s="109"/>
      <c r="AF844" s="109"/>
      <c r="AG844" s="109"/>
      <c r="AH844" s="109"/>
      <c r="AI844" s="109"/>
    </row>
    <row r="845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09"/>
      <c r="AC845" s="109"/>
      <c r="AD845" s="109"/>
      <c r="AE845" s="109"/>
      <c r="AF845" s="109"/>
      <c r="AG845" s="109"/>
      <c r="AH845" s="109"/>
      <c r="AI845" s="109"/>
    </row>
    <row r="846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09"/>
      <c r="AC846" s="109"/>
      <c r="AD846" s="109"/>
      <c r="AE846" s="109"/>
      <c r="AF846" s="109"/>
      <c r="AG846" s="109"/>
      <c r="AH846" s="109"/>
      <c r="AI846" s="109"/>
    </row>
    <row r="847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09"/>
      <c r="AC847" s="109"/>
      <c r="AD847" s="109"/>
      <c r="AE847" s="109"/>
      <c r="AF847" s="109"/>
      <c r="AG847" s="109"/>
      <c r="AH847" s="109"/>
      <c r="AI847" s="109"/>
    </row>
    <row r="848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09"/>
      <c r="AC848" s="109"/>
      <c r="AD848" s="109"/>
      <c r="AE848" s="109"/>
      <c r="AF848" s="109"/>
      <c r="AG848" s="109"/>
      <c r="AH848" s="109"/>
      <c r="AI848" s="109"/>
    </row>
    <row r="849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09"/>
      <c r="AC849" s="109"/>
      <c r="AD849" s="109"/>
      <c r="AE849" s="109"/>
      <c r="AF849" s="109"/>
      <c r="AG849" s="109"/>
      <c r="AH849" s="109"/>
      <c r="AI849" s="109"/>
    </row>
    <row r="850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09"/>
      <c r="AC850" s="109"/>
      <c r="AD850" s="109"/>
      <c r="AE850" s="109"/>
      <c r="AF850" s="109"/>
      <c r="AG850" s="109"/>
      <c r="AH850" s="109"/>
      <c r="AI850" s="109"/>
    </row>
    <row r="85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  <c r="AB851" s="109"/>
      <c r="AC851" s="109"/>
      <c r="AD851" s="109"/>
      <c r="AE851" s="109"/>
      <c r="AF851" s="109"/>
      <c r="AG851" s="109"/>
      <c r="AH851" s="109"/>
      <c r="AI851" s="109"/>
    </row>
    <row r="852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  <c r="AB852" s="109"/>
      <c r="AC852" s="109"/>
      <c r="AD852" s="109"/>
      <c r="AE852" s="109"/>
      <c r="AF852" s="109"/>
      <c r="AG852" s="109"/>
      <c r="AH852" s="109"/>
      <c r="AI852" s="109"/>
    </row>
    <row r="853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  <c r="AB853" s="109"/>
      <c r="AC853" s="109"/>
      <c r="AD853" s="109"/>
      <c r="AE853" s="109"/>
      <c r="AF853" s="109"/>
      <c r="AG853" s="109"/>
      <c r="AH853" s="109"/>
      <c r="AI853" s="109"/>
    </row>
    <row r="854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  <c r="AB854" s="109"/>
      <c r="AC854" s="109"/>
      <c r="AD854" s="109"/>
      <c r="AE854" s="109"/>
      <c r="AF854" s="109"/>
      <c r="AG854" s="109"/>
      <c r="AH854" s="109"/>
      <c r="AI854" s="109"/>
    </row>
    <row r="855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  <c r="AB855" s="109"/>
      <c r="AC855" s="109"/>
      <c r="AD855" s="109"/>
      <c r="AE855" s="109"/>
      <c r="AF855" s="109"/>
      <c r="AG855" s="109"/>
      <c r="AH855" s="109"/>
      <c r="AI855" s="109"/>
    </row>
    <row r="856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  <c r="AB856" s="109"/>
      <c r="AC856" s="109"/>
      <c r="AD856" s="109"/>
      <c r="AE856" s="109"/>
      <c r="AF856" s="109"/>
      <c r="AG856" s="109"/>
      <c r="AH856" s="109"/>
      <c r="AI856" s="109"/>
    </row>
    <row r="857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  <c r="AB857" s="109"/>
      <c r="AC857" s="109"/>
      <c r="AD857" s="109"/>
      <c r="AE857" s="109"/>
      <c r="AF857" s="109"/>
      <c r="AG857" s="109"/>
      <c r="AH857" s="109"/>
      <c r="AI857" s="109"/>
    </row>
    <row r="858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09"/>
      <c r="AC858" s="109"/>
      <c r="AD858" s="109"/>
      <c r="AE858" s="109"/>
      <c r="AF858" s="109"/>
      <c r="AG858" s="109"/>
      <c r="AH858" s="109"/>
      <c r="AI858" s="109"/>
    </row>
    <row r="859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09"/>
      <c r="AC859" s="109"/>
      <c r="AD859" s="109"/>
      <c r="AE859" s="109"/>
      <c r="AF859" s="109"/>
      <c r="AG859" s="109"/>
      <c r="AH859" s="109"/>
      <c r="AI859" s="109"/>
    </row>
    <row r="860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09"/>
      <c r="AC860" s="109"/>
      <c r="AD860" s="109"/>
      <c r="AE860" s="109"/>
      <c r="AF860" s="109"/>
      <c r="AG860" s="109"/>
      <c r="AH860" s="109"/>
      <c r="AI860" s="109"/>
    </row>
    <row r="86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09"/>
      <c r="AC861" s="109"/>
      <c r="AD861" s="109"/>
      <c r="AE861" s="109"/>
      <c r="AF861" s="109"/>
      <c r="AG861" s="109"/>
      <c r="AH861" s="109"/>
      <c r="AI861" s="109"/>
    </row>
    <row r="862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09"/>
      <c r="AC862" s="109"/>
      <c r="AD862" s="109"/>
      <c r="AE862" s="109"/>
      <c r="AF862" s="109"/>
      <c r="AG862" s="109"/>
      <c r="AH862" s="109"/>
      <c r="AI862" s="109"/>
    </row>
    <row r="863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09"/>
      <c r="AC863" s="109"/>
      <c r="AD863" s="109"/>
      <c r="AE863" s="109"/>
      <c r="AF863" s="109"/>
      <c r="AG863" s="109"/>
      <c r="AH863" s="109"/>
      <c r="AI863" s="109"/>
    </row>
    <row r="864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  <c r="AB864" s="109"/>
      <c r="AC864" s="109"/>
      <c r="AD864" s="109"/>
      <c r="AE864" s="109"/>
      <c r="AF864" s="109"/>
      <c r="AG864" s="109"/>
      <c r="AH864" s="109"/>
      <c r="AI864" s="109"/>
    </row>
    <row r="865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  <c r="AB865" s="109"/>
      <c r="AC865" s="109"/>
      <c r="AD865" s="109"/>
      <c r="AE865" s="109"/>
      <c r="AF865" s="109"/>
      <c r="AG865" s="109"/>
      <c r="AH865" s="109"/>
      <c r="AI865" s="109"/>
    </row>
    <row r="866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  <c r="AB866" s="109"/>
      <c r="AC866" s="109"/>
      <c r="AD866" s="109"/>
      <c r="AE866" s="109"/>
      <c r="AF866" s="109"/>
      <c r="AG866" s="109"/>
      <c r="AH866" s="109"/>
      <c r="AI866" s="109"/>
    </row>
    <row r="867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  <c r="AB867" s="109"/>
      <c r="AC867" s="109"/>
      <c r="AD867" s="109"/>
      <c r="AE867" s="109"/>
      <c r="AF867" s="109"/>
      <c r="AG867" s="109"/>
      <c r="AH867" s="109"/>
      <c r="AI867" s="109"/>
    </row>
    <row r="868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  <c r="AB868" s="109"/>
      <c r="AC868" s="109"/>
      <c r="AD868" s="109"/>
      <c r="AE868" s="109"/>
      <c r="AF868" s="109"/>
      <c r="AG868" s="109"/>
      <c r="AH868" s="109"/>
      <c r="AI868" s="109"/>
    </row>
    <row r="869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  <c r="AB869" s="109"/>
      <c r="AC869" s="109"/>
      <c r="AD869" s="109"/>
      <c r="AE869" s="109"/>
      <c r="AF869" s="109"/>
      <c r="AG869" s="109"/>
      <c r="AH869" s="109"/>
      <c r="AI869" s="109"/>
    </row>
    <row r="870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  <c r="AB870" s="109"/>
      <c r="AC870" s="109"/>
      <c r="AD870" s="109"/>
      <c r="AE870" s="109"/>
      <c r="AF870" s="109"/>
      <c r="AG870" s="109"/>
      <c r="AH870" s="109"/>
      <c r="AI870" s="109"/>
    </row>
    <row r="87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  <c r="AB871" s="109"/>
      <c r="AC871" s="109"/>
      <c r="AD871" s="109"/>
      <c r="AE871" s="109"/>
      <c r="AF871" s="109"/>
      <c r="AG871" s="109"/>
      <c r="AH871" s="109"/>
      <c r="AI871" s="109"/>
    </row>
    <row r="872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  <c r="AB872" s="109"/>
      <c r="AC872" s="109"/>
      <c r="AD872" s="109"/>
      <c r="AE872" s="109"/>
      <c r="AF872" s="109"/>
      <c r="AG872" s="109"/>
      <c r="AH872" s="109"/>
      <c r="AI872" s="109"/>
    </row>
    <row r="873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  <c r="AB873" s="109"/>
      <c r="AC873" s="109"/>
      <c r="AD873" s="109"/>
      <c r="AE873" s="109"/>
      <c r="AF873" s="109"/>
      <c r="AG873" s="109"/>
      <c r="AH873" s="109"/>
      <c r="AI873" s="109"/>
    </row>
    <row r="874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  <c r="AB874" s="109"/>
      <c r="AC874" s="109"/>
      <c r="AD874" s="109"/>
      <c r="AE874" s="109"/>
      <c r="AF874" s="109"/>
      <c r="AG874" s="109"/>
      <c r="AH874" s="109"/>
      <c r="AI874" s="109"/>
    </row>
    <row r="875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  <c r="AB875" s="109"/>
      <c r="AC875" s="109"/>
      <c r="AD875" s="109"/>
      <c r="AE875" s="109"/>
      <c r="AF875" s="109"/>
      <c r="AG875" s="109"/>
      <c r="AH875" s="109"/>
      <c r="AI875" s="109"/>
    </row>
    <row r="876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  <c r="AB876" s="109"/>
      <c r="AC876" s="109"/>
      <c r="AD876" s="109"/>
      <c r="AE876" s="109"/>
      <c r="AF876" s="109"/>
      <c r="AG876" s="109"/>
      <c r="AH876" s="109"/>
      <c r="AI876" s="109"/>
    </row>
    <row r="877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  <c r="AB877" s="109"/>
      <c r="AC877" s="109"/>
      <c r="AD877" s="109"/>
      <c r="AE877" s="109"/>
      <c r="AF877" s="109"/>
      <c r="AG877" s="109"/>
      <c r="AH877" s="109"/>
      <c r="AI877" s="109"/>
    </row>
    <row r="878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  <c r="AB878" s="109"/>
      <c r="AC878" s="109"/>
      <c r="AD878" s="109"/>
      <c r="AE878" s="109"/>
      <c r="AF878" s="109"/>
      <c r="AG878" s="109"/>
      <c r="AH878" s="109"/>
      <c r="AI878" s="109"/>
    </row>
    <row r="879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  <c r="AB879" s="109"/>
      <c r="AC879" s="109"/>
      <c r="AD879" s="109"/>
      <c r="AE879" s="109"/>
      <c r="AF879" s="109"/>
      <c r="AG879" s="109"/>
      <c r="AH879" s="109"/>
      <c r="AI879" s="109"/>
    </row>
    <row r="880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  <c r="AB880" s="109"/>
      <c r="AC880" s="109"/>
      <c r="AD880" s="109"/>
      <c r="AE880" s="109"/>
      <c r="AF880" s="109"/>
      <c r="AG880" s="109"/>
      <c r="AH880" s="109"/>
      <c r="AI880" s="109"/>
    </row>
    <row r="88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  <c r="AB881" s="109"/>
      <c r="AC881" s="109"/>
      <c r="AD881" s="109"/>
      <c r="AE881" s="109"/>
      <c r="AF881" s="109"/>
      <c r="AG881" s="109"/>
      <c r="AH881" s="109"/>
      <c r="AI881" s="109"/>
    </row>
    <row r="882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09"/>
      <c r="AC882" s="109"/>
      <c r="AD882" s="109"/>
      <c r="AE882" s="109"/>
      <c r="AF882" s="109"/>
      <c r="AG882" s="109"/>
      <c r="AH882" s="109"/>
      <c r="AI882" s="109"/>
    </row>
    <row r="883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09"/>
      <c r="AC883" s="109"/>
      <c r="AD883" s="109"/>
      <c r="AE883" s="109"/>
      <c r="AF883" s="109"/>
      <c r="AG883" s="109"/>
      <c r="AH883" s="109"/>
      <c r="AI883" s="109"/>
    </row>
    <row r="884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09"/>
      <c r="AC884" s="109"/>
      <c r="AD884" s="109"/>
      <c r="AE884" s="109"/>
      <c r="AF884" s="109"/>
      <c r="AG884" s="109"/>
      <c r="AH884" s="109"/>
      <c r="AI884" s="109"/>
    </row>
    <row r="885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09"/>
      <c r="AC885" s="109"/>
      <c r="AD885" s="109"/>
      <c r="AE885" s="109"/>
      <c r="AF885" s="109"/>
      <c r="AG885" s="109"/>
      <c r="AH885" s="109"/>
      <c r="AI885" s="109"/>
    </row>
    <row r="886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09"/>
      <c r="AC886" s="109"/>
      <c r="AD886" s="109"/>
      <c r="AE886" s="109"/>
      <c r="AF886" s="109"/>
      <c r="AG886" s="109"/>
      <c r="AH886" s="109"/>
      <c r="AI886" s="109"/>
    </row>
    <row r="887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09"/>
      <c r="AC887" s="109"/>
      <c r="AD887" s="109"/>
      <c r="AE887" s="109"/>
      <c r="AF887" s="109"/>
      <c r="AG887" s="109"/>
      <c r="AH887" s="109"/>
      <c r="AI887" s="109"/>
    </row>
    <row r="888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  <c r="AB888" s="109"/>
      <c r="AC888" s="109"/>
      <c r="AD888" s="109"/>
      <c r="AE888" s="109"/>
      <c r="AF888" s="109"/>
      <c r="AG888" s="109"/>
      <c r="AH888" s="109"/>
      <c r="AI888" s="109"/>
    </row>
    <row r="889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  <c r="AB889" s="109"/>
      <c r="AC889" s="109"/>
      <c r="AD889" s="109"/>
      <c r="AE889" s="109"/>
      <c r="AF889" s="109"/>
      <c r="AG889" s="109"/>
      <c r="AH889" s="109"/>
      <c r="AI889" s="109"/>
    </row>
    <row r="890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  <c r="AB890" s="109"/>
      <c r="AC890" s="109"/>
      <c r="AD890" s="109"/>
      <c r="AE890" s="109"/>
      <c r="AF890" s="109"/>
      <c r="AG890" s="109"/>
      <c r="AH890" s="109"/>
      <c r="AI890" s="109"/>
    </row>
    <row r="89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  <c r="AB891" s="109"/>
      <c r="AC891" s="109"/>
      <c r="AD891" s="109"/>
      <c r="AE891" s="109"/>
      <c r="AF891" s="109"/>
      <c r="AG891" s="109"/>
      <c r="AH891" s="109"/>
      <c r="AI891" s="109"/>
    </row>
    <row r="892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  <c r="AB892" s="109"/>
      <c r="AC892" s="109"/>
      <c r="AD892" s="109"/>
      <c r="AE892" s="109"/>
      <c r="AF892" s="109"/>
      <c r="AG892" s="109"/>
      <c r="AH892" s="109"/>
      <c r="AI892" s="109"/>
    </row>
    <row r="893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  <c r="AB893" s="109"/>
      <c r="AC893" s="109"/>
      <c r="AD893" s="109"/>
      <c r="AE893" s="109"/>
      <c r="AF893" s="109"/>
      <c r="AG893" s="109"/>
      <c r="AH893" s="109"/>
      <c r="AI893" s="109"/>
    </row>
    <row r="894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  <c r="AB894" s="109"/>
      <c r="AC894" s="109"/>
      <c r="AD894" s="109"/>
      <c r="AE894" s="109"/>
      <c r="AF894" s="109"/>
      <c r="AG894" s="109"/>
      <c r="AH894" s="109"/>
      <c r="AI894" s="109"/>
    </row>
    <row r="895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  <c r="AB895" s="109"/>
      <c r="AC895" s="109"/>
      <c r="AD895" s="109"/>
      <c r="AE895" s="109"/>
      <c r="AF895" s="109"/>
      <c r="AG895" s="109"/>
      <c r="AH895" s="109"/>
      <c r="AI895" s="109"/>
    </row>
    <row r="896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  <c r="AB896" s="109"/>
      <c r="AC896" s="109"/>
      <c r="AD896" s="109"/>
      <c r="AE896" s="109"/>
      <c r="AF896" s="109"/>
      <c r="AG896" s="109"/>
      <c r="AH896" s="109"/>
      <c r="AI896" s="109"/>
    </row>
    <row r="897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  <c r="AB897" s="109"/>
      <c r="AC897" s="109"/>
      <c r="AD897" s="109"/>
      <c r="AE897" s="109"/>
      <c r="AF897" s="109"/>
      <c r="AG897" s="109"/>
      <c r="AH897" s="109"/>
      <c r="AI897" s="109"/>
    </row>
    <row r="898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  <c r="AB898" s="109"/>
      <c r="AC898" s="109"/>
      <c r="AD898" s="109"/>
      <c r="AE898" s="109"/>
      <c r="AF898" s="109"/>
      <c r="AG898" s="109"/>
      <c r="AH898" s="109"/>
      <c r="AI898" s="109"/>
    </row>
    <row r="899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  <c r="AB899" s="109"/>
      <c r="AC899" s="109"/>
      <c r="AD899" s="109"/>
      <c r="AE899" s="109"/>
      <c r="AF899" s="109"/>
      <c r="AG899" s="109"/>
      <c r="AH899" s="109"/>
      <c r="AI899" s="109"/>
    </row>
    <row r="900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  <c r="AB900" s="109"/>
      <c r="AC900" s="109"/>
      <c r="AD900" s="109"/>
      <c r="AE900" s="109"/>
      <c r="AF900" s="109"/>
      <c r="AG900" s="109"/>
      <c r="AH900" s="109"/>
      <c r="AI900" s="109"/>
    </row>
    <row r="90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  <c r="AB901" s="109"/>
      <c r="AC901" s="109"/>
      <c r="AD901" s="109"/>
      <c r="AE901" s="109"/>
      <c r="AF901" s="109"/>
      <c r="AG901" s="109"/>
      <c r="AH901" s="109"/>
      <c r="AI901" s="109"/>
    </row>
    <row r="902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  <c r="AB902" s="109"/>
      <c r="AC902" s="109"/>
      <c r="AD902" s="109"/>
      <c r="AE902" s="109"/>
      <c r="AF902" s="109"/>
      <c r="AG902" s="109"/>
      <c r="AH902" s="109"/>
      <c r="AI902" s="109"/>
    </row>
    <row r="903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  <c r="AB903" s="109"/>
      <c r="AC903" s="109"/>
      <c r="AD903" s="109"/>
      <c r="AE903" s="109"/>
      <c r="AF903" s="109"/>
      <c r="AG903" s="109"/>
      <c r="AH903" s="109"/>
      <c r="AI903" s="109"/>
    </row>
    <row r="904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  <c r="AB904" s="109"/>
      <c r="AC904" s="109"/>
      <c r="AD904" s="109"/>
      <c r="AE904" s="109"/>
      <c r="AF904" s="109"/>
      <c r="AG904" s="109"/>
      <c r="AH904" s="109"/>
      <c r="AI904" s="109"/>
    </row>
    <row r="905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  <c r="AB905" s="109"/>
      <c r="AC905" s="109"/>
      <c r="AD905" s="109"/>
      <c r="AE905" s="109"/>
      <c r="AF905" s="109"/>
      <c r="AG905" s="109"/>
      <c r="AH905" s="109"/>
      <c r="AI905" s="109"/>
    </row>
    <row r="906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  <c r="AB906" s="109"/>
      <c r="AC906" s="109"/>
      <c r="AD906" s="109"/>
      <c r="AE906" s="109"/>
      <c r="AF906" s="109"/>
      <c r="AG906" s="109"/>
      <c r="AH906" s="109"/>
      <c r="AI906" s="109"/>
    </row>
    <row r="907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09"/>
      <c r="AC907" s="109"/>
      <c r="AD907" s="109"/>
      <c r="AE907" s="109"/>
      <c r="AF907" s="109"/>
      <c r="AG907" s="109"/>
      <c r="AH907" s="109"/>
      <c r="AI907" s="109"/>
    </row>
    <row r="908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09"/>
      <c r="AC908" s="109"/>
      <c r="AD908" s="109"/>
      <c r="AE908" s="109"/>
      <c r="AF908" s="109"/>
      <c r="AG908" s="109"/>
      <c r="AH908" s="109"/>
      <c r="AI908" s="109"/>
    </row>
    <row r="909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09"/>
      <c r="AC909" s="109"/>
      <c r="AD909" s="109"/>
      <c r="AE909" s="109"/>
      <c r="AF909" s="109"/>
      <c r="AG909" s="109"/>
      <c r="AH909" s="109"/>
      <c r="AI909" s="109"/>
    </row>
    <row r="910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09"/>
      <c r="AC910" s="109"/>
      <c r="AD910" s="109"/>
      <c r="AE910" s="109"/>
      <c r="AF910" s="109"/>
      <c r="AG910" s="109"/>
      <c r="AH910" s="109"/>
      <c r="AI910" s="109"/>
    </row>
    <row r="91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09"/>
      <c r="AC911" s="109"/>
      <c r="AD911" s="109"/>
      <c r="AE911" s="109"/>
      <c r="AF911" s="109"/>
      <c r="AG911" s="109"/>
      <c r="AH911" s="109"/>
      <c r="AI911" s="109"/>
    </row>
    <row r="912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09"/>
      <c r="AC912" s="109"/>
      <c r="AD912" s="109"/>
      <c r="AE912" s="109"/>
      <c r="AF912" s="109"/>
      <c r="AG912" s="109"/>
      <c r="AH912" s="109"/>
      <c r="AI912" s="109"/>
    </row>
    <row r="913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  <c r="AB913" s="109"/>
      <c r="AC913" s="109"/>
      <c r="AD913" s="109"/>
      <c r="AE913" s="109"/>
      <c r="AF913" s="109"/>
      <c r="AG913" s="109"/>
      <c r="AH913" s="109"/>
      <c r="AI913" s="109"/>
    </row>
    <row r="914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  <c r="AB914" s="109"/>
      <c r="AC914" s="109"/>
      <c r="AD914" s="109"/>
      <c r="AE914" s="109"/>
      <c r="AF914" s="109"/>
      <c r="AG914" s="109"/>
      <c r="AH914" s="109"/>
      <c r="AI914" s="109"/>
    </row>
    <row r="915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  <c r="AB915" s="109"/>
      <c r="AC915" s="109"/>
      <c r="AD915" s="109"/>
      <c r="AE915" s="109"/>
      <c r="AF915" s="109"/>
      <c r="AG915" s="109"/>
      <c r="AH915" s="109"/>
      <c r="AI915" s="109"/>
    </row>
    <row r="916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  <c r="AB916" s="109"/>
      <c r="AC916" s="109"/>
      <c r="AD916" s="109"/>
      <c r="AE916" s="109"/>
      <c r="AF916" s="109"/>
      <c r="AG916" s="109"/>
      <c r="AH916" s="109"/>
      <c r="AI916" s="109"/>
    </row>
    <row r="917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  <c r="AB917" s="109"/>
      <c r="AC917" s="109"/>
      <c r="AD917" s="109"/>
      <c r="AE917" s="109"/>
      <c r="AF917" s="109"/>
      <c r="AG917" s="109"/>
      <c r="AH917" s="109"/>
      <c r="AI917" s="109"/>
    </row>
    <row r="918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  <c r="AB918" s="109"/>
      <c r="AC918" s="109"/>
      <c r="AD918" s="109"/>
      <c r="AE918" s="109"/>
      <c r="AF918" s="109"/>
      <c r="AG918" s="109"/>
      <c r="AH918" s="109"/>
      <c r="AI918" s="109"/>
    </row>
    <row r="919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  <c r="AB919" s="109"/>
      <c r="AC919" s="109"/>
      <c r="AD919" s="109"/>
      <c r="AE919" s="109"/>
      <c r="AF919" s="109"/>
      <c r="AG919" s="109"/>
      <c r="AH919" s="109"/>
      <c r="AI919" s="109"/>
    </row>
    <row r="920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  <c r="AB920" s="109"/>
      <c r="AC920" s="109"/>
      <c r="AD920" s="109"/>
      <c r="AE920" s="109"/>
      <c r="AF920" s="109"/>
      <c r="AG920" s="109"/>
      <c r="AH920" s="109"/>
      <c r="AI920" s="109"/>
    </row>
    <row r="92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  <c r="AB921" s="109"/>
      <c r="AC921" s="109"/>
      <c r="AD921" s="109"/>
      <c r="AE921" s="109"/>
      <c r="AF921" s="109"/>
      <c r="AG921" s="109"/>
      <c r="AH921" s="109"/>
      <c r="AI921" s="109"/>
    </row>
    <row r="922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  <c r="AB922" s="109"/>
      <c r="AC922" s="109"/>
      <c r="AD922" s="109"/>
      <c r="AE922" s="109"/>
      <c r="AF922" s="109"/>
      <c r="AG922" s="109"/>
      <c r="AH922" s="109"/>
      <c r="AI922" s="109"/>
    </row>
    <row r="923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  <c r="AB923" s="109"/>
      <c r="AC923" s="109"/>
      <c r="AD923" s="109"/>
      <c r="AE923" s="109"/>
      <c r="AF923" s="109"/>
      <c r="AG923" s="109"/>
      <c r="AH923" s="109"/>
      <c r="AI923" s="109"/>
    </row>
    <row r="924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  <c r="AB924" s="109"/>
      <c r="AC924" s="109"/>
      <c r="AD924" s="109"/>
      <c r="AE924" s="109"/>
      <c r="AF924" s="109"/>
      <c r="AG924" s="109"/>
      <c r="AH924" s="109"/>
      <c r="AI924" s="109"/>
    </row>
    <row r="925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  <c r="AB925" s="109"/>
      <c r="AC925" s="109"/>
      <c r="AD925" s="109"/>
      <c r="AE925" s="109"/>
      <c r="AF925" s="109"/>
      <c r="AG925" s="109"/>
      <c r="AH925" s="109"/>
      <c r="AI925" s="109"/>
    </row>
    <row r="926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  <c r="AB926" s="109"/>
      <c r="AC926" s="109"/>
      <c r="AD926" s="109"/>
      <c r="AE926" s="109"/>
      <c r="AF926" s="109"/>
      <c r="AG926" s="109"/>
      <c r="AH926" s="109"/>
      <c r="AI926" s="109"/>
    </row>
    <row r="927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  <c r="AB927" s="109"/>
      <c r="AC927" s="109"/>
      <c r="AD927" s="109"/>
      <c r="AE927" s="109"/>
      <c r="AF927" s="109"/>
      <c r="AG927" s="109"/>
      <c r="AH927" s="109"/>
      <c r="AI927" s="109"/>
    </row>
    <row r="928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  <c r="AB928" s="109"/>
      <c r="AC928" s="109"/>
      <c r="AD928" s="109"/>
      <c r="AE928" s="109"/>
      <c r="AF928" s="109"/>
      <c r="AG928" s="109"/>
      <c r="AH928" s="109"/>
      <c r="AI928" s="109"/>
    </row>
    <row r="929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  <c r="AB929" s="109"/>
      <c r="AC929" s="109"/>
      <c r="AD929" s="109"/>
      <c r="AE929" s="109"/>
      <c r="AF929" s="109"/>
      <c r="AG929" s="109"/>
      <c r="AH929" s="109"/>
      <c r="AI929" s="109"/>
    </row>
    <row r="930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  <c r="AB930" s="109"/>
      <c r="AC930" s="109"/>
      <c r="AD930" s="109"/>
      <c r="AE930" s="109"/>
      <c r="AF930" s="109"/>
      <c r="AG930" s="109"/>
      <c r="AH930" s="109"/>
      <c r="AI930" s="109"/>
    </row>
    <row r="93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  <c r="AB931" s="109"/>
      <c r="AC931" s="109"/>
      <c r="AD931" s="109"/>
      <c r="AE931" s="109"/>
      <c r="AF931" s="109"/>
      <c r="AG931" s="109"/>
      <c r="AH931" s="109"/>
      <c r="AI931" s="109"/>
    </row>
    <row r="932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  <c r="AB932" s="109"/>
      <c r="AC932" s="109"/>
      <c r="AD932" s="109"/>
      <c r="AE932" s="109"/>
      <c r="AF932" s="109"/>
      <c r="AG932" s="109"/>
      <c r="AH932" s="109"/>
      <c r="AI932" s="109"/>
    </row>
    <row r="933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  <c r="AB933" s="109"/>
      <c r="AC933" s="109"/>
      <c r="AD933" s="109"/>
      <c r="AE933" s="109"/>
      <c r="AF933" s="109"/>
      <c r="AG933" s="109"/>
      <c r="AH933" s="109"/>
      <c r="AI933" s="109"/>
    </row>
    <row r="934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  <c r="AB934" s="109"/>
      <c r="AC934" s="109"/>
      <c r="AD934" s="109"/>
      <c r="AE934" s="109"/>
      <c r="AF934" s="109"/>
      <c r="AG934" s="109"/>
      <c r="AH934" s="109"/>
      <c r="AI934" s="109"/>
    </row>
    <row r="935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  <c r="AB935" s="109"/>
      <c r="AC935" s="109"/>
      <c r="AD935" s="109"/>
      <c r="AE935" s="109"/>
      <c r="AF935" s="109"/>
      <c r="AG935" s="109"/>
      <c r="AH935" s="109"/>
      <c r="AI935" s="109"/>
    </row>
    <row r="936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  <c r="AB936" s="109"/>
      <c r="AC936" s="109"/>
      <c r="AD936" s="109"/>
      <c r="AE936" s="109"/>
      <c r="AF936" s="109"/>
      <c r="AG936" s="109"/>
      <c r="AH936" s="109"/>
      <c r="AI936" s="109"/>
    </row>
    <row r="937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  <c r="AB937" s="109"/>
      <c r="AC937" s="109"/>
      <c r="AD937" s="109"/>
      <c r="AE937" s="109"/>
      <c r="AF937" s="109"/>
      <c r="AG937" s="109"/>
      <c r="AH937" s="109"/>
      <c r="AI937" s="109"/>
    </row>
    <row r="938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  <c r="AB938" s="109"/>
      <c r="AC938" s="109"/>
      <c r="AD938" s="109"/>
      <c r="AE938" s="109"/>
      <c r="AF938" s="109"/>
      <c r="AG938" s="109"/>
      <c r="AH938" s="109"/>
      <c r="AI938" s="109"/>
    </row>
    <row r="939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  <c r="AB939" s="109"/>
      <c r="AC939" s="109"/>
      <c r="AD939" s="109"/>
      <c r="AE939" s="109"/>
      <c r="AF939" s="109"/>
      <c r="AG939" s="109"/>
      <c r="AH939" s="109"/>
      <c r="AI939" s="109"/>
    </row>
    <row r="940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09"/>
      <c r="AC940" s="109"/>
      <c r="AD940" s="109"/>
      <c r="AE940" s="109"/>
      <c r="AF940" s="109"/>
      <c r="AG940" s="109"/>
      <c r="AH940" s="109"/>
      <c r="AI940" s="109"/>
    </row>
    <row r="94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09"/>
      <c r="AC941" s="109"/>
      <c r="AD941" s="109"/>
      <c r="AE941" s="109"/>
      <c r="AF941" s="109"/>
      <c r="AG941" s="109"/>
      <c r="AH941" s="109"/>
      <c r="AI941" s="109"/>
    </row>
    <row r="942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  <c r="AB942" s="109"/>
      <c r="AC942" s="109"/>
      <c r="AD942" s="109"/>
      <c r="AE942" s="109"/>
      <c r="AF942" s="109"/>
      <c r="AG942" s="109"/>
      <c r="AH942" s="109"/>
      <c r="AI942" s="109"/>
    </row>
    <row r="943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  <c r="AB943" s="109"/>
      <c r="AC943" s="109"/>
      <c r="AD943" s="109"/>
      <c r="AE943" s="109"/>
      <c r="AF943" s="109"/>
      <c r="AG943" s="109"/>
      <c r="AH943" s="109"/>
      <c r="AI943" s="109"/>
    </row>
    <row r="944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09"/>
      <c r="AC944" s="109"/>
      <c r="AD944" s="109"/>
      <c r="AE944" s="109"/>
      <c r="AF944" s="109"/>
      <c r="AG944" s="109"/>
      <c r="AH944" s="109"/>
      <c r="AI944" s="109"/>
    </row>
    <row r="945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  <c r="AB945" s="109"/>
      <c r="AC945" s="109"/>
      <c r="AD945" s="109"/>
      <c r="AE945" s="109"/>
      <c r="AF945" s="109"/>
      <c r="AG945" s="109"/>
      <c r="AH945" s="109"/>
      <c r="AI945" s="109"/>
    </row>
    <row r="946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09"/>
      <c r="AC946" s="109"/>
      <c r="AD946" s="109"/>
      <c r="AE946" s="109"/>
      <c r="AF946" s="109"/>
      <c r="AG946" s="109"/>
      <c r="AH946" s="109"/>
      <c r="AI946" s="109"/>
    </row>
    <row r="947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09"/>
      <c r="AC947" s="109"/>
      <c r="AD947" s="109"/>
      <c r="AE947" s="109"/>
      <c r="AF947" s="109"/>
      <c r="AG947" s="109"/>
      <c r="AH947" s="109"/>
      <c r="AI947" s="109"/>
    </row>
    <row r="948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  <c r="AB948" s="109"/>
      <c r="AC948" s="109"/>
      <c r="AD948" s="109"/>
      <c r="AE948" s="109"/>
      <c r="AF948" s="109"/>
      <c r="AG948" s="109"/>
      <c r="AH948" s="109"/>
      <c r="AI948" s="109"/>
    </row>
    <row r="949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  <c r="AB949" s="109"/>
      <c r="AC949" s="109"/>
      <c r="AD949" s="109"/>
      <c r="AE949" s="109"/>
      <c r="AF949" s="109"/>
      <c r="AG949" s="109"/>
      <c r="AH949" s="109"/>
      <c r="AI949" s="109"/>
    </row>
    <row r="950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  <c r="AB950" s="109"/>
      <c r="AC950" s="109"/>
      <c r="AD950" s="109"/>
      <c r="AE950" s="109"/>
      <c r="AF950" s="109"/>
      <c r="AG950" s="109"/>
      <c r="AH950" s="109"/>
      <c r="AI950" s="109"/>
    </row>
    <row r="95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09"/>
      <c r="AC951" s="109"/>
      <c r="AD951" s="109"/>
      <c r="AE951" s="109"/>
      <c r="AF951" s="109"/>
      <c r="AG951" s="109"/>
      <c r="AH951" s="109"/>
      <c r="AI951" s="109"/>
    </row>
    <row r="952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  <c r="AB952" s="109"/>
      <c r="AC952" s="109"/>
      <c r="AD952" s="109"/>
      <c r="AE952" s="109"/>
      <c r="AF952" s="109"/>
      <c r="AG952" s="109"/>
      <c r="AH952" s="109"/>
      <c r="AI952" s="109"/>
    </row>
    <row r="953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  <c r="AB953" s="109"/>
      <c r="AC953" s="109"/>
      <c r="AD953" s="109"/>
      <c r="AE953" s="109"/>
      <c r="AF953" s="109"/>
      <c r="AG953" s="109"/>
      <c r="AH953" s="109"/>
      <c r="AI953" s="109"/>
    </row>
    <row r="954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  <c r="AB954" s="109"/>
      <c r="AC954" s="109"/>
      <c r="AD954" s="109"/>
      <c r="AE954" s="109"/>
      <c r="AF954" s="109"/>
      <c r="AG954" s="109"/>
      <c r="AH954" s="109"/>
      <c r="AI954" s="109"/>
    </row>
    <row r="955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09"/>
      <c r="AC955" s="109"/>
      <c r="AD955" s="109"/>
      <c r="AE955" s="109"/>
      <c r="AF955" s="109"/>
      <c r="AG955" s="109"/>
      <c r="AH955" s="109"/>
      <c r="AI955" s="109"/>
    </row>
    <row r="956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09"/>
      <c r="AC956" s="109"/>
      <c r="AD956" s="109"/>
      <c r="AE956" s="109"/>
      <c r="AF956" s="109"/>
      <c r="AG956" s="109"/>
      <c r="AH956" s="109"/>
      <c r="AI956" s="109"/>
    </row>
    <row r="957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09"/>
      <c r="AC957" s="109"/>
      <c r="AD957" s="109"/>
      <c r="AE957" s="109"/>
      <c r="AF957" s="109"/>
      <c r="AG957" s="109"/>
      <c r="AH957" s="109"/>
      <c r="AI957" s="109"/>
    </row>
    <row r="958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  <c r="AB958" s="109"/>
      <c r="AC958" s="109"/>
      <c r="AD958" s="109"/>
      <c r="AE958" s="109"/>
      <c r="AF958" s="109"/>
      <c r="AG958" s="109"/>
      <c r="AH958" s="109"/>
      <c r="AI958" s="109"/>
    </row>
    <row r="959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  <c r="AB959" s="109"/>
      <c r="AC959" s="109"/>
      <c r="AD959" s="109"/>
      <c r="AE959" s="109"/>
      <c r="AF959" s="109"/>
      <c r="AG959" s="109"/>
      <c r="AH959" s="109"/>
      <c r="AI959" s="109"/>
    </row>
    <row r="960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  <c r="AB960" s="109"/>
      <c r="AC960" s="109"/>
      <c r="AD960" s="109"/>
      <c r="AE960" s="109"/>
      <c r="AF960" s="109"/>
      <c r="AG960" s="109"/>
      <c r="AH960" s="109"/>
      <c r="AI960" s="109"/>
    </row>
    <row r="96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  <c r="AB961" s="109"/>
      <c r="AC961" s="109"/>
      <c r="AD961" s="109"/>
      <c r="AE961" s="109"/>
      <c r="AF961" s="109"/>
      <c r="AG961" s="109"/>
      <c r="AH961" s="109"/>
      <c r="AI961" s="109"/>
    </row>
    <row r="962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  <c r="AB962" s="109"/>
      <c r="AC962" s="109"/>
      <c r="AD962" s="109"/>
      <c r="AE962" s="109"/>
      <c r="AF962" s="109"/>
      <c r="AG962" s="109"/>
      <c r="AH962" s="109"/>
      <c r="AI962" s="109"/>
    </row>
    <row r="963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  <c r="AB963" s="109"/>
      <c r="AC963" s="109"/>
      <c r="AD963" s="109"/>
      <c r="AE963" s="109"/>
      <c r="AF963" s="109"/>
      <c r="AG963" s="109"/>
      <c r="AH963" s="109"/>
      <c r="AI963" s="109"/>
    </row>
    <row r="964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  <c r="AB964" s="109"/>
      <c r="AC964" s="109"/>
      <c r="AD964" s="109"/>
      <c r="AE964" s="109"/>
      <c r="AF964" s="109"/>
      <c r="AG964" s="109"/>
      <c r="AH964" s="109"/>
      <c r="AI964" s="109"/>
    </row>
    <row r="965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  <c r="AB965" s="109"/>
      <c r="AC965" s="109"/>
      <c r="AD965" s="109"/>
      <c r="AE965" s="109"/>
      <c r="AF965" s="109"/>
      <c r="AG965" s="109"/>
      <c r="AH965" s="109"/>
      <c r="AI965" s="109"/>
    </row>
    <row r="966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  <c r="AB966" s="109"/>
      <c r="AC966" s="109"/>
      <c r="AD966" s="109"/>
      <c r="AE966" s="109"/>
      <c r="AF966" s="109"/>
      <c r="AG966" s="109"/>
      <c r="AH966" s="109"/>
      <c r="AI966" s="109"/>
    </row>
    <row r="967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  <c r="AB967" s="109"/>
      <c r="AC967" s="109"/>
      <c r="AD967" s="109"/>
      <c r="AE967" s="109"/>
      <c r="AF967" s="109"/>
      <c r="AG967" s="109"/>
      <c r="AH967" s="109"/>
      <c r="AI967" s="109"/>
    </row>
    <row r="968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  <c r="AB968" s="109"/>
      <c r="AC968" s="109"/>
      <c r="AD968" s="109"/>
      <c r="AE968" s="109"/>
      <c r="AF968" s="109"/>
      <c r="AG968" s="109"/>
      <c r="AH968" s="109"/>
      <c r="AI968" s="109"/>
    </row>
    <row r="969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09"/>
      <c r="AC969" s="109"/>
      <c r="AD969" s="109"/>
      <c r="AE969" s="109"/>
      <c r="AF969" s="109"/>
      <c r="AG969" s="109"/>
      <c r="AH969" s="109"/>
      <c r="AI969" s="109"/>
    </row>
    <row r="970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09"/>
      <c r="AC970" s="109"/>
      <c r="AD970" s="109"/>
      <c r="AE970" s="109"/>
      <c r="AF970" s="109"/>
      <c r="AG970" s="109"/>
      <c r="AH970" s="109"/>
      <c r="AI970" s="109"/>
    </row>
    <row r="97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09"/>
      <c r="AC971" s="109"/>
      <c r="AD971" s="109"/>
      <c r="AE971" s="109"/>
      <c r="AF971" s="109"/>
      <c r="AG971" s="109"/>
      <c r="AH971" s="109"/>
      <c r="AI971" s="109"/>
    </row>
    <row r="972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09"/>
      <c r="AC972" s="109"/>
      <c r="AD972" s="109"/>
      <c r="AE972" s="109"/>
      <c r="AF972" s="109"/>
      <c r="AG972" s="109"/>
      <c r="AH972" s="109"/>
      <c r="AI972" s="109"/>
    </row>
    <row r="973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  <c r="AB973" s="109"/>
      <c r="AC973" s="109"/>
      <c r="AD973" s="109"/>
      <c r="AE973" s="109"/>
      <c r="AF973" s="109"/>
      <c r="AG973" s="109"/>
      <c r="AH973" s="109"/>
      <c r="AI973" s="109"/>
    </row>
    <row r="974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  <c r="AB974" s="109"/>
      <c r="AC974" s="109"/>
      <c r="AD974" s="109"/>
      <c r="AE974" s="109"/>
      <c r="AF974" s="109"/>
      <c r="AG974" s="109"/>
      <c r="AH974" s="109"/>
      <c r="AI974" s="109"/>
    </row>
    <row r="975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  <c r="AB975" s="109"/>
      <c r="AC975" s="109"/>
      <c r="AD975" s="109"/>
      <c r="AE975" s="109"/>
      <c r="AF975" s="109"/>
      <c r="AG975" s="109"/>
      <c r="AH975" s="109"/>
      <c r="AI975" s="109"/>
    </row>
    <row r="976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  <c r="AA976" s="109"/>
      <c r="AB976" s="109"/>
      <c r="AC976" s="109"/>
      <c r="AD976" s="109"/>
      <c r="AE976" s="109"/>
      <c r="AF976" s="109"/>
      <c r="AG976" s="109"/>
      <c r="AH976" s="109"/>
      <c r="AI976" s="109"/>
    </row>
    <row r="977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  <c r="AB977" s="109"/>
      <c r="AC977" s="109"/>
      <c r="AD977" s="109"/>
      <c r="AE977" s="109"/>
      <c r="AF977" s="109"/>
      <c r="AG977" s="109"/>
      <c r="AH977" s="109"/>
      <c r="AI977" s="109"/>
    </row>
    <row r="978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  <c r="AB978" s="109"/>
      <c r="AC978" s="109"/>
      <c r="AD978" s="109"/>
      <c r="AE978" s="109"/>
      <c r="AF978" s="109"/>
      <c r="AG978" s="109"/>
      <c r="AH978" s="109"/>
      <c r="AI978" s="109"/>
    </row>
    <row r="979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  <c r="AB979" s="109"/>
      <c r="AC979" s="109"/>
      <c r="AD979" s="109"/>
      <c r="AE979" s="109"/>
      <c r="AF979" s="109"/>
      <c r="AG979" s="109"/>
      <c r="AH979" s="109"/>
      <c r="AI979" s="109"/>
    </row>
    <row r="980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  <c r="AB980" s="109"/>
      <c r="AC980" s="109"/>
      <c r="AD980" s="109"/>
      <c r="AE980" s="109"/>
      <c r="AF980" s="109"/>
      <c r="AG980" s="109"/>
      <c r="AH980" s="109"/>
      <c r="AI980" s="109"/>
    </row>
    <row r="981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  <c r="AA981" s="109"/>
      <c r="AB981" s="109"/>
      <c r="AC981" s="109"/>
      <c r="AD981" s="109"/>
      <c r="AE981" s="109"/>
      <c r="AF981" s="109"/>
      <c r="AG981" s="109"/>
      <c r="AH981" s="109"/>
      <c r="AI981" s="109"/>
    </row>
    <row r="982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  <c r="AA982" s="109"/>
      <c r="AB982" s="109"/>
      <c r="AC982" s="109"/>
      <c r="AD982" s="109"/>
      <c r="AE982" s="109"/>
      <c r="AF982" s="109"/>
      <c r="AG982" s="109"/>
      <c r="AH982" s="109"/>
      <c r="AI982" s="109"/>
    </row>
    <row r="983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  <c r="AB983" s="109"/>
      <c r="AC983" s="109"/>
      <c r="AD983" s="109"/>
      <c r="AE983" s="109"/>
      <c r="AF983" s="109"/>
      <c r="AG983" s="109"/>
      <c r="AH983" s="109"/>
      <c r="AI983" s="109"/>
    </row>
    <row r="984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  <c r="AA984" s="109"/>
      <c r="AB984" s="109"/>
      <c r="AC984" s="109"/>
      <c r="AD984" s="109"/>
      <c r="AE984" s="109"/>
      <c r="AF984" s="109"/>
      <c r="AG984" s="109"/>
      <c r="AH984" s="109"/>
      <c r="AI984" s="109"/>
    </row>
    <row r="985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  <c r="AB985" s="109"/>
      <c r="AC985" s="109"/>
      <c r="AD985" s="109"/>
      <c r="AE985" s="109"/>
      <c r="AF985" s="109"/>
      <c r="AG985" s="109"/>
      <c r="AH985" s="109"/>
      <c r="AI985" s="109"/>
    </row>
    <row r="986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  <c r="AA986" s="109"/>
      <c r="AB986" s="109"/>
      <c r="AC986" s="109"/>
      <c r="AD986" s="109"/>
      <c r="AE986" s="109"/>
      <c r="AF986" s="109"/>
      <c r="AG986" s="109"/>
      <c r="AH986" s="109"/>
      <c r="AI986" s="109"/>
    </row>
    <row r="987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  <c r="AB987" s="109"/>
      <c r="AC987" s="109"/>
      <c r="AD987" s="109"/>
      <c r="AE987" s="109"/>
      <c r="AF987" s="109"/>
      <c r="AG987" s="109"/>
      <c r="AH987" s="109"/>
      <c r="AI987" s="109"/>
    </row>
    <row r="988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  <c r="AA988" s="109"/>
      <c r="AB988" s="109"/>
      <c r="AC988" s="109"/>
      <c r="AD988" s="109"/>
      <c r="AE988" s="109"/>
      <c r="AF988" s="109"/>
      <c r="AG988" s="109"/>
      <c r="AH988" s="109"/>
      <c r="AI988" s="109"/>
    </row>
    <row r="989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  <c r="AA989" s="109"/>
      <c r="AB989" s="109"/>
      <c r="AC989" s="109"/>
      <c r="AD989" s="109"/>
      <c r="AE989" s="109"/>
      <c r="AF989" s="109"/>
      <c r="AG989" s="109"/>
      <c r="AH989" s="109"/>
      <c r="AI989" s="109"/>
    </row>
    <row r="990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  <c r="AA990" s="109"/>
      <c r="AB990" s="109"/>
      <c r="AC990" s="109"/>
      <c r="AD990" s="109"/>
      <c r="AE990" s="109"/>
      <c r="AF990" s="109"/>
      <c r="AG990" s="109"/>
      <c r="AH990" s="109"/>
      <c r="AI990" s="109"/>
    </row>
    <row r="991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  <c r="AA991" s="109"/>
      <c r="AB991" s="109"/>
      <c r="AC991" s="109"/>
      <c r="AD991" s="109"/>
      <c r="AE991" s="109"/>
      <c r="AF991" s="109"/>
      <c r="AG991" s="109"/>
      <c r="AH991" s="109"/>
      <c r="AI991" s="109"/>
    </row>
    <row r="992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  <c r="AA992" s="109"/>
      <c r="AB992" s="109"/>
      <c r="AC992" s="109"/>
      <c r="AD992" s="109"/>
      <c r="AE992" s="109"/>
      <c r="AF992" s="109"/>
      <c r="AG992" s="109"/>
      <c r="AH992" s="109"/>
      <c r="AI992" s="109"/>
    </row>
    <row r="993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  <c r="AA993" s="109"/>
      <c r="AB993" s="109"/>
      <c r="AC993" s="109"/>
      <c r="AD993" s="109"/>
      <c r="AE993" s="109"/>
      <c r="AF993" s="109"/>
      <c r="AG993" s="109"/>
      <c r="AH993" s="109"/>
      <c r="AI993" s="109"/>
    </row>
    <row r="994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  <c r="AA994" s="109"/>
      <c r="AB994" s="109"/>
      <c r="AC994" s="109"/>
      <c r="AD994" s="109"/>
      <c r="AE994" s="109"/>
      <c r="AF994" s="109"/>
      <c r="AG994" s="109"/>
      <c r="AH994" s="109"/>
      <c r="AI994" s="109"/>
    </row>
    <row r="995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  <c r="AA995" s="109"/>
      <c r="AB995" s="109"/>
      <c r="AC995" s="109"/>
      <c r="AD995" s="109"/>
      <c r="AE995" s="109"/>
      <c r="AF995" s="109"/>
      <c r="AG995" s="109"/>
      <c r="AH995" s="109"/>
      <c r="AI995" s="109"/>
    </row>
    <row r="996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  <c r="AA996" s="109"/>
      <c r="AB996" s="109"/>
      <c r="AC996" s="109"/>
      <c r="AD996" s="109"/>
      <c r="AE996" s="109"/>
      <c r="AF996" s="109"/>
      <c r="AG996" s="109"/>
      <c r="AH996" s="109"/>
      <c r="AI996" s="109"/>
    </row>
    <row r="997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  <c r="AA997" s="109"/>
      <c r="AB997" s="109"/>
      <c r="AC997" s="109"/>
      <c r="AD997" s="109"/>
      <c r="AE997" s="109"/>
      <c r="AF997" s="109"/>
      <c r="AG997" s="109"/>
      <c r="AH997" s="109"/>
      <c r="AI997" s="109"/>
    </row>
    <row r="998">
      <c r="A998" s="109"/>
      <c r="B998" s="109"/>
      <c r="C998" s="109"/>
      <c r="D998" s="109"/>
      <c r="E998" s="109"/>
      <c r="F998" s="109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  <c r="AA998" s="109"/>
      <c r="AB998" s="109"/>
      <c r="AC998" s="109"/>
      <c r="AD998" s="109"/>
      <c r="AE998" s="109"/>
      <c r="AF998" s="109"/>
      <c r="AG998" s="109"/>
      <c r="AH998" s="109"/>
      <c r="AI998" s="109"/>
    </row>
    <row r="999">
      <c r="A999" s="109"/>
      <c r="B999" s="109"/>
      <c r="C999" s="109"/>
      <c r="D999" s="109"/>
      <c r="E999" s="109"/>
      <c r="F999" s="109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  <c r="AA999" s="109"/>
      <c r="AB999" s="109"/>
      <c r="AC999" s="109"/>
      <c r="AD999" s="109"/>
      <c r="AE999" s="109"/>
      <c r="AF999" s="109"/>
      <c r="AG999" s="109"/>
      <c r="AH999" s="109"/>
      <c r="AI999" s="109"/>
    </row>
    <row r="1000">
      <c r="A1000" s="109"/>
      <c r="B1000" s="109"/>
      <c r="C1000" s="109"/>
      <c r="D1000" s="109"/>
      <c r="E1000" s="109"/>
      <c r="F1000" s="109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  <c r="AA1000" s="109"/>
      <c r="AB1000" s="109"/>
      <c r="AC1000" s="109"/>
      <c r="AD1000" s="109"/>
      <c r="AE1000" s="109"/>
      <c r="AF1000" s="109"/>
      <c r="AG1000" s="109"/>
      <c r="AH1000" s="109"/>
      <c r="AI1000" s="109"/>
    </row>
    <row r="1001">
      <c r="A1001" s="109"/>
      <c r="B1001" s="109"/>
      <c r="C1001" s="109"/>
      <c r="D1001" s="109"/>
      <c r="E1001" s="109"/>
      <c r="F1001" s="109"/>
      <c r="G1001" s="109"/>
      <c r="H1001" s="109"/>
      <c r="I1001" s="109"/>
      <c r="J1001" s="109"/>
      <c r="K1001" s="109"/>
      <c r="L1001" s="109"/>
      <c r="M1001" s="109"/>
      <c r="N1001" s="109"/>
      <c r="O1001" s="109"/>
      <c r="P1001" s="109"/>
      <c r="Q1001" s="109"/>
      <c r="R1001" s="109"/>
      <c r="S1001" s="109"/>
      <c r="T1001" s="109"/>
      <c r="U1001" s="109"/>
      <c r="V1001" s="109"/>
      <c r="W1001" s="109"/>
      <c r="X1001" s="109"/>
      <c r="Y1001" s="109"/>
      <c r="Z1001" s="109"/>
      <c r="AA1001" s="109"/>
      <c r="AB1001" s="109"/>
      <c r="AC1001" s="109"/>
      <c r="AD1001" s="109"/>
      <c r="AE1001" s="109"/>
      <c r="AF1001" s="109"/>
      <c r="AG1001" s="109"/>
      <c r="AH1001" s="109"/>
      <c r="AI1001" s="109"/>
    </row>
  </sheetData>
  <mergeCells count="3">
    <mergeCell ref="Y63:AA63"/>
    <mergeCell ref="C69:D69"/>
    <mergeCell ref="Y78:AA7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1" t="s">
        <v>735</v>
      </c>
      <c r="B1" s="111" t="s">
        <v>736</v>
      </c>
      <c r="C1" s="111" t="s">
        <v>737</v>
      </c>
      <c r="D1" s="111" t="s">
        <v>738</v>
      </c>
      <c r="E1" s="4"/>
      <c r="F1" s="4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</row>
    <row r="2">
      <c r="A2" s="121" t="s">
        <v>739</v>
      </c>
      <c r="B2" s="122"/>
      <c r="C2" s="122"/>
      <c r="D2" s="122"/>
      <c r="E2" s="4"/>
      <c r="F2" s="4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</row>
    <row r="3">
      <c r="A3" s="123"/>
      <c r="B3" s="119" t="s">
        <v>740</v>
      </c>
      <c r="C3" s="123"/>
      <c r="D3" s="123"/>
      <c r="E3" s="4"/>
      <c r="F3" s="4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>
      <c r="A4" s="123"/>
      <c r="B4" s="123"/>
      <c r="C4" s="119" t="s">
        <v>741</v>
      </c>
      <c r="D4" s="123"/>
      <c r="E4" s="4"/>
      <c r="F4" s="4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</row>
    <row r="5">
      <c r="A5" s="123"/>
      <c r="B5" s="123"/>
      <c r="C5" s="123"/>
      <c r="D5" s="119" t="s">
        <v>304</v>
      </c>
      <c r="E5" s="4"/>
      <c r="F5" s="4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</row>
    <row r="6">
      <c r="A6" s="123"/>
      <c r="B6" s="123"/>
      <c r="C6" s="123"/>
      <c r="D6" s="119" t="s">
        <v>406</v>
      </c>
      <c r="E6" s="4"/>
      <c r="F6" s="4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</row>
    <row r="7">
      <c r="A7" s="123"/>
      <c r="B7" s="123"/>
      <c r="C7" s="123"/>
      <c r="D7" s="119" t="s">
        <v>416</v>
      </c>
      <c r="E7" s="4"/>
      <c r="F7" s="4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</row>
    <row r="8">
      <c r="A8" s="123"/>
      <c r="B8" s="123"/>
      <c r="C8" s="123"/>
      <c r="D8" s="119" t="s">
        <v>348</v>
      </c>
      <c r="E8" s="4"/>
      <c r="F8" s="4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>
      <c r="A9" s="123"/>
      <c r="B9" s="123"/>
      <c r="C9" s="119" t="s">
        <v>311</v>
      </c>
      <c r="D9" s="123"/>
      <c r="E9" s="4"/>
      <c r="F9" s="4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</row>
    <row r="10">
      <c r="A10" s="123"/>
      <c r="B10" s="123"/>
      <c r="C10" s="123"/>
      <c r="D10" s="119" t="s">
        <v>422</v>
      </c>
      <c r="E10" s="4"/>
      <c r="F10" s="4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</row>
    <row r="11">
      <c r="A11" s="123"/>
      <c r="B11" s="123"/>
      <c r="C11" s="123"/>
      <c r="D11" s="119" t="s">
        <v>329</v>
      </c>
      <c r="E11" s="4"/>
      <c r="F11" s="4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</row>
    <row r="12">
      <c r="A12" s="123"/>
      <c r="B12" s="123"/>
      <c r="C12" s="123"/>
      <c r="D12" s="119" t="s">
        <v>342</v>
      </c>
      <c r="E12" s="4"/>
      <c r="F12" s="4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</row>
    <row r="13">
      <c r="A13" s="123"/>
      <c r="B13" s="123"/>
      <c r="C13" s="119" t="s">
        <v>335</v>
      </c>
      <c r="D13" s="123"/>
      <c r="E13" s="4"/>
      <c r="F13" s="4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</row>
    <row r="14">
      <c r="A14" s="123"/>
      <c r="B14" s="123"/>
      <c r="C14" s="123"/>
      <c r="D14" s="119" t="s">
        <v>480</v>
      </c>
      <c r="E14" s="4"/>
      <c r="F14" s="4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</row>
    <row r="15">
      <c r="A15" s="123"/>
      <c r="B15" s="123"/>
      <c r="C15" s="123"/>
      <c r="D15" s="119" t="s">
        <v>488</v>
      </c>
      <c r="E15" s="4"/>
      <c r="F15" s="4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>
      <c r="A16" s="123"/>
      <c r="B16" s="123"/>
      <c r="C16" s="123"/>
      <c r="D16" s="119" t="s">
        <v>496</v>
      </c>
      <c r="E16" s="4"/>
      <c r="F16" s="4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</row>
    <row r="17">
      <c r="A17" s="123"/>
      <c r="B17" s="123"/>
      <c r="C17" s="123"/>
      <c r="D17" s="119" t="s">
        <v>507</v>
      </c>
      <c r="E17" s="4"/>
      <c r="F17" s="4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</row>
    <row r="18">
      <c r="A18" s="123"/>
      <c r="B18" s="123"/>
      <c r="C18" s="123"/>
      <c r="D18" s="119" t="s">
        <v>513</v>
      </c>
      <c r="E18" s="4"/>
      <c r="F18" s="4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</row>
    <row r="19">
      <c r="A19" s="123"/>
      <c r="B19" s="123"/>
      <c r="C19" s="123"/>
      <c r="D19" s="119" t="s">
        <v>521</v>
      </c>
      <c r="E19" s="4"/>
      <c r="F19" s="4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</row>
    <row r="20">
      <c r="A20" s="123"/>
      <c r="B20" s="123"/>
      <c r="C20" s="123"/>
      <c r="D20" s="119" t="s">
        <v>531</v>
      </c>
      <c r="E20" s="4"/>
      <c r="F20" s="4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</row>
    <row r="21">
      <c r="A21" s="123"/>
      <c r="B21" s="123"/>
      <c r="C21" s="119" t="s">
        <v>327</v>
      </c>
      <c r="D21" s="123"/>
      <c r="E21" s="4"/>
      <c r="F21" s="4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</row>
    <row r="22">
      <c r="A22" s="123"/>
      <c r="B22" s="123"/>
      <c r="C22" s="123"/>
      <c r="D22" s="119" t="s">
        <v>327</v>
      </c>
      <c r="E22" s="4"/>
      <c r="F22" s="4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</row>
    <row r="23">
      <c r="A23" s="123"/>
      <c r="B23" s="123"/>
      <c r="C23" s="123"/>
      <c r="D23" s="119" t="s">
        <v>504</v>
      </c>
      <c r="E23" s="4"/>
      <c r="F23" s="4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</row>
    <row r="24">
      <c r="A24" s="123"/>
      <c r="B24" s="123"/>
      <c r="C24" s="119" t="s">
        <v>347</v>
      </c>
      <c r="D24" s="123"/>
      <c r="E24" s="4"/>
      <c r="F24" s="4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</row>
    <row r="25">
      <c r="A25" s="123"/>
      <c r="B25" s="123"/>
      <c r="C25" s="123"/>
      <c r="D25" s="119" t="s">
        <v>347</v>
      </c>
      <c r="E25" s="4"/>
      <c r="F25" s="4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</row>
    <row r="26">
      <c r="A26" s="113" t="s">
        <v>265</v>
      </c>
      <c r="B26" s="124"/>
      <c r="C26" s="124"/>
      <c r="D26" s="124"/>
      <c r="E26" s="4"/>
      <c r="F26" s="4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</row>
    <row r="27">
      <c r="A27" s="124"/>
      <c r="B27" s="113" t="s">
        <v>742</v>
      </c>
      <c r="C27" s="124"/>
      <c r="D27" s="124"/>
      <c r="E27" s="4"/>
      <c r="F27" s="4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</row>
    <row r="28">
      <c r="A28" s="124"/>
      <c r="B28" s="124"/>
      <c r="C28" s="113" t="s">
        <v>743</v>
      </c>
      <c r="D28" s="124"/>
      <c r="E28" s="4"/>
      <c r="F28" s="4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>
      <c r="A29" s="124"/>
      <c r="B29" s="124"/>
      <c r="C29" s="124"/>
      <c r="D29" s="113" t="s">
        <v>744</v>
      </c>
      <c r="E29" s="4"/>
      <c r="F29" s="4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</row>
    <row r="30">
      <c r="A30" s="124"/>
      <c r="B30" s="124"/>
      <c r="C30" s="124"/>
      <c r="D30" s="113" t="s">
        <v>745</v>
      </c>
      <c r="E30" s="4"/>
      <c r="F30" s="4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</row>
    <row r="31">
      <c r="A31" s="124"/>
      <c r="B31" s="124"/>
      <c r="C31" s="124"/>
      <c r="D31" s="113" t="s">
        <v>746</v>
      </c>
      <c r="E31" s="4"/>
      <c r="F31" s="4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</row>
    <row r="32">
      <c r="A32" s="124"/>
      <c r="B32" s="124"/>
      <c r="C32" s="124"/>
      <c r="D32" s="113" t="s">
        <v>747</v>
      </c>
      <c r="E32" s="4"/>
      <c r="F32" s="4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>
      <c r="A33" s="124"/>
      <c r="B33" s="124"/>
      <c r="C33" s="124"/>
      <c r="D33" s="113" t="s">
        <v>748</v>
      </c>
      <c r="E33" s="4"/>
      <c r="F33" s="4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</row>
    <row r="34">
      <c r="A34" s="124"/>
      <c r="B34" s="124"/>
      <c r="C34" s="113" t="s">
        <v>749</v>
      </c>
      <c r="D34" s="124"/>
      <c r="E34" s="4"/>
      <c r="F34" s="4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</row>
    <row r="35">
      <c r="A35" s="124"/>
      <c r="B35" s="124"/>
      <c r="C35" s="124"/>
      <c r="D35" s="113" t="s">
        <v>558</v>
      </c>
      <c r="E35" s="4"/>
      <c r="F35" s="4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</row>
    <row r="36">
      <c r="A36" s="124"/>
      <c r="B36" s="124"/>
      <c r="C36" s="124"/>
      <c r="D36" s="113" t="s">
        <v>750</v>
      </c>
      <c r="E36" s="4"/>
      <c r="F36" s="4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</row>
    <row r="37">
      <c r="A37" s="124"/>
      <c r="B37" s="124"/>
      <c r="C37" s="124"/>
      <c r="D37" s="113" t="s">
        <v>406</v>
      </c>
      <c r="E37" s="4"/>
      <c r="F37" s="4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>
      <c r="A38" s="124"/>
      <c r="B38" s="124"/>
      <c r="C38" s="124"/>
      <c r="D38" s="113" t="s">
        <v>344</v>
      </c>
      <c r="E38" s="4"/>
      <c r="F38" s="4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</row>
    <row r="39">
      <c r="A39" s="124"/>
      <c r="B39" s="124"/>
      <c r="C39" s="124"/>
      <c r="D39" s="113" t="s">
        <v>397</v>
      </c>
      <c r="E39" s="4"/>
      <c r="F39" s="4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>
      <c r="A40" s="124"/>
      <c r="B40" s="124"/>
      <c r="C40" s="124"/>
      <c r="D40" s="113" t="s">
        <v>408</v>
      </c>
      <c r="E40" s="4"/>
      <c r="F40" s="4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>
      <c r="A41" s="124"/>
      <c r="B41" s="124"/>
      <c r="C41" s="113" t="s">
        <v>751</v>
      </c>
      <c r="D41" s="124"/>
      <c r="E41" s="4"/>
      <c r="F41" s="4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>
      <c r="A42" s="124"/>
      <c r="B42" s="124"/>
      <c r="C42" s="124"/>
      <c r="D42" s="113" t="s">
        <v>445</v>
      </c>
      <c r="E42" s="4"/>
      <c r="F42" s="4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>
      <c r="A43" s="124"/>
      <c r="B43" s="124"/>
      <c r="C43" s="124"/>
      <c r="D43" s="113" t="s">
        <v>328</v>
      </c>
      <c r="E43" s="4"/>
      <c r="F43" s="4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>
      <c r="A44" s="124"/>
      <c r="B44" s="124"/>
      <c r="C44" s="124"/>
      <c r="D44" s="113" t="s">
        <v>332</v>
      </c>
      <c r="E44" s="4"/>
      <c r="F44" s="4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>
      <c r="A45" s="124"/>
      <c r="B45" s="124"/>
      <c r="C45" s="124"/>
      <c r="D45" s="113" t="s">
        <v>464</v>
      </c>
      <c r="E45" s="4"/>
      <c r="F45" s="4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>
      <c r="A46" s="124"/>
      <c r="B46" s="124"/>
      <c r="C46" s="113" t="s">
        <v>311</v>
      </c>
      <c r="D46" s="124"/>
      <c r="E46" s="4"/>
      <c r="F46" s="4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</row>
    <row r="47">
      <c r="A47" s="124"/>
      <c r="B47" s="124"/>
      <c r="C47" s="124"/>
      <c r="D47" s="113" t="s">
        <v>296</v>
      </c>
      <c r="E47" s="4"/>
      <c r="F47" s="4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</row>
    <row r="48">
      <c r="A48" s="124"/>
      <c r="B48" s="124"/>
      <c r="C48" s="124"/>
      <c r="D48" s="113" t="s">
        <v>498</v>
      </c>
      <c r="E48" s="4"/>
      <c r="F48" s="4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</row>
    <row r="49">
      <c r="A49" s="124"/>
      <c r="B49" s="124"/>
      <c r="C49" s="124"/>
      <c r="D49" s="113" t="s">
        <v>405</v>
      </c>
      <c r="E49" s="4"/>
      <c r="F49" s="4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</row>
    <row r="50">
      <c r="A50" s="124"/>
      <c r="B50" s="124"/>
      <c r="C50" s="124"/>
      <c r="D50" s="113" t="s">
        <v>312</v>
      </c>
      <c r="E50" s="4"/>
      <c r="F50" s="4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</row>
    <row r="51">
      <c r="A51" s="124"/>
      <c r="B51" s="124"/>
      <c r="C51" s="124"/>
      <c r="D51" s="113" t="s">
        <v>422</v>
      </c>
      <c r="E51" s="4"/>
      <c r="F51" s="4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</row>
    <row r="52">
      <c r="A52" s="124"/>
      <c r="B52" s="124"/>
      <c r="C52" s="124"/>
      <c r="D52" s="113" t="s">
        <v>533</v>
      </c>
      <c r="E52" s="4"/>
      <c r="F52" s="4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</row>
    <row r="53">
      <c r="A53" s="124"/>
      <c r="B53" s="124"/>
      <c r="C53" s="124"/>
      <c r="D53" s="113" t="s">
        <v>539</v>
      </c>
      <c r="E53" s="4"/>
      <c r="F53" s="4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</row>
    <row r="54">
      <c r="A54" s="124"/>
      <c r="B54" s="124"/>
      <c r="C54" s="124"/>
      <c r="D54" s="113" t="s">
        <v>546</v>
      </c>
      <c r="E54" s="4"/>
      <c r="F54" s="4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>
      <c r="A55" s="124"/>
      <c r="B55" s="124"/>
      <c r="C55" s="124"/>
      <c r="D55" s="113" t="s">
        <v>436</v>
      </c>
      <c r="E55" s="4"/>
      <c r="F55" s="4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</row>
    <row r="56">
      <c r="A56" s="124"/>
      <c r="B56" s="124"/>
      <c r="C56" s="124"/>
      <c r="D56" s="113" t="s">
        <v>329</v>
      </c>
      <c r="E56" s="4"/>
      <c r="F56" s="4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</row>
    <row r="57">
      <c r="A57" s="124"/>
      <c r="B57" s="124"/>
      <c r="C57" s="124"/>
      <c r="D57" s="113" t="s">
        <v>342</v>
      </c>
      <c r="E57" s="4"/>
      <c r="F57" s="4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</row>
    <row r="58">
      <c r="A58" s="124"/>
      <c r="B58" s="124"/>
      <c r="C58" s="113" t="s">
        <v>752</v>
      </c>
      <c r="D58" s="124"/>
      <c r="E58" s="4"/>
      <c r="F58" s="4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</row>
    <row r="59">
      <c r="A59" s="124"/>
      <c r="B59" s="124"/>
      <c r="C59" s="124"/>
      <c r="D59" s="113" t="s">
        <v>579</v>
      </c>
      <c r="E59" s="4"/>
      <c r="F59" s="4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>
      <c r="A60" s="124"/>
      <c r="B60" s="124"/>
      <c r="C60" s="124"/>
      <c r="D60" s="113" t="s">
        <v>584</v>
      </c>
      <c r="E60" s="4"/>
      <c r="F60" s="4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>
      <c r="A61" s="124"/>
      <c r="B61" s="124"/>
      <c r="C61" s="124"/>
      <c r="D61" s="113" t="s">
        <v>590</v>
      </c>
      <c r="E61" s="4"/>
      <c r="F61" s="4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>
      <c r="A62" s="124"/>
      <c r="B62" s="124"/>
      <c r="C62" s="124"/>
      <c r="D62" s="113" t="s">
        <v>595</v>
      </c>
      <c r="E62" s="4"/>
      <c r="F62" s="4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</row>
    <row r="63">
      <c r="A63" s="124"/>
      <c r="B63" s="124"/>
      <c r="C63" s="124"/>
      <c r="D63" s="113" t="s">
        <v>598</v>
      </c>
      <c r="E63" s="4"/>
      <c r="F63" s="4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</row>
    <row r="64">
      <c r="A64" s="124"/>
      <c r="B64" s="124"/>
      <c r="C64" s="124"/>
      <c r="D64" s="113" t="s">
        <v>605</v>
      </c>
      <c r="E64" s="4"/>
      <c r="F64" s="4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</row>
    <row r="65">
      <c r="A65" s="124"/>
      <c r="B65" s="124"/>
      <c r="C65" s="124"/>
      <c r="D65" s="113" t="s">
        <v>610</v>
      </c>
      <c r="E65" s="4"/>
      <c r="F65" s="4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</row>
    <row r="66">
      <c r="A66" s="124"/>
      <c r="B66" s="124"/>
      <c r="C66" s="113" t="s">
        <v>327</v>
      </c>
      <c r="D66" s="124"/>
      <c r="E66" s="4"/>
      <c r="F66" s="4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</row>
    <row r="67">
      <c r="A67" s="124"/>
      <c r="B67" s="124"/>
      <c r="C67" s="124"/>
      <c r="D67" s="113" t="s">
        <v>327</v>
      </c>
      <c r="E67" s="4"/>
      <c r="F67" s="4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</row>
    <row r="68">
      <c r="A68" s="124"/>
      <c r="B68" s="124"/>
      <c r="C68" s="124"/>
      <c r="D68" s="113" t="s">
        <v>504</v>
      </c>
      <c r="E68" s="4"/>
      <c r="F68" s="4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</row>
    <row r="69">
      <c r="A69" s="124"/>
      <c r="B69" s="124"/>
      <c r="C69" s="113" t="s">
        <v>308</v>
      </c>
      <c r="D69" s="124"/>
      <c r="E69" s="4"/>
      <c r="F69" s="4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</row>
    <row r="70">
      <c r="A70" s="124"/>
      <c r="B70" s="124"/>
      <c r="C70" s="124"/>
      <c r="D70" s="113" t="s">
        <v>551</v>
      </c>
      <c r="E70" s="4"/>
      <c r="F70" s="4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</row>
    <row r="71">
      <c r="A71" s="124"/>
      <c r="B71" s="124"/>
      <c r="C71" s="124"/>
      <c r="D71" s="113" t="s">
        <v>321</v>
      </c>
      <c r="E71" s="4"/>
      <c r="F71" s="4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</row>
    <row r="72">
      <c r="A72" s="124"/>
      <c r="B72" s="124"/>
      <c r="C72" s="124"/>
      <c r="D72" s="113" t="s">
        <v>569</v>
      </c>
      <c r="E72" s="4"/>
      <c r="F72" s="4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</row>
    <row r="73">
      <c r="A73" s="124"/>
      <c r="B73" s="124"/>
      <c r="C73" s="113" t="s">
        <v>753</v>
      </c>
      <c r="D73" s="124"/>
      <c r="E73" s="4"/>
      <c r="F73" s="4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</row>
    <row r="74">
      <c r="A74" s="124"/>
      <c r="B74" s="124"/>
      <c r="C74" s="124"/>
      <c r="D74" s="113" t="s">
        <v>640</v>
      </c>
      <c r="E74" s="4"/>
      <c r="F74" s="4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</row>
    <row r="75">
      <c r="A75" s="124"/>
      <c r="B75" s="124"/>
      <c r="C75" s="124"/>
      <c r="D75" s="113" t="s">
        <v>444</v>
      </c>
      <c r="E75" s="4"/>
      <c r="F75" s="4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</row>
    <row r="76">
      <c r="A76" s="124"/>
      <c r="B76" s="124"/>
      <c r="C76" s="124"/>
      <c r="D76" s="113" t="s">
        <v>587</v>
      </c>
      <c r="E76" s="4"/>
      <c r="F76" s="4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</row>
    <row r="77">
      <c r="A77" s="124"/>
      <c r="B77" s="124"/>
      <c r="C77" s="113" t="s">
        <v>754</v>
      </c>
      <c r="D77" s="124"/>
      <c r="E77" s="4"/>
      <c r="F77" s="4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</row>
    <row r="78">
      <c r="A78" s="124"/>
      <c r="B78" s="124"/>
      <c r="C78" s="124"/>
      <c r="D78" s="113" t="s">
        <v>653</v>
      </c>
      <c r="E78" s="4"/>
      <c r="F78" s="4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</row>
    <row r="79">
      <c r="A79" s="124"/>
      <c r="B79" s="124"/>
      <c r="C79" s="124"/>
      <c r="D79" s="113" t="s">
        <v>656</v>
      </c>
      <c r="E79" s="4"/>
      <c r="F79" s="4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</row>
    <row r="80">
      <c r="A80" s="124"/>
      <c r="B80" s="124"/>
      <c r="C80" s="124"/>
      <c r="D80" s="113" t="s">
        <v>658</v>
      </c>
      <c r="E80" s="4"/>
      <c r="F80" s="4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</row>
    <row r="81">
      <c r="A81" s="124"/>
      <c r="B81" s="124"/>
      <c r="C81" s="124"/>
      <c r="D81" s="113" t="s">
        <v>663</v>
      </c>
      <c r="E81" s="4"/>
      <c r="F81" s="4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</row>
    <row r="82">
      <c r="A82" s="124"/>
      <c r="B82" s="124"/>
      <c r="C82" s="124"/>
      <c r="D82" s="113" t="s">
        <v>667</v>
      </c>
      <c r="E82" s="4"/>
      <c r="F82" s="4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</row>
    <row r="83">
      <c r="A83" s="124"/>
      <c r="B83" s="124"/>
      <c r="C83" s="124"/>
      <c r="D83" s="113" t="s">
        <v>671</v>
      </c>
      <c r="E83" s="4"/>
      <c r="F83" s="4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</row>
    <row r="84">
      <c r="A84" s="124"/>
      <c r="B84" s="124"/>
      <c r="C84" s="124"/>
      <c r="D84" s="113" t="s">
        <v>675</v>
      </c>
      <c r="E84" s="4"/>
      <c r="F84" s="4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</row>
    <row r="85">
      <c r="A85" s="124"/>
      <c r="B85" s="124"/>
      <c r="C85" s="124"/>
      <c r="D85" s="113" t="s">
        <v>678</v>
      </c>
      <c r="E85" s="4"/>
      <c r="F85" s="4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</row>
    <row r="86">
      <c r="A86" s="124"/>
      <c r="B86" s="124"/>
      <c r="C86" s="124"/>
      <c r="D86" s="113" t="s">
        <v>682</v>
      </c>
      <c r="E86" s="4"/>
      <c r="F86" s="4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</row>
    <row r="87">
      <c r="A87" s="124"/>
      <c r="B87" s="124"/>
      <c r="C87" s="113" t="s">
        <v>128</v>
      </c>
      <c r="D87" s="124"/>
      <c r="E87" s="4"/>
      <c r="F87" s="4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</row>
    <row r="88">
      <c r="A88" s="124"/>
      <c r="B88" s="124"/>
      <c r="C88" s="124"/>
      <c r="D88" s="113" t="s">
        <v>692</v>
      </c>
      <c r="E88" s="4"/>
      <c r="F88" s="4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</row>
    <row r="89">
      <c r="A89" s="124"/>
      <c r="B89" s="124"/>
      <c r="C89" s="124"/>
      <c r="D89" s="113" t="s">
        <v>565</v>
      </c>
      <c r="E89" s="4"/>
      <c r="F89" s="4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</row>
    <row r="90">
      <c r="A90" s="124"/>
      <c r="B90" s="124"/>
      <c r="C90" s="124"/>
      <c r="D90" s="113" t="s">
        <v>697</v>
      </c>
      <c r="E90" s="4"/>
      <c r="F90" s="4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</row>
    <row r="91">
      <c r="A91" s="124"/>
      <c r="B91" s="124"/>
      <c r="C91" s="124"/>
      <c r="D91" s="113" t="s">
        <v>699</v>
      </c>
      <c r="E91" s="4"/>
      <c r="F91" s="4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</row>
    <row r="92">
      <c r="A92" s="124"/>
      <c r="B92" s="124"/>
      <c r="C92" s="124"/>
      <c r="D92" s="113" t="s">
        <v>613</v>
      </c>
      <c r="E92" s="4"/>
      <c r="F92" s="4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</row>
    <row r="93">
      <c r="A93" s="124"/>
      <c r="B93" s="124"/>
      <c r="C93" s="113" t="s">
        <v>347</v>
      </c>
      <c r="D93" s="124"/>
      <c r="E93" s="4"/>
      <c r="F93" s="4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</row>
    <row r="94">
      <c r="A94" s="124"/>
      <c r="B94" s="124"/>
      <c r="C94" s="124"/>
      <c r="D94" s="113" t="s">
        <v>347</v>
      </c>
      <c r="E94" s="4"/>
      <c r="F94" s="4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</row>
    <row r="95">
      <c r="A95" s="124"/>
      <c r="B95" s="124"/>
      <c r="C95" s="113" t="s">
        <v>755</v>
      </c>
      <c r="D95" s="124"/>
      <c r="E95" s="4"/>
      <c r="F95" s="4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</row>
    <row r="96">
      <c r="A96" s="124"/>
      <c r="B96" s="124"/>
      <c r="C96" s="124"/>
      <c r="D96" s="113" t="s">
        <v>315</v>
      </c>
      <c r="E96" s="4"/>
      <c r="F96" s="4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</row>
    <row r="97">
      <c r="A97" s="124"/>
      <c r="B97" s="124"/>
      <c r="C97" s="113" t="s">
        <v>756</v>
      </c>
      <c r="D97" s="124"/>
      <c r="E97" s="4"/>
      <c r="F97" s="4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</row>
    <row r="98">
      <c r="A98" s="124"/>
      <c r="B98" s="124"/>
      <c r="C98" s="124"/>
      <c r="D98" s="113" t="s">
        <v>718</v>
      </c>
      <c r="E98" s="4"/>
      <c r="F98" s="4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</row>
    <row r="99">
      <c r="A99" s="124"/>
      <c r="B99" s="124"/>
      <c r="C99" s="124"/>
      <c r="D99" s="113" t="s">
        <v>721</v>
      </c>
      <c r="E99" s="4"/>
      <c r="F99" s="4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</row>
    <row r="100">
      <c r="A100" s="124"/>
      <c r="B100" s="124"/>
      <c r="C100" s="124"/>
      <c r="D100" s="113" t="s">
        <v>723</v>
      </c>
      <c r="E100" s="4"/>
      <c r="F100" s="4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</row>
    <row r="101">
      <c r="A101" s="124"/>
      <c r="B101" s="124"/>
      <c r="C101" s="124"/>
      <c r="D101" s="113" t="s">
        <v>726</v>
      </c>
      <c r="E101" s="4"/>
      <c r="F101" s="4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</row>
    <row r="102">
      <c r="A102" s="124"/>
      <c r="B102" s="124"/>
      <c r="C102" s="124"/>
      <c r="D102" s="113" t="s">
        <v>728</v>
      </c>
      <c r="E102" s="4"/>
      <c r="F102" s="4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</row>
    <row r="103">
      <c r="A103" s="124"/>
      <c r="B103" s="113" t="s">
        <v>757</v>
      </c>
      <c r="C103" s="124"/>
      <c r="D103" s="124"/>
      <c r="E103" s="4"/>
      <c r="F103" s="4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</row>
    <row r="104">
      <c r="A104" s="124"/>
      <c r="B104" s="124"/>
      <c r="C104" s="113" t="s">
        <v>749</v>
      </c>
      <c r="D104" s="124"/>
      <c r="E104" s="4"/>
      <c r="F104" s="4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</row>
    <row r="105">
      <c r="A105" s="124"/>
      <c r="B105" s="124"/>
      <c r="C105" s="124"/>
      <c r="D105" s="113" t="s">
        <v>315</v>
      </c>
      <c r="E105" s="4"/>
      <c r="F105" s="4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</row>
    <row r="106">
      <c r="A106" s="124"/>
      <c r="B106" s="124"/>
      <c r="C106" s="124"/>
      <c r="D106" s="113" t="s">
        <v>758</v>
      </c>
      <c r="E106" s="4"/>
      <c r="F106" s="4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</row>
    <row r="107">
      <c r="A107" s="124"/>
      <c r="B107" s="124"/>
      <c r="C107" s="124"/>
      <c r="D107" s="113" t="s">
        <v>614</v>
      </c>
      <c r="E107" s="4"/>
      <c r="F107" s="4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</row>
    <row r="108">
      <c r="A108" s="124"/>
      <c r="B108" s="124"/>
      <c r="C108" s="124"/>
      <c r="D108" s="113" t="s">
        <v>397</v>
      </c>
      <c r="E108" s="4"/>
      <c r="F108" s="4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</row>
    <row r="109">
      <c r="A109" s="124"/>
      <c r="B109" s="124"/>
      <c r="C109" s="124"/>
      <c r="D109" s="113" t="s">
        <v>408</v>
      </c>
      <c r="E109" s="4"/>
      <c r="F109" s="4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</row>
    <row r="110">
      <c r="A110" s="124"/>
      <c r="B110" s="124"/>
      <c r="C110" s="124"/>
      <c r="D110" s="113" t="s">
        <v>329</v>
      </c>
      <c r="E110" s="4"/>
      <c r="F110" s="4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</row>
    <row r="111">
      <c r="A111" s="124"/>
      <c r="B111" s="124"/>
      <c r="C111" s="113" t="s">
        <v>751</v>
      </c>
      <c r="D111" s="124"/>
      <c r="E111" s="4"/>
      <c r="F111" s="4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</row>
    <row r="112">
      <c r="A112" s="124"/>
      <c r="B112" s="124"/>
      <c r="C112" s="124"/>
      <c r="D112" s="113" t="s">
        <v>759</v>
      </c>
      <c r="E112" s="4"/>
      <c r="F112" s="4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</row>
    <row r="113">
      <c r="A113" s="124"/>
      <c r="B113" s="124"/>
      <c r="C113" s="124"/>
      <c r="D113" s="113" t="s">
        <v>760</v>
      </c>
      <c r="E113" s="4"/>
      <c r="F113" s="4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</row>
    <row r="114">
      <c r="A114" s="124"/>
      <c r="B114" s="124"/>
      <c r="C114" s="124"/>
      <c r="D114" s="113" t="s">
        <v>445</v>
      </c>
      <c r="E114" s="4"/>
      <c r="F114" s="4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</row>
    <row r="115">
      <c r="A115" s="124"/>
      <c r="B115" s="124"/>
      <c r="C115" s="124"/>
      <c r="D115" s="113" t="s">
        <v>328</v>
      </c>
      <c r="E115" s="4"/>
      <c r="F115" s="4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</row>
    <row r="116">
      <c r="A116" s="124"/>
      <c r="B116" s="124"/>
      <c r="C116" s="124"/>
      <c r="D116" s="113" t="s">
        <v>332</v>
      </c>
      <c r="E116" s="4"/>
      <c r="F116" s="4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</row>
    <row r="117">
      <c r="A117" s="124"/>
      <c r="B117" s="124"/>
      <c r="C117" s="124"/>
      <c r="D117" s="113" t="s">
        <v>344</v>
      </c>
      <c r="E117" s="4"/>
      <c r="F117" s="4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</row>
    <row r="118">
      <c r="A118" s="124"/>
      <c r="B118" s="124"/>
      <c r="C118" s="124"/>
      <c r="D118" s="113" t="s">
        <v>435</v>
      </c>
      <c r="E118" s="4"/>
      <c r="F118" s="4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</row>
    <row r="119">
      <c r="A119" s="124"/>
      <c r="B119" s="124"/>
      <c r="C119" s="113" t="s">
        <v>761</v>
      </c>
      <c r="D119" s="124"/>
      <c r="E119" s="4"/>
      <c r="F119" s="4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</row>
    <row r="120">
      <c r="A120" s="124"/>
      <c r="B120" s="124"/>
      <c r="C120" s="124"/>
      <c r="D120" s="113" t="s">
        <v>551</v>
      </c>
      <c r="E120" s="4"/>
      <c r="F120" s="4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</row>
    <row r="121">
      <c r="A121" s="124"/>
      <c r="B121" s="124"/>
      <c r="C121" s="124"/>
      <c r="D121" s="113" t="s">
        <v>606</v>
      </c>
      <c r="E121" s="4"/>
      <c r="F121" s="4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</row>
    <row r="122">
      <c r="A122" s="124"/>
      <c r="B122" s="124"/>
      <c r="C122" s="124"/>
      <c r="D122" s="113" t="s">
        <v>405</v>
      </c>
      <c r="E122" s="4"/>
      <c r="F122" s="4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</row>
    <row r="123">
      <c r="A123" s="124"/>
      <c r="B123" s="124"/>
      <c r="C123" s="124"/>
      <c r="D123" s="113" t="s">
        <v>762</v>
      </c>
      <c r="E123" s="4"/>
      <c r="F123" s="4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</row>
    <row r="124">
      <c r="A124" s="124"/>
      <c r="B124" s="124"/>
      <c r="C124" s="124"/>
      <c r="D124" s="113" t="s">
        <v>406</v>
      </c>
      <c r="E124" s="4"/>
      <c r="F124" s="4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</row>
    <row r="125">
      <c r="A125" s="124"/>
      <c r="B125" s="124"/>
      <c r="C125" s="113" t="s">
        <v>311</v>
      </c>
      <c r="D125" s="124"/>
      <c r="E125" s="4"/>
      <c r="F125" s="4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</row>
    <row r="126">
      <c r="A126" s="124"/>
      <c r="B126" s="124"/>
      <c r="C126" s="124"/>
      <c r="D126" s="113" t="s">
        <v>296</v>
      </c>
      <c r="E126" s="4"/>
      <c r="F126" s="4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</row>
    <row r="127">
      <c r="A127" s="124"/>
      <c r="B127" s="124"/>
      <c r="C127" s="124"/>
      <c r="D127" s="113" t="s">
        <v>763</v>
      </c>
      <c r="E127" s="4"/>
      <c r="F127" s="4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</row>
    <row r="128">
      <c r="A128" s="124"/>
      <c r="B128" s="124"/>
      <c r="C128" s="124"/>
      <c r="D128" s="113" t="s">
        <v>764</v>
      </c>
      <c r="E128" s="4"/>
      <c r="F128" s="4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</row>
    <row r="129">
      <c r="A129" s="124"/>
      <c r="B129" s="124"/>
      <c r="C129" s="124"/>
      <c r="D129" s="113" t="s">
        <v>498</v>
      </c>
      <c r="E129" s="4"/>
      <c r="F129" s="4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</row>
    <row r="130">
      <c r="A130" s="124"/>
      <c r="B130" s="124"/>
      <c r="C130" s="124"/>
      <c r="D130" s="113" t="s">
        <v>312</v>
      </c>
      <c r="E130" s="4"/>
      <c r="F130" s="4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</row>
    <row r="131">
      <c r="A131" s="124"/>
      <c r="B131" s="124"/>
      <c r="C131" s="124"/>
      <c r="D131" s="113" t="s">
        <v>533</v>
      </c>
      <c r="E131" s="4"/>
      <c r="F131" s="4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</row>
    <row r="132">
      <c r="A132" s="124"/>
      <c r="B132" s="124"/>
      <c r="C132" s="124"/>
      <c r="D132" s="113" t="s">
        <v>765</v>
      </c>
      <c r="E132" s="4"/>
      <c r="F132" s="4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</row>
    <row r="133">
      <c r="A133" s="124"/>
      <c r="B133" s="124"/>
      <c r="C133" s="124"/>
      <c r="D133" s="113" t="s">
        <v>766</v>
      </c>
      <c r="E133" s="4"/>
      <c r="F133" s="4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</row>
    <row r="134">
      <c r="A134" s="124"/>
      <c r="B134" s="124"/>
      <c r="C134" s="124"/>
      <c r="D134" s="113" t="s">
        <v>342</v>
      </c>
      <c r="E134" s="4"/>
      <c r="F134" s="4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</row>
    <row r="135">
      <c r="A135" s="124"/>
      <c r="B135" s="124"/>
      <c r="C135" s="113" t="s">
        <v>327</v>
      </c>
      <c r="D135" s="124"/>
      <c r="E135" s="4"/>
      <c r="F135" s="4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</row>
    <row r="136">
      <c r="A136" s="124"/>
      <c r="B136" s="124"/>
      <c r="C136" s="124"/>
      <c r="D136" s="113" t="s">
        <v>327</v>
      </c>
      <c r="E136" s="4"/>
      <c r="F136" s="4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</row>
    <row r="137">
      <c r="A137" s="124"/>
      <c r="B137" s="124"/>
      <c r="C137" s="124"/>
      <c r="D137" s="113" t="s">
        <v>504</v>
      </c>
      <c r="E137" s="4"/>
      <c r="F137" s="4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</row>
    <row r="138">
      <c r="A138" s="124"/>
      <c r="B138" s="124"/>
      <c r="C138" s="113" t="s">
        <v>767</v>
      </c>
      <c r="D138" s="124"/>
      <c r="E138" s="4"/>
      <c r="F138" s="4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</row>
    <row r="139">
      <c r="A139" s="124"/>
      <c r="B139" s="124"/>
      <c r="C139" s="124"/>
      <c r="D139" s="113" t="s">
        <v>584</v>
      </c>
      <c r="E139" s="4"/>
      <c r="F139" s="4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</row>
    <row r="140">
      <c r="A140" s="124"/>
      <c r="B140" s="124"/>
      <c r="C140" s="124"/>
      <c r="D140" s="113" t="s">
        <v>768</v>
      </c>
      <c r="E140" s="4"/>
      <c r="F140" s="4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</row>
    <row r="141">
      <c r="A141" s="124"/>
      <c r="B141" s="124"/>
      <c r="C141" s="124"/>
      <c r="D141" s="113" t="s">
        <v>769</v>
      </c>
      <c r="E141" s="4"/>
      <c r="F141" s="4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</row>
    <row r="142">
      <c r="A142" s="124"/>
      <c r="B142" s="124"/>
      <c r="C142" s="124"/>
      <c r="D142" s="113" t="s">
        <v>770</v>
      </c>
      <c r="E142" s="4"/>
      <c r="F142" s="4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</row>
    <row r="143">
      <c r="A143" s="124"/>
      <c r="B143" s="124"/>
      <c r="C143" s="124"/>
      <c r="D143" s="113" t="s">
        <v>771</v>
      </c>
      <c r="E143" s="4"/>
      <c r="F143" s="4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</row>
    <row r="144">
      <c r="A144" s="124"/>
      <c r="B144" s="124"/>
      <c r="C144" s="124"/>
      <c r="D144" s="113" t="s">
        <v>772</v>
      </c>
      <c r="E144" s="4"/>
      <c r="F144" s="4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</row>
    <row r="145">
      <c r="A145" s="124"/>
      <c r="B145" s="124"/>
      <c r="C145" s="124"/>
      <c r="D145" s="113" t="s">
        <v>773</v>
      </c>
      <c r="E145" s="4"/>
      <c r="F145" s="4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</row>
    <row r="146">
      <c r="A146" s="124"/>
      <c r="B146" s="124"/>
      <c r="C146" s="124"/>
      <c r="D146" s="113" t="s">
        <v>774</v>
      </c>
      <c r="E146" s="4"/>
      <c r="F146" s="4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</row>
    <row r="147">
      <c r="A147" s="124"/>
      <c r="B147" s="124"/>
      <c r="C147" s="124"/>
      <c r="D147" s="113" t="s">
        <v>775</v>
      </c>
      <c r="E147" s="4"/>
      <c r="F147" s="4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</row>
    <row r="148">
      <c r="A148" s="124"/>
      <c r="B148" s="124"/>
      <c r="C148" s="124"/>
      <c r="D148" s="113" t="s">
        <v>646</v>
      </c>
      <c r="E148" s="4"/>
      <c r="F148" s="4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</row>
    <row r="149">
      <c r="A149" s="124"/>
      <c r="B149" s="124"/>
      <c r="C149" s="124"/>
      <c r="D149" s="113" t="s">
        <v>776</v>
      </c>
      <c r="E149" s="4"/>
      <c r="F149" s="4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</row>
    <row r="150">
      <c r="A150" s="124"/>
      <c r="B150" s="124"/>
      <c r="C150" s="113" t="s">
        <v>777</v>
      </c>
      <c r="D150" s="124"/>
      <c r="E150" s="4"/>
      <c r="F150" s="4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</row>
    <row r="151">
      <c r="A151" s="124"/>
      <c r="B151" s="124"/>
      <c r="C151" s="124"/>
      <c r="D151" s="113" t="s">
        <v>718</v>
      </c>
      <c r="E151" s="4"/>
      <c r="F151" s="4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</row>
    <row r="152">
      <c r="A152" s="124"/>
      <c r="B152" s="124"/>
      <c r="C152" s="124"/>
      <c r="D152" s="113" t="s">
        <v>778</v>
      </c>
      <c r="E152" s="4"/>
      <c r="F152" s="4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</row>
    <row r="153">
      <c r="A153" s="124"/>
      <c r="B153" s="124"/>
      <c r="C153" s="124"/>
      <c r="D153" s="113" t="s">
        <v>779</v>
      </c>
      <c r="E153" s="4"/>
      <c r="F153" s="4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</row>
    <row r="154">
      <c r="A154" s="124"/>
      <c r="B154" s="124"/>
      <c r="C154" s="124"/>
      <c r="D154" s="113" t="s">
        <v>780</v>
      </c>
      <c r="E154" s="4"/>
      <c r="F154" s="4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</row>
    <row r="155">
      <c r="A155" s="124"/>
      <c r="B155" s="124"/>
      <c r="C155" s="113" t="s">
        <v>781</v>
      </c>
      <c r="D155" s="124"/>
      <c r="E155" s="4"/>
      <c r="F155" s="4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</row>
    <row r="156">
      <c r="A156" s="124"/>
      <c r="B156" s="124"/>
      <c r="C156" s="124"/>
      <c r="D156" s="113" t="s">
        <v>782</v>
      </c>
      <c r="E156" s="4"/>
      <c r="F156" s="4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</row>
    <row r="157">
      <c r="A157" s="124"/>
      <c r="B157" s="124"/>
      <c r="C157" s="124"/>
      <c r="D157" s="113" t="s">
        <v>783</v>
      </c>
      <c r="E157" s="4"/>
      <c r="F157" s="4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</row>
    <row r="158">
      <c r="A158" s="124"/>
      <c r="B158" s="124"/>
      <c r="C158" s="113" t="s">
        <v>347</v>
      </c>
      <c r="D158" s="124"/>
      <c r="E158" s="4"/>
      <c r="F158" s="4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</row>
    <row r="159">
      <c r="A159" s="124"/>
      <c r="B159" s="124"/>
      <c r="C159" s="124"/>
      <c r="D159" s="113" t="s">
        <v>347</v>
      </c>
      <c r="E159" s="4"/>
      <c r="F159" s="4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</row>
    <row r="160">
      <c r="A160" s="124"/>
      <c r="B160" s="124"/>
      <c r="C160" s="113" t="s">
        <v>784</v>
      </c>
      <c r="D160" s="124"/>
      <c r="E160" s="4"/>
      <c r="F160" s="4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</row>
    <row r="161">
      <c r="A161" s="124"/>
      <c r="B161" s="124"/>
      <c r="C161" s="124"/>
      <c r="D161" s="113" t="s">
        <v>785</v>
      </c>
      <c r="E161" s="4"/>
      <c r="F161" s="4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</row>
    <row r="162">
      <c r="A162" s="124"/>
      <c r="B162" s="124"/>
      <c r="C162" s="124"/>
      <c r="D162" s="113" t="s">
        <v>786</v>
      </c>
      <c r="E162" s="4"/>
      <c r="F162" s="4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</row>
    <row r="163">
      <c r="A163" s="124"/>
      <c r="B163" s="124"/>
      <c r="C163" s="124"/>
      <c r="D163" s="113" t="s">
        <v>468</v>
      </c>
      <c r="E163" s="4"/>
      <c r="F163" s="4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</row>
    <row r="164">
      <c r="A164" s="124"/>
      <c r="B164" s="124"/>
      <c r="C164" s="124"/>
      <c r="D164" s="113" t="s">
        <v>516</v>
      </c>
      <c r="E164" s="4"/>
      <c r="F164" s="4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</row>
    <row r="165">
      <c r="A165" s="124"/>
      <c r="B165" s="124"/>
      <c r="C165" s="113" t="s">
        <v>523</v>
      </c>
      <c r="D165" s="124"/>
      <c r="E165" s="4"/>
      <c r="F165" s="4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</row>
    <row r="166">
      <c r="A166" s="124"/>
      <c r="B166" s="124"/>
      <c r="C166" s="124"/>
      <c r="D166" s="113" t="s">
        <v>787</v>
      </c>
      <c r="E166" s="4"/>
      <c r="F166" s="4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</row>
    <row r="167">
      <c r="A167" s="124"/>
      <c r="B167" s="124"/>
      <c r="C167" s="124"/>
      <c r="D167" s="113" t="s">
        <v>523</v>
      </c>
      <c r="E167" s="4"/>
      <c r="F167" s="4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</row>
    <row r="168">
      <c r="A168" s="124"/>
      <c r="B168" s="124"/>
      <c r="C168" s="113" t="s">
        <v>455</v>
      </c>
      <c r="D168" s="124"/>
      <c r="E168" s="4"/>
      <c r="F168" s="4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</row>
    <row r="169">
      <c r="A169" s="124"/>
      <c r="B169" s="124"/>
      <c r="C169" s="124"/>
      <c r="D169" s="113" t="s">
        <v>788</v>
      </c>
      <c r="E169" s="4"/>
      <c r="F169" s="4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</row>
    <row r="170">
      <c r="A170" s="124"/>
      <c r="B170" s="124"/>
      <c r="C170" s="124"/>
      <c r="D170" s="113" t="s">
        <v>789</v>
      </c>
      <c r="E170" s="4"/>
      <c r="F170" s="4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</row>
    <row r="171">
      <c r="A171" s="124"/>
      <c r="B171" s="124"/>
      <c r="C171" s="124"/>
      <c r="D171" s="113" t="s">
        <v>790</v>
      </c>
      <c r="E171" s="4"/>
      <c r="F171" s="4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</row>
    <row r="172">
      <c r="A172" s="124"/>
      <c r="B172" s="124"/>
      <c r="C172" s="124"/>
      <c r="D172" s="113" t="s">
        <v>791</v>
      </c>
      <c r="E172" s="4"/>
      <c r="F172" s="4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</row>
    <row r="173">
      <c r="A173" s="124"/>
      <c r="B173" s="124"/>
      <c r="C173" s="124"/>
      <c r="D173" s="113" t="s">
        <v>300</v>
      </c>
      <c r="E173" s="4"/>
      <c r="F173" s="4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</row>
    <row r="174">
      <c r="A174" s="124"/>
      <c r="B174" s="124"/>
      <c r="C174" s="124"/>
      <c r="D174" s="113" t="s">
        <v>792</v>
      </c>
      <c r="E174" s="4"/>
      <c r="F174" s="4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</row>
    <row r="175">
      <c r="A175" s="124"/>
      <c r="B175" s="124"/>
      <c r="C175" s="124"/>
      <c r="D175" s="113" t="s">
        <v>793</v>
      </c>
      <c r="E175" s="4"/>
      <c r="F175" s="4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</row>
    <row r="176">
      <c r="A176" s="124"/>
      <c r="B176" s="124"/>
      <c r="C176" s="124"/>
      <c r="D176" s="113" t="s">
        <v>565</v>
      </c>
      <c r="E176" s="4"/>
      <c r="F176" s="4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</row>
    <row r="177">
      <c r="A177" s="124"/>
      <c r="B177" s="124"/>
      <c r="C177" s="124"/>
      <c r="D177" s="113" t="s">
        <v>671</v>
      </c>
      <c r="E177" s="4"/>
      <c r="F177" s="4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</row>
    <row r="178">
      <c r="A178" s="124"/>
      <c r="B178" s="124"/>
      <c r="C178" s="124"/>
      <c r="D178" s="113" t="s">
        <v>444</v>
      </c>
      <c r="E178" s="4"/>
      <c r="F178" s="4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</row>
    <row r="179">
      <c r="A179" s="124"/>
      <c r="B179" s="124"/>
      <c r="C179" s="124"/>
      <c r="D179" s="113" t="s">
        <v>794</v>
      </c>
      <c r="E179" s="4"/>
      <c r="F179" s="4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</row>
    <row r="180">
      <c r="A180" s="124"/>
      <c r="B180" s="124"/>
      <c r="C180" s="124"/>
      <c r="D180" s="113" t="s">
        <v>795</v>
      </c>
      <c r="E180" s="4"/>
      <c r="F180" s="4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</row>
    <row r="181">
      <c r="A181" s="124"/>
      <c r="B181" s="124"/>
      <c r="C181" s="124"/>
      <c r="D181" s="113" t="s">
        <v>796</v>
      </c>
      <c r="E181" s="4"/>
      <c r="F181" s="4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</row>
    <row r="182">
      <c r="A182" s="124"/>
      <c r="B182" s="124"/>
      <c r="C182" s="124"/>
      <c r="D182" s="113" t="s">
        <v>797</v>
      </c>
      <c r="E182" s="4"/>
      <c r="F182" s="4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</row>
    <row r="183">
      <c r="A183" s="124"/>
      <c r="B183" s="124"/>
      <c r="C183" s="124"/>
      <c r="D183" s="113" t="s">
        <v>587</v>
      </c>
      <c r="E183" s="4"/>
      <c r="F183" s="4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</row>
    <row r="184">
      <c r="A184" s="124"/>
      <c r="B184" s="124"/>
      <c r="C184" s="124"/>
      <c r="D184" s="113" t="s">
        <v>798</v>
      </c>
      <c r="E184" s="4"/>
      <c r="F184" s="4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</row>
    <row r="185">
      <c r="A185" s="124"/>
      <c r="B185" s="124"/>
      <c r="C185" s="124"/>
      <c r="D185" s="113" t="s">
        <v>799</v>
      </c>
      <c r="E185" s="4"/>
      <c r="F185" s="4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</row>
    <row r="186">
      <c r="A186" s="124"/>
      <c r="B186" s="113" t="s">
        <v>800</v>
      </c>
      <c r="C186" s="124"/>
      <c r="D186" s="124"/>
      <c r="E186" s="4"/>
      <c r="F186" s="4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</row>
    <row r="187">
      <c r="A187" s="124"/>
      <c r="B187" s="124"/>
      <c r="C187" s="113" t="s">
        <v>751</v>
      </c>
      <c r="D187" s="124"/>
      <c r="E187" s="4"/>
      <c r="F187" s="4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</row>
    <row r="188">
      <c r="A188" s="124"/>
      <c r="B188" s="124"/>
      <c r="C188" s="124"/>
      <c r="D188" s="113" t="s">
        <v>445</v>
      </c>
      <c r="E188" s="4"/>
      <c r="F188" s="4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</row>
    <row r="189">
      <c r="A189" s="124"/>
      <c r="B189" s="124"/>
      <c r="C189" s="124"/>
      <c r="D189" s="113" t="s">
        <v>801</v>
      </c>
      <c r="E189" s="4"/>
      <c r="F189" s="4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</row>
    <row r="190">
      <c r="A190" s="124"/>
      <c r="B190" s="124"/>
      <c r="C190" s="124"/>
      <c r="D190" s="113" t="s">
        <v>802</v>
      </c>
      <c r="E190" s="4"/>
      <c r="F190" s="4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</row>
    <row r="191">
      <c r="A191" s="124"/>
      <c r="B191" s="124"/>
      <c r="C191" s="124"/>
      <c r="D191" s="113" t="s">
        <v>328</v>
      </c>
      <c r="E191" s="4"/>
      <c r="F191" s="4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</row>
    <row r="192">
      <c r="A192" s="124"/>
      <c r="B192" s="124"/>
      <c r="C192" s="124"/>
      <c r="D192" s="113" t="s">
        <v>406</v>
      </c>
      <c r="E192" s="4"/>
      <c r="F192" s="4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</row>
    <row r="193">
      <c r="A193" s="124"/>
      <c r="B193" s="124"/>
      <c r="C193" s="124"/>
      <c r="D193" s="113" t="s">
        <v>435</v>
      </c>
      <c r="E193" s="4"/>
      <c r="F193" s="4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</row>
    <row r="194">
      <c r="A194" s="124"/>
      <c r="B194" s="124"/>
      <c r="C194" s="113" t="s">
        <v>803</v>
      </c>
      <c r="D194" s="124"/>
      <c r="E194" s="4"/>
      <c r="F194" s="4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</row>
    <row r="195">
      <c r="A195" s="124"/>
      <c r="B195" s="124"/>
      <c r="C195" s="124"/>
      <c r="D195" s="113" t="s">
        <v>804</v>
      </c>
      <c r="E195" s="4"/>
      <c r="F195" s="4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</row>
    <row r="196">
      <c r="A196" s="124"/>
      <c r="B196" s="124"/>
      <c r="C196" s="124"/>
      <c r="D196" s="113" t="s">
        <v>805</v>
      </c>
      <c r="E196" s="4"/>
      <c r="F196" s="4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</row>
    <row r="197">
      <c r="A197" s="124"/>
      <c r="B197" s="124"/>
      <c r="C197" s="124"/>
      <c r="D197" s="113" t="s">
        <v>321</v>
      </c>
      <c r="E197" s="4"/>
      <c r="F197" s="4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</row>
    <row r="198">
      <c r="A198" s="124"/>
      <c r="B198" s="124"/>
      <c r="C198" s="124"/>
      <c r="D198" s="113" t="s">
        <v>806</v>
      </c>
      <c r="E198" s="4"/>
      <c r="F198" s="4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</row>
    <row r="199">
      <c r="A199" s="124"/>
      <c r="B199" s="124"/>
      <c r="C199" s="124"/>
      <c r="D199" s="113" t="s">
        <v>762</v>
      </c>
      <c r="E199" s="4"/>
      <c r="F199" s="4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</row>
    <row r="200">
      <c r="A200" s="124"/>
      <c r="B200" s="124"/>
      <c r="C200" s="113" t="s">
        <v>311</v>
      </c>
      <c r="D200" s="124"/>
      <c r="E200" s="4"/>
      <c r="F200" s="4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</row>
    <row r="201">
      <c r="A201" s="124"/>
      <c r="B201" s="124"/>
      <c r="C201" s="124"/>
      <c r="D201" s="113" t="s">
        <v>296</v>
      </c>
      <c r="E201" s="4"/>
      <c r="F201" s="4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</row>
    <row r="202">
      <c r="A202" s="124"/>
      <c r="B202" s="124"/>
      <c r="C202" s="124"/>
      <c r="D202" s="113" t="s">
        <v>498</v>
      </c>
      <c r="E202" s="4"/>
      <c r="F202" s="4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</row>
    <row r="203">
      <c r="A203" s="124"/>
      <c r="B203" s="124"/>
      <c r="C203" s="124"/>
      <c r="D203" s="113" t="s">
        <v>405</v>
      </c>
      <c r="E203" s="4"/>
      <c r="F203" s="4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</row>
    <row r="204">
      <c r="A204" s="124"/>
      <c r="B204" s="124"/>
      <c r="C204" s="124"/>
      <c r="D204" s="113" t="s">
        <v>312</v>
      </c>
      <c r="E204" s="4"/>
      <c r="F204" s="4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</row>
    <row r="205">
      <c r="A205" s="124"/>
      <c r="B205" s="124"/>
      <c r="C205" s="124"/>
      <c r="D205" s="113" t="s">
        <v>422</v>
      </c>
      <c r="E205" s="4"/>
      <c r="F205" s="4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</row>
    <row r="206">
      <c r="A206" s="124"/>
      <c r="B206" s="124"/>
      <c r="C206" s="124"/>
      <c r="D206" s="113" t="s">
        <v>774</v>
      </c>
      <c r="E206" s="4"/>
      <c r="F206" s="4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</row>
    <row r="207">
      <c r="A207" s="124"/>
      <c r="B207" s="124"/>
      <c r="C207" s="124"/>
      <c r="D207" s="113" t="s">
        <v>533</v>
      </c>
      <c r="E207" s="4"/>
      <c r="F207" s="4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</row>
    <row r="208">
      <c r="A208" s="124"/>
      <c r="B208" s="124"/>
      <c r="C208" s="124"/>
      <c r="D208" s="113" t="s">
        <v>539</v>
      </c>
      <c r="E208" s="4"/>
      <c r="F208" s="4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</row>
    <row r="209">
      <c r="A209" s="124"/>
      <c r="B209" s="124"/>
      <c r="C209" s="124"/>
      <c r="D209" s="113" t="s">
        <v>546</v>
      </c>
      <c r="E209" s="4"/>
      <c r="F209" s="4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</row>
    <row r="210">
      <c r="A210" s="124"/>
      <c r="B210" s="124"/>
      <c r="C210" s="124"/>
      <c r="D210" s="113" t="s">
        <v>436</v>
      </c>
      <c r="E210" s="4"/>
      <c r="F210" s="4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</row>
    <row r="211">
      <c r="A211" s="124"/>
      <c r="B211" s="124"/>
      <c r="C211" s="124"/>
      <c r="D211" s="113" t="s">
        <v>329</v>
      </c>
      <c r="E211" s="4"/>
      <c r="F211" s="4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</row>
    <row r="212">
      <c r="A212" s="124"/>
      <c r="B212" s="124"/>
      <c r="C212" s="124"/>
      <c r="D212" s="113" t="s">
        <v>342</v>
      </c>
      <c r="E212" s="4"/>
      <c r="F212" s="4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</row>
    <row r="213">
      <c r="A213" s="124"/>
      <c r="B213" s="124"/>
      <c r="C213" s="113" t="s">
        <v>327</v>
      </c>
      <c r="D213" s="124"/>
      <c r="E213" s="4"/>
      <c r="F213" s="4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</row>
    <row r="214">
      <c r="A214" s="124"/>
      <c r="B214" s="124"/>
      <c r="C214" s="124"/>
      <c r="D214" s="113" t="s">
        <v>327</v>
      </c>
      <c r="E214" s="4"/>
      <c r="F214" s="4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</row>
    <row r="215">
      <c r="A215" s="124"/>
      <c r="B215" s="124"/>
      <c r="C215" s="124"/>
      <c r="D215" s="113" t="s">
        <v>504</v>
      </c>
      <c r="E215" s="4"/>
      <c r="F215" s="4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</row>
    <row r="216">
      <c r="A216" s="124"/>
      <c r="B216" s="124"/>
      <c r="C216" s="113" t="s">
        <v>753</v>
      </c>
      <c r="D216" s="124"/>
      <c r="E216" s="4"/>
      <c r="F216" s="4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</row>
    <row r="217">
      <c r="A217" s="124"/>
      <c r="B217" s="124"/>
      <c r="C217" s="124"/>
      <c r="D217" s="113" t="s">
        <v>444</v>
      </c>
      <c r="E217" s="4"/>
      <c r="F217" s="4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</row>
    <row r="218">
      <c r="A218" s="124"/>
      <c r="B218" s="124"/>
      <c r="C218" s="124"/>
      <c r="D218" s="113" t="s">
        <v>587</v>
      </c>
      <c r="E218" s="4"/>
      <c r="F218" s="4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</row>
    <row r="219">
      <c r="A219" s="124"/>
      <c r="B219" s="124"/>
      <c r="C219" s="113" t="s">
        <v>767</v>
      </c>
      <c r="D219" s="124"/>
      <c r="E219" s="4"/>
      <c r="F219" s="4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</row>
    <row r="220">
      <c r="A220" s="124"/>
      <c r="B220" s="124"/>
      <c r="C220" s="124"/>
      <c r="D220" s="113" t="s">
        <v>807</v>
      </c>
      <c r="E220" s="4"/>
      <c r="F220" s="4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</row>
    <row r="221">
      <c r="A221" s="124"/>
      <c r="B221" s="124"/>
      <c r="C221" s="124"/>
      <c r="D221" s="113" t="s">
        <v>584</v>
      </c>
      <c r="E221" s="4"/>
      <c r="F221" s="4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</row>
    <row r="222">
      <c r="A222" s="124"/>
      <c r="B222" s="124"/>
      <c r="C222" s="124"/>
      <c r="D222" s="113" t="s">
        <v>808</v>
      </c>
      <c r="E222" s="4"/>
      <c r="F222" s="4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</row>
    <row r="223">
      <c r="A223" s="124"/>
      <c r="B223" s="124"/>
      <c r="C223" s="124"/>
      <c r="D223" s="113" t="s">
        <v>769</v>
      </c>
      <c r="E223" s="4"/>
      <c r="F223" s="4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</row>
    <row r="224">
      <c r="A224" s="124"/>
      <c r="B224" s="124"/>
      <c r="C224" s="124"/>
      <c r="D224" s="113" t="s">
        <v>772</v>
      </c>
      <c r="E224" s="4"/>
      <c r="F224" s="4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</row>
    <row r="225">
      <c r="A225" s="124"/>
      <c r="B225" s="124"/>
      <c r="C225" s="124"/>
      <c r="D225" s="113" t="s">
        <v>773</v>
      </c>
      <c r="E225" s="4"/>
      <c r="F225" s="4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</row>
    <row r="226">
      <c r="A226" s="124"/>
      <c r="B226" s="124"/>
      <c r="C226" s="124"/>
      <c r="D226" s="113" t="s">
        <v>809</v>
      </c>
      <c r="E226" s="4"/>
      <c r="F226" s="4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</row>
    <row r="227">
      <c r="A227" s="124"/>
      <c r="B227" s="124"/>
      <c r="C227" s="124"/>
      <c r="D227" s="113" t="s">
        <v>810</v>
      </c>
      <c r="E227" s="4"/>
      <c r="F227" s="4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</row>
    <row r="228">
      <c r="A228" s="124"/>
      <c r="B228" s="124"/>
      <c r="C228" s="124"/>
      <c r="D228" s="113" t="s">
        <v>646</v>
      </c>
      <c r="E228" s="4"/>
      <c r="F228" s="4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</row>
    <row r="229">
      <c r="A229" s="124"/>
      <c r="B229" s="124"/>
      <c r="C229" s="113" t="s">
        <v>777</v>
      </c>
      <c r="D229" s="124"/>
      <c r="E229" s="4"/>
      <c r="F229" s="4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</row>
    <row r="230">
      <c r="A230" s="124"/>
      <c r="B230" s="124"/>
      <c r="C230" s="124"/>
      <c r="D230" s="113" t="s">
        <v>718</v>
      </c>
      <c r="E230" s="4"/>
      <c r="F230" s="4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</row>
    <row r="231">
      <c r="A231" s="124"/>
      <c r="B231" s="124"/>
      <c r="C231" s="124"/>
      <c r="D231" s="113" t="s">
        <v>778</v>
      </c>
      <c r="E231" s="4"/>
      <c r="F231" s="4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</row>
    <row r="232">
      <c r="A232" s="124"/>
      <c r="B232" s="124"/>
      <c r="C232" s="124"/>
      <c r="D232" s="113" t="s">
        <v>779</v>
      </c>
      <c r="E232" s="4"/>
      <c r="F232" s="4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</row>
    <row r="233">
      <c r="A233" s="124"/>
      <c r="B233" s="124"/>
      <c r="C233" s="124"/>
      <c r="D233" s="113" t="s">
        <v>780</v>
      </c>
      <c r="E233" s="4"/>
      <c r="F233" s="4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</row>
    <row r="234">
      <c r="A234" s="124"/>
      <c r="B234" s="124"/>
      <c r="C234" s="113" t="s">
        <v>781</v>
      </c>
      <c r="D234" s="124"/>
      <c r="E234" s="4"/>
      <c r="F234" s="4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</row>
    <row r="235">
      <c r="A235" s="124"/>
      <c r="B235" s="124"/>
      <c r="C235" s="124"/>
      <c r="D235" s="113" t="s">
        <v>782</v>
      </c>
      <c r="E235" s="4"/>
      <c r="F235" s="4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</row>
    <row r="236">
      <c r="A236" s="124"/>
      <c r="B236" s="124"/>
      <c r="C236" s="124"/>
      <c r="D236" s="113" t="s">
        <v>783</v>
      </c>
      <c r="E236" s="4"/>
      <c r="F236" s="4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</row>
    <row r="237">
      <c r="A237" s="124"/>
      <c r="B237" s="124"/>
      <c r="C237" s="113" t="s">
        <v>347</v>
      </c>
      <c r="D237" s="124"/>
      <c r="E237" s="4"/>
      <c r="F237" s="4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</row>
    <row r="238">
      <c r="A238" s="124"/>
      <c r="B238" s="124"/>
      <c r="C238" s="124"/>
      <c r="D238" s="113" t="s">
        <v>347</v>
      </c>
      <c r="E238" s="4"/>
      <c r="F238" s="4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</row>
    <row r="239">
      <c r="A239" s="124"/>
      <c r="B239" s="124"/>
      <c r="C239" s="113" t="s">
        <v>755</v>
      </c>
      <c r="D239" s="124"/>
      <c r="E239" s="4"/>
      <c r="F239" s="4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</row>
    <row r="240">
      <c r="A240" s="124"/>
      <c r="B240" s="124"/>
      <c r="C240" s="124"/>
      <c r="D240" s="113" t="s">
        <v>315</v>
      </c>
      <c r="E240" s="4"/>
      <c r="F240" s="4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</row>
    <row r="241">
      <c r="A241" s="124"/>
      <c r="B241" s="124"/>
      <c r="C241" s="113" t="s">
        <v>523</v>
      </c>
      <c r="D241" s="124"/>
      <c r="E241" s="4"/>
      <c r="F241" s="4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</row>
    <row r="242">
      <c r="A242" s="124"/>
      <c r="B242" s="124"/>
      <c r="C242" s="124"/>
      <c r="D242" s="113" t="s">
        <v>787</v>
      </c>
      <c r="E242" s="4"/>
      <c r="F242" s="4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</row>
    <row r="243">
      <c r="A243" s="124"/>
      <c r="B243" s="124"/>
      <c r="C243" s="124"/>
      <c r="D243" s="113" t="s">
        <v>523</v>
      </c>
      <c r="E243" s="4"/>
      <c r="F243" s="4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</row>
    <row r="244">
      <c r="A244" s="124"/>
      <c r="B244" s="124"/>
      <c r="C244" s="113" t="s">
        <v>455</v>
      </c>
      <c r="D244" s="124"/>
      <c r="E244" s="4"/>
      <c r="F244" s="4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</row>
    <row r="245">
      <c r="A245" s="124"/>
      <c r="B245" s="124"/>
      <c r="C245" s="124"/>
      <c r="D245" s="113" t="s">
        <v>811</v>
      </c>
      <c r="E245" s="4"/>
      <c r="F245" s="4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</row>
    <row r="246">
      <c r="A246" s="124"/>
      <c r="B246" s="124"/>
      <c r="C246" s="124"/>
      <c r="D246" s="113" t="s">
        <v>524</v>
      </c>
      <c r="E246" s="4"/>
      <c r="F246" s="4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</row>
    <row r="247">
      <c r="A247" s="124"/>
      <c r="B247" s="124"/>
      <c r="C247" s="124"/>
      <c r="D247" s="113" t="s">
        <v>300</v>
      </c>
      <c r="E247" s="4"/>
      <c r="F247" s="4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</row>
    <row r="248">
      <c r="A248" s="124"/>
      <c r="B248" s="124"/>
      <c r="C248" s="124"/>
      <c r="D248" s="113" t="s">
        <v>565</v>
      </c>
      <c r="E248" s="4"/>
      <c r="F248" s="4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</row>
    <row r="249">
      <c r="A249" s="124"/>
      <c r="B249" s="124"/>
      <c r="C249" s="124"/>
      <c r="D249" s="113" t="s">
        <v>747</v>
      </c>
      <c r="E249" s="4"/>
      <c r="F249" s="4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</row>
    <row r="250">
      <c r="A250" s="124"/>
      <c r="B250" s="124"/>
      <c r="C250" s="124"/>
      <c r="D250" s="113" t="s">
        <v>796</v>
      </c>
      <c r="E250" s="4"/>
      <c r="F250" s="4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</row>
    <row r="251">
      <c r="A251" s="124"/>
      <c r="B251" s="124"/>
      <c r="C251" s="124"/>
      <c r="D251" s="113" t="s">
        <v>812</v>
      </c>
      <c r="E251" s="4"/>
      <c r="F251" s="4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</row>
    <row r="252">
      <c r="A252" s="124"/>
      <c r="B252" s="124"/>
      <c r="C252" s="124"/>
      <c r="D252" s="113" t="s">
        <v>813</v>
      </c>
      <c r="E252" s="4"/>
      <c r="F252" s="4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</row>
    <row r="253">
      <c r="A253" s="124"/>
      <c r="B253" s="124"/>
      <c r="C253" s="124"/>
      <c r="D253" s="113" t="s">
        <v>814</v>
      </c>
      <c r="E253" s="4"/>
      <c r="F253" s="4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</row>
    <row r="254">
      <c r="A254" s="110" t="s">
        <v>269</v>
      </c>
      <c r="B254" s="125"/>
      <c r="C254" s="125"/>
      <c r="D254" s="125"/>
      <c r="E254" s="4"/>
      <c r="F254" s="4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</row>
    <row r="255">
      <c r="A255" s="125"/>
      <c r="B255" s="110" t="s">
        <v>815</v>
      </c>
      <c r="C255" s="125"/>
      <c r="D255" s="125"/>
      <c r="E255" s="4"/>
      <c r="F255" s="4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</row>
    <row r="256">
      <c r="A256" s="125"/>
      <c r="B256" s="125"/>
      <c r="C256" s="110" t="s">
        <v>741</v>
      </c>
      <c r="D256" s="125"/>
      <c r="E256" s="4"/>
      <c r="F256" s="4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</row>
    <row r="257">
      <c r="A257" s="125"/>
      <c r="B257" s="125"/>
      <c r="C257" s="125"/>
      <c r="D257" s="110" t="s">
        <v>295</v>
      </c>
      <c r="E257" s="4"/>
      <c r="F257" s="4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</row>
    <row r="258">
      <c r="A258" s="125"/>
      <c r="B258" s="125"/>
      <c r="C258" s="125"/>
      <c r="D258" s="110" t="s">
        <v>297</v>
      </c>
      <c r="E258" s="4"/>
      <c r="F258" s="4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</row>
    <row r="259">
      <c r="A259" s="125"/>
      <c r="B259" s="125"/>
      <c r="C259" s="125"/>
      <c r="D259" s="110" t="s">
        <v>328</v>
      </c>
      <c r="E259" s="4"/>
      <c r="F259" s="4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</row>
    <row r="260">
      <c r="A260" s="125"/>
      <c r="B260" s="125"/>
      <c r="C260" s="125"/>
      <c r="D260" s="110" t="s">
        <v>332</v>
      </c>
      <c r="E260" s="4"/>
      <c r="F260" s="4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</row>
    <row r="261">
      <c r="A261" s="125"/>
      <c r="B261" s="125"/>
      <c r="C261" s="125"/>
      <c r="D261" s="110" t="s">
        <v>348</v>
      </c>
      <c r="E261" s="4"/>
      <c r="F261" s="4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</row>
    <row r="262">
      <c r="A262" s="125"/>
      <c r="B262" s="125"/>
      <c r="C262" s="125"/>
      <c r="D262" s="110" t="s">
        <v>360</v>
      </c>
      <c r="E262" s="4"/>
      <c r="F262" s="4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</row>
    <row r="263">
      <c r="A263" s="125"/>
      <c r="B263" s="125"/>
      <c r="C263" s="125"/>
      <c r="D263" s="110" t="s">
        <v>350</v>
      </c>
      <c r="E263" s="4"/>
      <c r="F263" s="4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</row>
    <row r="264">
      <c r="A264" s="125"/>
      <c r="B264" s="125"/>
      <c r="C264" s="110" t="s">
        <v>816</v>
      </c>
      <c r="D264" s="125"/>
      <c r="E264" s="4"/>
      <c r="F264" s="4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</row>
    <row r="265">
      <c r="A265" s="125"/>
      <c r="B265" s="125"/>
      <c r="C265" s="125"/>
      <c r="D265" s="110" t="s">
        <v>379</v>
      </c>
      <c r="E265" s="4"/>
      <c r="F265" s="4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</row>
    <row r="266">
      <c r="A266" s="125"/>
      <c r="B266" s="125"/>
      <c r="C266" s="125"/>
      <c r="D266" s="110" t="s">
        <v>392</v>
      </c>
      <c r="E266" s="4"/>
      <c r="F266" s="4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</row>
    <row r="267">
      <c r="A267" s="125"/>
      <c r="B267" s="125"/>
      <c r="C267" s="125"/>
      <c r="D267" s="110" t="s">
        <v>402</v>
      </c>
      <c r="E267" s="4"/>
      <c r="F267" s="4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</row>
    <row r="268">
      <c r="A268" s="125"/>
      <c r="B268" s="125"/>
      <c r="C268" s="125"/>
      <c r="D268" s="110" t="s">
        <v>424</v>
      </c>
      <c r="E268" s="4"/>
      <c r="F268" s="4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</row>
    <row r="269">
      <c r="A269" s="125"/>
      <c r="B269" s="125"/>
      <c r="C269" s="125"/>
      <c r="D269" s="110" t="s">
        <v>432</v>
      </c>
      <c r="E269" s="4"/>
      <c r="F269" s="4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</row>
    <row r="270">
      <c r="A270" s="125"/>
      <c r="B270" s="125"/>
      <c r="C270" s="125"/>
      <c r="D270" s="110" t="s">
        <v>313</v>
      </c>
      <c r="E270" s="4"/>
      <c r="F270" s="4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</row>
    <row r="271">
      <c r="A271" s="125"/>
      <c r="B271" s="125"/>
      <c r="C271" s="125"/>
      <c r="D271" s="110" t="s">
        <v>420</v>
      </c>
      <c r="E271" s="4"/>
      <c r="F271" s="4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</row>
    <row r="272">
      <c r="A272" s="125"/>
      <c r="B272" s="125"/>
      <c r="C272" s="125"/>
      <c r="D272" s="110" t="s">
        <v>453</v>
      </c>
      <c r="E272" s="4"/>
      <c r="F272" s="4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</row>
    <row r="273">
      <c r="A273" s="125"/>
      <c r="B273" s="125"/>
      <c r="C273" s="125"/>
      <c r="D273" s="110" t="s">
        <v>457</v>
      </c>
      <c r="E273" s="4"/>
      <c r="F273" s="4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</row>
    <row r="274">
      <c r="A274" s="125"/>
      <c r="B274" s="125"/>
      <c r="C274" s="125"/>
      <c r="D274" s="110" t="s">
        <v>427</v>
      </c>
      <c r="E274" s="4"/>
      <c r="F274" s="4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</row>
    <row r="275">
      <c r="A275" s="125"/>
      <c r="B275" s="125"/>
      <c r="C275" s="125"/>
      <c r="D275" s="110" t="s">
        <v>449</v>
      </c>
      <c r="E275" s="4"/>
      <c r="F275" s="4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</row>
    <row r="276">
      <c r="A276" s="125"/>
      <c r="B276" s="125"/>
      <c r="C276" s="125"/>
      <c r="D276" s="110" t="s">
        <v>405</v>
      </c>
      <c r="E276" s="4"/>
      <c r="F276" s="4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</row>
    <row r="277">
      <c r="A277" s="125"/>
      <c r="B277" s="125"/>
      <c r="C277" s="125"/>
      <c r="D277" s="110" t="s">
        <v>491</v>
      </c>
      <c r="E277" s="4"/>
      <c r="F277" s="4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</row>
    <row r="278">
      <c r="A278" s="125"/>
      <c r="B278" s="125"/>
      <c r="C278" s="125"/>
      <c r="D278" s="110" t="s">
        <v>500</v>
      </c>
      <c r="E278" s="4"/>
      <c r="F278" s="4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</row>
    <row r="279">
      <c r="A279" s="125"/>
      <c r="B279" s="125"/>
      <c r="C279" s="125"/>
      <c r="D279" s="110" t="s">
        <v>511</v>
      </c>
      <c r="E279" s="4"/>
      <c r="F279" s="4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</row>
    <row r="280">
      <c r="A280" s="125"/>
      <c r="B280" s="125"/>
      <c r="C280" s="125"/>
      <c r="D280" s="110" t="s">
        <v>516</v>
      </c>
      <c r="E280" s="4"/>
      <c r="F280" s="4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</row>
    <row r="281">
      <c r="A281" s="125"/>
      <c r="B281" s="125"/>
      <c r="C281" s="125"/>
      <c r="D281" s="110" t="s">
        <v>526</v>
      </c>
      <c r="E281" s="4"/>
      <c r="F281" s="4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</row>
    <row r="282">
      <c r="A282" s="125"/>
      <c r="B282" s="125"/>
      <c r="C282" s="110" t="s">
        <v>311</v>
      </c>
      <c r="D282" s="125"/>
      <c r="E282" s="4"/>
      <c r="F282" s="4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</row>
    <row r="283">
      <c r="A283" s="125"/>
      <c r="B283" s="125"/>
      <c r="C283" s="125"/>
      <c r="D283" s="110" t="s">
        <v>296</v>
      </c>
      <c r="E283" s="4"/>
      <c r="F283" s="4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</row>
    <row r="284">
      <c r="A284" s="125"/>
      <c r="B284" s="125"/>
      <c r="C284" s="125"/>
      <c r="D284" s="110" t="s">
        <v>529</v>
      </c>
      <c r="E284" s="4"/>
      <c r="F284" s="4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</row>
    <row r="285">
      <c r="A285" s="125"/>
      <c r="B285" s="125"/>
      <c r="C285" s="125"/>
      <c r="D285" s="110" t="s">
        <v>312</v>
      </c>
      <c r="E285" s="4"/>
      <c r="F285" s="4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</row>
    <row r="286">
      <c r="A286" s="125"/>
      <c r="B286" s="125"/>
      <c r="C286" s="125"/>
      <c r="D286" s="110" t="s">
        <v>563</v>
      </c>
      <c r="E286" s="4"/>
      <c r="F286" s="4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</row>
    <row r="287">
      <c r="A287" s="125"/>
      <c r="B287" s="125"/>
      <c r="C287" s="125"/>
      <c r="D287" s="110" t="s">
        <v>468</v>
      </c>
      <c r="E287" s="4"/>
      <c r="F287" s="4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</row>
    <row r="288">
      <c r="A288" s="125"/>
      <c r="B288" s="125"/>
      <c r="C288" s="125"/>
      <c r="D288" s="110" t="s">
        <v>329</v>
      </c>
      <c r="E288" s="4"/>
      <c r="F288" s="4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</row>
    <row r="289">
      <c r="A289" s="125"/>
      <c r="B289" s="125"/>
      <c r="C289" s="125"/>
      <c r="D289" s="110" t="s">
        <v>342</v>
      </c>
      <c r="E289" s="4"/>
      <c r="F289" s="4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</row>
    <row r="290">
      <c r="A290" s="125"/>
      <c r="B290" s="125"/>
      <c r="C290" s="110" t="s">
        <v>327</v>
      </c>
      <c r="D290" s="125"/>
      <c r="E290" s="4"/>
      <c r="F290" s="4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</row>
    <row r="291">
      <c r="A291" s="125"/>
      <c r="B291" s="125"/>
      <c r="C291" s="125"/>
      <c r="D291" s="110" t="s">
        <v>327</v>
      </c>
      <c r="E291" s="4"/>
      <c r="F291" s="4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</row>
    <row r="292">
      <c r="A292" s="125"/>
      <c r="B292" s="125"/>
      <c r="C292" s="125"/>
      <c r="D292" s="110" t="s">
        <v>504</v>
      </c>
      <c r="E292" s="4"/>
      <c r="F292" s="4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</row>
    <row r="293">
      <c r="A293" s="125"/>
      <c r="B293" s="125"/>
      <c r="C293" s="110" t="s">
        <v>308</v>
      </c>
      <c r="D293" s="125"/>
      <c r="E293" s="4"/>
      <c r="F293" s="4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</row>
    <row r="294">
      <c r="A294" s="125"/>
      <c r="B294" s="125"/>
      <c r="C294" s="125"/>
      <c r="D294" s="110" t="s">
        <v>364</v>
      </c>
      <c r="E294" s="4"/>
      <c r="F294" s="125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</row>
    <row r="295">
      <c r="A295" s="125"/>
      <c r="B295" s="125"/>
      <c r="C295" s="125"/>
      <c r="D295" s="110" t="s">
        <v>600</v>
      </c>
      <c r="E295" s="4"/>
      <c r="F295" s="125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</row>
    <row r="296">
      <c r="A296" s="125"/>
      <c r="B296" s="125"/>
      <c r="C296" s="125"/>
      <c r="D296" s="110" t="s">
        <v>419</v>
      </c>
      <c r="E296" s="4"/>
      <c r="F296" s="125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</row>
    <row r="297">
      <c r="A297" s="125"/>
      <c r="B297" s="125"/>
      <c r="C297" s="125"/>
      <c r="D297" s="110" t="s">
        <v>611</v>
      </c>
      <c r="E297" s="4"/>
      <c r="F297" s="125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</row>
    <row r="298">
      <c r="A298" s="125"/>
      <c r="B298" s="125"/>
      <c r="C298" s="125"/>
      <c r="D298" s="110" t="s">
        <v>614</v>
      </c>
      <c r="E298" s="4"/>
      <c r="F298" s="125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</row>
    <row r="299">
      <c r="A299" s="125"/>
      <c r="B299" s="125"/>
      <c r="C299" s="125"/>
      <c r="D299" s="110" t="s">
        <v>420</v>
      </c>
      <c r="E299" s="4"/>
      <c r="F299" s="125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</row>
    <row r="300">
      <c r="A300" s="125"/>
      <c r="B300" s="125"/>
      <c r="C300" s="125"/>
      <c r="D300" s="110" t="s">
        <v>619</v>
      </c>
      <c r="E300" s="4"/>
      <c r="F300" s="125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</row>
    <row r="301">
      <c r="A301" s="125"/>
      <c r="B301" s="125"/>
      <c r="C301" s="125"/>
      <c r="D301" s="110" t="s">
        <v>606</v>
      </c>
      <c r="E301" s="4"/>
      <c r="F301" s="125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</row>
    <row r="302">
      <c r="A302" s="125"/>
      <c r="B302" s="125"/>
      <c r="C302" s="125"/>
      <c r="D302" s="110" t="s">
        <v>528</v>
      </c>
      <c r="E302" s="4"/>
      <c r="F302" s="125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</row>
    <row r="303">
      <c r="A303" s="125"/>
      <c r="B303" s="125"/>
      <c r="C303" s="125"/>
      <c r="D303" s="110" t="s">
        <v>321</v>
      </c>
      <c r="E303" s="4"/>
      <c r="F303" s="125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</row>
    <row r="304">
      <c r="A304" s="125"/>
      <c r="B304" s="125"/>
      <c r="C304" s="110" t="s">
        <v>347</v>
      </c>
      <c r="D304" s="125"/>
      <c r="E304" s="4"/>
      <c r="F304" s="4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</row>
    <row r="305">
      <c r="A305" s="125"/>
      <c r="B305" s="125"/>
      <c r="C305" s="125"/>
      <c r="D305" s="110" t="s">
        <v>347</v>
      </c>
      <c r="E305" s="4"/>
      <c r="F305" s="4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</row>
    <row r="306">
      <c r="A306" s="125"/>
      <c r="B306" s="125"/>
      <c r="C306" s="110" t="s">
        <v>755</v>
      </c>
      <c r="D306" s="125"/>
      <c r="E306" s="4"/>
      <c r="F306" s="4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</row>
    <row r="307">
      <c r="A307" s="125"/>
      <c r="B307" s="125"/>
      <c r="C307" s="125"/>
      <c r="D307" s="110" t="s">
        <v>364</v>
      </c>
      <c r="E307" s="4"/>
      <c r="F307" s="4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</row>
    <row r="308">
      <c r="A308" s="125"/>
      <c r="B308" s="125"/>
      <c r="C308" s="125"/>
      <c r="D308" s="110" t="s">
        <v>634</v>
      </c>
      <c r="E308" s="4"/>
      <c r="F308" s="4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</row>
    <row r="309">
      <c r="A309" s="125"/>
      <c r="B309" s="125"/>
      <c r="C309" s="125"/>
      <c r="D309" s="110" t="s">
        <v>315</v>
      </c>
      <c r="E309" s="4"/>
      <c r="F309" s="4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</row>
    <row r="310">
      <c r="A310" s="125"/>
      <c r="B310" s="125"/>
      <c r="C310" s="125"/>
      <c r="D310" s="110" t="s">
        <v>527</v>
      </c>
      <c r="E310" s="4"/>
      <c r="F310" s="4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</row>
    <row r="311">
      <c r="A311" s="125"/>
      <c r="B311" s="125"/>
      <c r="C311" s="125"/>
      <c r="D311" s="110" t="s">
        <v>349</v>
      </c>
      <c r="E311" s="4"/>
      <c r="F311" s="4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</row>
    <row r="312">
      <c r="A312" s="125"/>
      <c r="B312" s="125"/>
      <c r="C312" s="110" t="s">
        <v>523</v>
      </c>
      <c r="D312" s="125"/>
      <c r="E312" s="4"/>
      <c r="F312" s="4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</row>
    <row r="313">
      <c r="A313" s="125"/>
      <c r="B313" s="125"/>
      <c r="C313" s="125"/>
      <c r="D313" s="110" t="s">
        <v>549</v>
      </c>
      <c r="E313" s="4"/>
      <c r="F313" s="4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</row>
    <row r="314">
      <c r="A314" s="125"/>
      <c r="B314" s="125"/>
      <c r="C314" s="125"/>
      <c r="D314" s="110" t="s">
        <v>556</v>
      </c>
      <c r="E314" s="4"/>
      <c r="F314" s="4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</row>
    <row r="315">
      <c r="A315" s="125"/>
      <c r="B315" s="125"/>
      <c r="C315" s="125"/>
      <c r="D315" s="110" t="s">
        <v>657</v>
      </c>
      <c r="E315" s="4"/>
      <c r="F315" s="4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</row>
    <row r="316">
      <c r="A316" s="125"/>
      <c r="B316" s="125"/>
      <c r="C316" s="125"/>
      <c r="D316" s="110" t="s">
        <v>660</v>
      </c>
      <c r="E316" s="4"/>
      <c r="F316" s="4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</row>
    <row r="317">
      <c r="A317" s="125"/>
      <c r="B317" s="110" t="s">
        <v>817</v>
      </c>
      <c r="C317" s="125"/>
      <c r="D317" s="125"/>
      <c r="E317" s="4"/>
      <c r="F317" s="4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</row>
    <row r="318">
      <c r="A318" s="125"/>
      <c r="B318" s="125"/>
      <c r="C318" s="110" t="s">
        <v>311</v>
      </c>
      <c r="D318" s="125"/>
      <c r="E318" s="4"/>
      <c r="F318" s="4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</row>
    <row r="319">
      <c r="A319" s="125"/>
      <c r="B319" s="125"/>
      <c r="C319" s="125"/>
      <c r="D319" s="110" t="s">
        <v>296</v>
      </c>
      <c r="E319" s="4"/>
      <c r="F319" s="4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</row>
    <row r="320">
      <c r="A320" s="125"/>
      <c r="B320" s="125"/>
      <c r="C320" s="125"/>
      <c r="D320" s="110" t="s">
        <v>312</v>
      </c>
      <c r="E320" s="4"/>
      <c r="F320" s="4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</row>
    <row r="321">
      <c r="A321" s="125"/>
      <c r="B321" s="125"/>
      <c r="C321" s="125"/>
      <c r="D321" s="110" t="s">
        <v>329</v>
      </c>
      <c r="E321" s="4"/>
      <c r="F321" s="4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</row>
    <row r="322">
      <c r="A322" s="125"/>
      <c r="B322" s="125"/>
      <c r="C322" s="125"/>
      <c r="D322" s="110" t="s">
        <v>342</v>
      </c>
      <c r="E322" s="4"/>
      <c r="F322" s="4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</row>
    <row r="323">
      <c r="A323" s="125"/>
      <c r="B323" s="125"/>
      <c r="C323" s="110" t="s">
        <v>361</v>
      </c>
      <c r="D323" s="125"/>
      <c r="E323" s="4"/>
      <c r="F323" s="4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</row>
    <row r="324">
      <c r="A324" s="125"/>
      <c r="B324" s="125"/>
      <c r="C324" s="125"/>
      <c r="D324" s="110" t="s">
        <v>369</v>
      </c>
      <c r="E324" s="4"/>
      <c r="F324" s="4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</row>
    <row r="325">
      <c r="A325" s="125"/>
      <c r="B325" s="125"/>
      <c r="C325" s="125"/>
      <c r="D325" s="110" t="s">
        <v>378</v>
      </c>
      <c r="E325" s="4"/>
      <c r="F325" s="4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</row>
    <row r="326">
      <c r="A326" s="125"/>
      <c r="B326" s="125"/>
      <c r="C326" s="125"/>
      <c r="D326" s="110" t="s">
        <v>389</v>
      </c>
      <c r="E326" s="4"/>
      <c r="F326" s="4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</row>
    <row r="327">
      <c r="A327" s="125"/>
      <c r="B327" s="125"/>
      <c r="C327" s="125"/>
      <c r="D327" s="110" t="s">
        <v>400</v>
      </c>
      <c r="E327" s="4"/>
      <c r="F327" s="4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</row>
    <row r="328">
      <c r="A328" s="125"/>
      <c r="B328" s="125"/>
      <c r="C328" s="125"/>
      <c r="D328" s="110" t="s">
        <v>410</v>
      </c>
      <c r="E328" s="4"/>
      <c r="F328" s="4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</row>
    <row r="329">
      <c r="A329" s="125"/>
      <c r="B329" s="125"/>
      <c r="C329" s="125"/>
      <c r="D329" s="110" t="s">
        <v>418</v>
      </c>
      <c r="E329" s="4"/>
      <c r="F329" s="4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</row>
    <row r="330">
      <c r="A330" s="125"/>
      <c r="B330" s="125"/>
      <c r="C330" s="125"/>
      <c r="D330" s="110" t="s">
        <v>425</v>
      </c>
      <c r="E330" s="4"/>
      <c r="F330" s="4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</row>
    <row r="331">
      <c r="A331" s="125"/>
      <c r="B331" s="125"/>
      <c r="C331" s="125"/>
      <c r="D331" s="110" t="s">
        <v>433</v>
      </c>
      <c r="E331" s="4"/>
      <c r="F331" s="4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</row>
    <row r="332">
      <c r="A332" s="125"/>
      <c r="B332" s="125"/>
      <c r="C332" s="125"/>
      <c r="D332" s="110" t="s">
        <v>442</v>
      </c>
      <c r="E332" s="4"/>
      <c r="F332" s="4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</row>
    <row r="333">
      <c r="A333" s="125"/>
      <c r="B333" s="125"/>
      <c r="C333" s="125"/>
      <c r="D333" s="110" t="s">
        <v>448</v>
      </c>
      <c r="E333" s="4"/>
      <c r="F333" s="4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</row>
    <row r="334">
      <c r="A334" s="125"/>
      <c r="B334" s="125"/>
      <c r="C334" s="125"/>
      <c r="D334" s="110" t="s">
        <v>454</v>
      </c>
      <c r="E334" s="4"/>
      <c r="F334" s="4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</row>
    <row r="335">
      <c r="A335" s="125"/>
      <c r="B335" s="125"/>
      <c r="C335" s="125"/>
      <c r="D335" s="110" t="s">
        <v>458</v>
      </c>
      <c r="E335" s="4"/>
      <c r="F335" s="4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</row>
    <row r="336">
      <c r="A336" s="125"/>
      <c r="B336" s="125"/>
      <c r="C336" s="125"/>
      <c r="D336" s="110" t="s">
        <v>467</v>
      </c>
      <c r="E336" s="4"/>
      <c r="F336" s="4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</row>
    <row r="337">
      <c r="A337" s="125"/>
      <c r="B337" s="125"/>
      <c r="C337" s="125"/>
      <c r="D337" s="110" t="s">
        <v>475</v>
      </c>
      <c r="E337" s="4"/>
      <c r="F337" s="4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</row>
    <row r="338">
      <c r="A338" s="125"/>
      <c r="B338" s="125"/>
      <c r="C338" s="125"/>
      <c r="D338" s="110" t="s">
        <v>484</v>
      </c>
      <c r="E338" s="4"/>
      <c r="F338" s="4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</row>
    <row r="339">
      <c r="A339" s="125"/>
      <c r="B339" s="125"/>
      <c r="C339" s="125"/>
      <c r="D339" s="110" t="s">
        <v>350</v>
      </c>
      <c r="E339" s="4"/>
      <c r="F339" s="4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</row>
    <row r="340">
      <c r="A340" s="125"/>
      <c r="B340" s="125"/>
      <c r="C340" s="125"/>
      <c r="D340" s="110" t="s">
        <v>501</v>
      </c>
      <c r="E340" s="4"/>
      <c r="F340" s="4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</row>
    <row r="341">
      <c r="A341" s="125"/>
      <c r="B341" s="125"/>
      <c r="C341" s="110" t="s">
        <v>327</v>
      </c>
      <c r="D341" s="125"/>
      <c r="E341" s="4"/>
      <c r="F341" s="4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</row>
    <row r="342">
      <c r="A342" s="125"/>
      <c r="B342" s="125"/>
      <c r="C342" s="125"/>
      <c r="D342" s="110" t="s">
        <v>327</v>
      </c>
      <c r="E342" s="4"/>
      <c r="F342" s="4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</row>
    <row r="343">
      <c r="A343" s="125"/>
      <c r="B343" s="125"/>
      <c r="C343" s="125"/>
      <c r="D343" s="110" t="s">
        <v>504</v>
      </c>
      <c r="E343" s="4"/>
      <c r="F343" s="4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</row>
    <row r="344">
      <c r="A344" s="125"/>
      <c r="B344" s="125"/>
      <c r="C344" s="110" t="s">
        <v>347</v>
      </c>
      <c r="D344" s="125"/>
      <c r="E344" s="4"/>
      <c r="F344" s="4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</row>
    <row r="345">
      <c r="A345" s="125"/>
      <c r="B345" s="125"/>
      <c r="C345" s="125"/>
      <c r="D345" s="110" t="s">
        <v>347</v>
      </c>
      <c r="E345" s="4"/>
      <c r="F345" s="4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</row>
    <row r="346">
      <c r="A346" s="125"/>
      <c r="B346" s="125"/>
      <c r="C346" s="110" t="s">
        <v>755</v>
      </c>
      <c r="D346" s="125"/>
      <c r="E346" s="4"/>
      <c r="F346" s="4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</row>
    <row r="347">
      <c r="A347" s="125"/>
      <c r="B347" s="125"/>
      <c r="C347" s="125"/>
      <c r="D347" s="110" t="s">
        <v>527</v>
      </c>
      <c r="E347" s="4"/>
      <c r="F347" s="4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</row>
    <row r="348">
      <c r="A348" s="125"/>
      <c r="B348" s="125"/>
      <c r="C348" s="110" t="s">
        <v>523</v>
      </c>
      <c r="D348" s="125"/>
      <c r="E348" s="4"/>
      <c r="F348" s="4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</row>
    <row r="349">
      <c r="A349" s="125"/>
      <c r="B349" s="125"/>
      <c r="C349" s="125"/>
      <c r="D349" s="110" t="s">
        <v>549</v>
      </c>
      <c r="E349" s="4"/>
      <c r="F349" s="4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</row>
    <row r="350">
      <c r="A350" s="125"/>
      <c r="B350" s="125"/>
      <c r="C350" s="125"/>
      <c r="D350" s="110" t="s">
        <v>556</v>
      </c>
      <c r="E350" s="4"/>
      <c r="F350" s="4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</row>
    <row r="351">
      <c r="A351" s="125"/>
      <c r="B351" s="110" t="s">
        <v>818</v>
      </c>
      <c r="C351" s="125"/>
      <c r="D351" s="125"/>
      <c r="E351" s="4"/>
      <c r="F351" s="4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</row>
    <row r="352">
      <c r="A352" s="125"/>
      <c r="B352" s="125"/>
      <c r="C352" s="110" t="s">
        <v>741</v>
      </c>
      <c r="D352" s="125"/>
      <c r="E352" s="4"/>
      <c r="F352" s="4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</row>
    <row r="353">
      <c r="A353" s="125"/>
      <c r="B353" s="125"/>
      <c r="C353" s="125"/>
      <c r="D353" s="110" t="s">
        <v>297</v>
      </c>
      <c r="E353" s="4"/>
      <c r="F353" s="4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</row>
    <row r="354">
      <c r="A354" s="125"/>
      <c r="B354" s="125"/>
      <c r="C354" s="125"/>
      <c r="D354" s="110" t="s">
        <v>313</v>
      </c>
      <c r="E354" s="4"/>
      <c r="F354" s="4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</row>
    <row r="355">
      <c r="A355" s="125"/>
      <c r="B355" s="125"/>
      <c r="C355" s="125"/>
      <c r="D355" s="110" t="s">
        <v>328</v>
      </c>
      <c r="E355" s="4"/>
      <c r="F355" s="4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</row>
    <row r="356">
      <c r="A356" s="125"/>
      <c r="B356" s="125"/>
      <c r="C356" s="125"/>
      <c r="D356" s="110" t="s">
        <v>332</v>
      </c>
      <c r="E356" s="4"/>
      <c r="F356" s="4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</row>
    <row r="357">
      <c r="A357" s="125"/>
      <c r="B357" s="125"/>
      <c r="C357" s="125"/>
      <c r="D357" s="110" t="s">
        <v>348</v>
      </c>
      <c r="E357" s="4"/>
      <c r="F357" s="4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</row>
    <row r="358">
      <c r="A358" s="125"/>
      <c r="B358" s="125"/>
      <c r="C358" s="125"/>
      <c r="D358" s="110" t="s">
        <v>360</v>
      </c>
      <c r="E358" s="4"/>
      <c r="F358" s="4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</row>
    <row r="359">
      <c r="A359" s="125"/>
      <c r="B359" s="125"/>
      <c r="C359" s="125"/>
      <c r="D359" s="110" t="s">
        <v>350</v>
      </c>
      <c r="E359" s="4"/>
      <c r="F359" s="4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</row>
    <row r="360">
      <c r="A360" s="125"/>
      <c r="B360" s="125"/>
      <c r="C360" s="110" t="s">
        <v>816</v>
      </c>
      <c r="D360" s="125"/>
      <c r="E360" s="4"/>
      <c r="F360" s="4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</row>
    <row r="361">
      <c r="A361" s="125"/>
      <c r="B361" s="125"/>
      <c r="C361" s="125"/>
      <c r="D361" s="110" t="s">
        <v>379</v>
      </c>
      <c r="E361" s="4"/>
      <c r="F361" s="4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</row>
    <row r="362">
      <c r="A362" s="125"/>
      <c r="B362" s="125"/>
      <c r="C362" s="125"/>
      <c r="D362" s="110" t="s">
        <v>411</v>
      </c>
      <c r="E362" s="4"/>
      <c r="F362" s="4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</row>
    <row r="363">
      <c r="A363" s="125"/>
      <c r="B363" s="125"/>
      <c r="C363" s="125"/>
      <c r="D363" s="110" t="s">
        <v>392</v>
      </c>
      <c r="E363" s="4"/>
      <c r="F363" s="4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</row>
    <row r="364">
      <c r="A364" s="125"/>
      <c r="B364" s="125"/>
      <c r="C364" s="125"/>
      <c r="D364" s="110" t="s">
        <v>402</v>
      </c>
      <c r="E364" s="4"/>
      <c r="F364" s="4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</row>
    <row r="365">
      <c r="A365" s="125"/>
      <c r="B365" s="125"/>
      <c r="C365" s="125"/>
      <c r="D365" s="110" t="s">
        <v>424</v>
      </c>
      <c r="E365" s="4"/>
      <c r="F365" s="4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</row>
    <row r="366">
      <c r="A366" s="125"/>
      <c r="B366" s="125"/>
      <c r="C366" s="125"/>
      <c r="D366" s="110" t="s">
        <v>432</v>
      </c>
      <c r="E366" s="4"/>
      <c r="F366" s="4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</row>
    <row r="367">
      <c r="A367" s="125"/>
      <c r="B367" s="125"/>
      <c r="C367" s="125"/>
      <c r="D367" s="110" t="s">
        <v>420</v>
      </c>
      <c r="E367" s="4"/>
      <c r="F367" s="4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</row>
    <row r="368">
      <c r="A368" s="125"/>
      <c r="B368" s="125"/>
      <c r="C368" s="125"/>
      <c r="D368" s="110" t="s">
        <v>453</v>
      </c>
      <c r="E368" s="4"/>
      <c r="F368" s="4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</row>
    <row r="369">
      <c r="A369" s="125"/>
      <c r="B369" s="125"/>
      <c r="C369" s="125"/>
      <c r="D369" s="110" t="s">
        <v>457</v>
      </c>
      <c r="E369" s="4"/>
      <c r="F369" s="4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</row>
    <row r="370">
      <c r="A370" s="125"/>
      <c r="B370" s="125"/>
      <c r="C370" s="125"/>
      <c r="D370" s="110" t="s">
        <v>427</v>
      </c>
      <c r="E370" s="4"/>
      <c r="F370" s="4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</row>
    <row r="371">
      <c r="A371" s="125"/>
      <c r="B371" s="125"/>
      <c r="C371" s="125"/>
      <c r="D371" s="110" t="s">
        <v>449</v>
      </c>
      <c r="E371" s="4"/>
      <c r="F371" s="4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</row>
    <row r="372">
      <c r="A372" s="125"/>
      <c r="B372" s="125"/>
      <c r="C372" s="125"/>
      <c r="D372" s="110" t="s">
        <v>405</v>
      </c>
      <c r="E372" s="4"/>
      <c r="F372" s="4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</row>
    <row r="373">
      <c r="A373" s="125"/>
      <c r="B373" s="125"/>
      <c r="C373" s="125"/>
      <c r="D373" s="110" t="s">
        <v>475</v>
      </c>
      <c r="E373" s="4"/>
      <c r="F373" s="4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</row>
    <row r="374">
      <c r="A374" s="125"/>
      <c r="B374" s="125"/>
      <c r="C374" s="125"/>
      <c r="D374" s="110" t="s">
        <v>491</v>
      </c>
      <c r="E374" s="4"/>
      <c r="F374" s="4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</row>
    <row r="375">
      <c r="A375" s="125"/>
      <c r="B375" s="125"/>
      <c r="C375" s="125"/>
      <c r="D375" s="110" t="s">
        <v>500</v>
      </c>
      <c r="E375" s="4"/>
      <c r="F375" s="4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</row>
    <row r="376">
      <c r="A376" s="125"/>
      <c r="B376" s="125"/>
      <c r="C376" s="125"/>
      <c r="D376" s="110" t="s">
        <v>511</v>
      </c>
      <c r="E376" s="4"/>
      <c r="F376" s="4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</row>
    <row r="377">
      <c r="A377" s="125"/>
      <c r="B377" s="125"/>
      <c r="C377" s="125"/>
      <c r="D377" s="110" t="s">
        <v>484</v>
      </c>
      <c r="E377" s="4"/>
      <c r="F377" s="4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</row>
    <row r="378">
      <c r="A378" s="125"/>
      <c r="B378" s="125"/>
      <c r="C378" s="125"/>
      <c r="D378" s="110" t="s">
        <v>516</v>
      </c>
      <c r="E378" s="4"/>
      <c r="F378" s="4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</row>
    <row r="379">
      <c r="A379" s="125"/>
      <c r="B379" s="125"/>
      <c r="C379" s="125"/>
      <c r="D379" s="110" t="s">
        <v>526</v>
      </c>
      <c r="E379" s="4"/>
      <c r="F379" s="4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</row>
    <row r="380">
      <c r="A380" s="125"/>
      <c r="B380" s="125"/>
      <c r="C380" s="125"/>
      <c r="D380" s="110" t="s">
        <v>501</v>
      </c>
      <c r="E380" s="4"/>
      <c r="F380" s="4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</row>
    <row r="381">
      <c r="A381" s="125"/>
      <c r="B381" s="125"/>
      <c r="C381" s="110" t="s">
        <v>311</v>
      </c>
      <c r="D381" s="125"/>
      <c r="E381" s="4"/>
      <c r="F381" s="4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</row>
    <row r="382">
      <c r="A382" s="125"/>
      <c r="B382" s="125"/>
      <c r="C382" s="125"/>
      <c r="D382" s="110" t="s">
        <v>296</v>
      </c>
      <c r="E382" s="4"/>
      <c r="F382" s="4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</row>
    <row r="383">
      <c r="A383" s="125"/>
      <c r="B383" s="125"/>
      <c r="C383" s="125"/>
      <c r="D383" s="110" t="s">
        <v>529</v>
      </c>
      <c r="E383" s="4"/>
      <c r="F383" s="4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</row>
    <row r="384">
      <c r="A384" s="125"/>
      <c r="B384" s="125"/>
      <c r="C384" s="125"/>
      <c r="D384" s="110" t="s">
        <v>312</v>
      </c>
      <c r="E384" s="4"/>
      <c r="F384" s="4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</row>
    <row r="385">
      <c r="A385" s="125"/>
      <c r="B385" s="125"/>
      <c r="C385" s="125"/>
      <c r="D385" s="110" t="s">
        <v>563</v>
      </c>
      <c r="E385" s="4"/>
      <c r="F385" s="4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</row>
    <row r="386">
      <c r="A386" s="125"/>
      <c r="B386" s="125"/>
      <c r="C386" s="125"/>
      <c r="D386" s="110" t="s">
        <v>468</v>
      </c>
      <c r="E386" s="4"/>
      <c r="F386" s="4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</row>
    <row r="387">
      <c r="A387" s="125"/>
      <c r="B387" s="125"/>
      <c r="C387" s="125"/>
      <c r="D387" s="110" t="s">
        <v>329</v>
      </c>
      <c r="E387" s="4"/>
      <c r="F387" s="4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</row>
    <row r="388">
      <c r="A388" s="125"/>
      <c r="B388" s="125"/>
      <c r="C388" s="125"/>
      <c r="D388" s="110" t="s">
        <v>342</v>
      </c>
      <c r="E388" s="4"/>
      <c r="F388" s="4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</row>
    <row r="389">
      <c r="A389" s="125"/>
      <c r="B389" s="125"/>
      <c r="C389" s="110" t="s">
        <v>361</v>
      </c>
      <c r="D389" s="125"/>
      <c r="E389" s="4"/>
      <c r="F389" s="4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</row>
    <row r="390">
      <c r="A390" s="125"/>
      <c r="B390" s="125"/>
      <c r="C390" s="125"/>
      <c r="D390" s="110" t="s">
        <v>378</v>
      </c>
      <c r="E390" s="4"/>
      <c r="F390" s="4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</row>
    <row r="391">
      <c r="A391" s="125"/>
      <c r="B391" s="125"/>
      <c r="C391" s="125"/>
      <c r="D391" s="110" t="s">
        <v>389</v>
      </c>
      <c r="E391" s="4"/>
      <c r="F391" s="4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</row>
    <row r="392">
      <c r="A392" s="125"/>
      <c r="B392" s="125"/>
      <c r="C392" s="125"/>
      <c r="D392" s="110" t="s">
        <v>400</v>
      </c>
      <c r="E392" s="4"/>
      <c r="F392" s="4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</row>
    <row r="393">
      <c r="A393" s="125"/>
      <c r="B393" s="125"/>
      <c r="C393" s="125"/>
      <c r="D393" s="110" t="s">
        <v>410</v>
      </c>
      <c r="E393" s="4"/>
      <c r="F393" s="4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</row>
    <row r="394">
      <c r="A394" s="125"/>
      <c r="B394" s="125"/>
      <c r="C394" s="125"/>
      <c r="D394" s="110" t="s">
        <v>418</v>
      </c>
      <c r="E394" s="4"/>
      <c r="F394" s="4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</row>
    <row r="395">
      <c r="A395" s="125"/>
      <c r="B395" s="125"/>
      <c r="C395" s="125"/>
      <c r="D395" s="110" t="s">
        <v>425</v>
      </c>
      <c r="E395" s="4"/>
      <c r="F395" s="4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</row>
    <row r="396">
      <c r="A396" s="125"/>
      <c r="B396" s="125"/>
      <c r="C396" s="125"/>
      <c r="D396" s="110" t="s">
        <v>433</v>
      </c>
      <c r="E396" s="4"/>
      <c r="F396" s="4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</row>
    <row r="397">
      <c r="A397" s="125"/>
      <c r="B397" s="125"/>
      <c r="C397" s="125"/>
      <c r="D397" s="110" t="s">
        <v>601</v>
      </c>
      <c r="E397" s="4"/>
      <c r="F397" s="4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</row>
    <row r="398">
      <c r="A398" s="125"/>
      <c r="B398" s="125"/>
      <c r="C398" s="125"/>
      <c r="D398" s="110" t="s">
        <v>442</v>
      </c>
      <c r="E398" s="4"/>
      <c r="F398" s="4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</row>
    <row r="399">
      <c r="A399" s="125"/>
      <c r="B399" s="125"/>
      <c r="C399" s="125"/>
      <c r="D399" s="110" t="s">
        <v>454</v>
      </c>
      <c r="E399" s="4"/>
      <c r="F399" s="4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</row>
    <row r="400">
      <c r="A400" s="125"/>
      <c r="B400" s="125"/>
      <c r="C400" s="125"/>
      <c r="D400" s="110" t="s">
        <v>458</v>
      </c>
      <c r="E400" s="4"/>
      <c r="F400" s="4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</row>
    <row r="401">
      <c r="A401" s="125"/>
      <c r="B401" s="125"/>
      <c r="C401" s="125"/>
      <c r="D401" s="110" t="s">
        <v>467</v>
      </c>
      <c r="E401" s="4"/>
      <c r="F401" s="4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</row>
    <row r="402">
      <c r="A402" s="125"/>
      <c r="B402" s="125"/>
      <c r="C402" s="125"/>
      <c r="D402" s="110" t="s">
        <v>475</v>
      </c>
      <c r="E402" s="4"/>
      <c r="F402" s="4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</row>
    <row r="403">
      <c r="A403" s="125"/>
      <c r="B403" s="125"/>
      <c r="C403" s="125"/>
      <c r="D403" s="110" t="s">
        <v>501</v>
      </c>
      <c r="E403" s="4"/>
      <c r="F403" s="4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</row>
    <row r="404">
      <c r="A404" s="125"/>
      <c r="B404" s="125"/>
      <c r="C404" s="110" t="s">
        <v>327</v>
      </c>
      <c r="D404" s="125"/>
      <c r="E404" s="4"/>
      <c r="F404" s="4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</row>
    <row r="405">
      <c r="A405" s="125"/>
      <c r="B405" s="125"/>
      <c r="C405" s="125"/>
      <c r="D405" s="110" t="s">
        <v>327</v>
      </c>
      <c r="E405" s="4"/>
      <c r="F405" s="4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</row>
    <row r="406">
      <c r="A406" s="125"/>
      <c r="B406" s="125"/>
      <c r="C406" s="125"/>
      <c r="D406" s="110" t="s">
        <v>504</v>
      </c>
      <c r="E406" s="4"/>
      <c r="F406" s="4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</row>
    <row r="407">
      <c r="A407" s="125"/>
      <c r="B407" s="125"/>
      <c r="C407" s="110" t="s">
        <v>308</v>
      </c>
      <c r="D407" s="125"/>
      <c r="E407" s="4"/>
      <c r="F407" s="4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</row>
    <row r="408">
      <c r="A408" s="125"/>
      <c r="B408" s="125"/>
      <c r="C408" s="125"/>
      <c r="D408" s="110" t="s">
        <v>364</v>
      </c>
      <c r="E408" s="4"/>
      <c r="F408" s="4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</row>
    <row r="409">
      <c r="A409" s="125"/>
      <c r="B409" s="125"/>
      <c r="C409" s="125"/>
      <c r="D409" s="110" t="s">
        <v>600</v>
      </c>
      <c r="E409" s="4"/>
      <c r="F409" s="4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</row>
    <row r="410">
      <c r="A410" s="125"/>
      <c r="B410" s="125"/>
      <c r="C410" s="125"/>
      <c r="D410" s="110" t="s">
        <v>419</v>
      </c>
      <c r="E410" s="4"/>
      <c r="F410" s="4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</row>
    <row r="411">
      <c r="A411" s="125"/>
      <c r="B411" s="125"/>
      <c r="C411" s="125"/>
      <c r="D411" s="110" t="s">
        <v>611</v>
      </c>
      <c r="E411" s="4"/>
      <c r="F411" s="4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</row>
    <row r="412">
      <c r="A412" s="125"/>
      <c r="B412" s="125"/>
      <c r="C412" s="125"/>
      <c r="D412" s="110" t="s">
        <v>614</v>
      </c>
      <c r="E412" s="4"/>
      <c r="F412" s="4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</row>
    <row r="413">
      <c r="A413" s="125"/>
      <c r="B413" s="125"/>
      <c r="C413" s="125"/>
      <c r="D413" s="110" t="s">
        <v>420</v>
      </c>
      <c r="E413" s="4"/>
      <c r="F413" s="4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</row>
    <row r="414">
      <c r="A414" s="125"/>
      <c r="B414" s="125"/>
      <c r="C414" s="125"/>
      <c r="D414" s="110" t="s">
        <v>619</v>
      </c>
      <c r="E414" s="4"/>
      <c r="F414" s="4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</row>
    <row r="415">
      <c r="A415" s="125"/>
      <c r="B415" s="125"/>
      <c r="C415" s="125"/>
      <c r="D415" s="110" t="s">
        <v>606</v>
      </c>
      <c r="E415" s="4"/>
      <c r="F415" s="4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</row>
    <row r="416">
      <c r="A416" s="125"/>
      <c r="B416" s="125"/>
      <c r="C416" s="125"/>
      <c r="D416" s="110" t="s">
        <v>528</v>
      </c>
      <c r="E416" s="4"/>
      <c r="F416" s="4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</row>
    <row r="417">
      <c r="A417" s="125"/>
      <c r="B417" s="125"/>
      <c r="C417" s="125"/>
      <c r="D417" s="110" t="s">
        <v>321</v>
      </c>
      <c r="E417" s="4"/>
      <c r="F417" s="4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</row>
    <row r="418">
      <c r="A418" s="125"/>
      <c r="B418" s="125"/>
      <c r="C418" s="110" t="s">
        <v>510</v>
      </c>
      <c r="D418" s="125"/>
      <c r="E418" s="4"/>
      <c r="F418" s="4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</row>
    <row r="419">
      <c r="A419" s="125"/>
      <c r="B419" s="125"/>
      <c r="C419" s="125"/>
      <c r="D419" s="110" t="s">
        <v>557</v>
      </c>
      <c r="E419" s="4"/>
      <c r="F419" s="4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</row>
    <row r="420">
      <c r="A420" s="125"/>
      <c r="B420" s="125"/>
      <c r="C420" s="125"/>
      <c r="D420" s="110" t="s">
        <v>564</v>
      </c>
      <c r="E420" s="4"/>
      <c r="F420" s="4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</row>
    <row r="421">
      <c r="A421" s="125"/>
      <c r="B421" s="125"/>
      <c r="C421" s="125"/>
      <c r="D421" s="110" t="s">
        <v>568</v>
      </c>
      <c r="E421" s="4"/>
      <c r="F421" s="4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</row>
    <row r="422">
      <c r="A422" s="125"/>
      <c r="B422" s="125"/>
      <c r="C422" s="125"/>
      <c r="D422" s="110" t="s">
        <v>528</v>
      </c>
      <c r="E422" s="4"/>
      <c r="F422" s="4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</row>
    <row r="423">
      <c r="A423" s="125"/>
      <c r="B423" s="125"/>
      <c r="C423" s="125"/>
      <c r="D423" s="110" t="s">
        <v>676</v>
      </c>
      <c r="E423" s="4"/>
      <c r="F423" s="4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</row>
    <row r="424">
      <c r="A424" s="125"/>
      <c r="B424" s="125"/>
      <c r="C424" s="110" t="s">
        <v>347</v>
      </c>
      <c r="D424" s="125"/>
      <c r="E424" s="4"/>
      <c r="F424" s="4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</row>
    <row r="425">
      <c r="A425" s="125"/>
      <c r="B425" s="125"/>
      <c r="C425" s="125"/>
      <c r="D425" s="110" t="s">
        <v>347</v>
      </c>
      <c r="E425" s="4"/>
      <c r="F425" s="4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</row>
    <row r="426">
      <c r="A426" s="125"/>
      <c r="B426" s="125"/>
      <c r="C426" s="110" t="s">
        <v>755</v>
      </c>
      <c r="D426" s="125"/>
      <c r="E426" s="4"/>
      <c r="F426" s="4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</row>
    <row r="427">
      <c r="A427" s="125"/>
      <c r="B427" s="125"/>
      <c r="C427" s="125"/>
      <c r="D427" s="110" t="s">
        <v>364</v>
      </c>
      <c r="E427" s="4"/>
      <c r="F427" s="4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</row>
    <row r="428">
      <c r="A428" s="125"/>
      <c r="B428" s="125"/>
      <c r="C428" s="125"/>
      <c r="D428" s="110" t="s">
        <v>634</v>
      </c>
      <c r="E428" s="4"/>
      <c r="F428" s="4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</row>
    <row r="429">
      <c r="A429" s="125"/>
      <c r="B429" s="125"/>
      <c r="C429" s="125"/>
      <c r="D429" s="110" t="s">
        <v>315</v>
      </c>
      <c r="E429" s="4"/>
      <c r="F429" s="4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</row>
    <row r="430">
      <c r="A430" s="125"/>
      <c r="B430" s="125"/>
      <c r="C430" s="125"/>
      <c r="D430" s="110" t="s">
        <v>453</v>
      </c>
      <c r="E430" s="4"/>
      <c r="F430" s="4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</row>
    <row r="431">
      <c r="A431" s="125"/>
      <c r="B431" s="125"/>
      <c r="C431" s="125"/>
      <c r="D431" s="110" t="s">
        <v>527</v>
      </c>
      <c r="E431" s="4"/>
      <c r="F431" s="4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</row>
    <row r="432">
      <c r="A432" s="125"/>
      <c r="B432" s="125"/>
      <c r="C432" s="125"/>
      <c r="D432" s="110" t="s">
        <v>349</v>
      </c>
      <c r="E432" s="4"/>
      <c r="F432" s="4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</row>
    <row r="433">
      <c r="A433" s="125"/>
      <c r="B433" s="125"/>
      <c r="C433" s="110" t="s">
        <v>523</v>
      </c>
      <c r="D433" s="125"/>
      <c r="E433" s="4"/>
      <c r="F433" s="4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</row>
    <row r="434">
      <c r="A434" s="125"/>
      <c r="B434" s="125"/>
      <c r="C434" s="125"/>
      <c r="D434" s="110" t="s">
        <v>549</v>
      </c>
      <c r="E434" s="4"/>
      <c r="F434" s="4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</row>
    <row r="435">
      <c r="A435" s="125"/>
      <c r="B435" s="125"/>
      <c r="C435" s="125"/>
      <c r="D435" s="110" t="s">
        <v>556</v>
      </c>
      <c r="E435" s="4"/>
      <c r="F435" s="4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</row>
    <row r="436">
      <c r="A436" s="125"/>
      <c r="B436" s="125"/>
      <c r="C436" s="125"/>
      <c r="D436" s="110" t="s">
        <v>660</v>
      </c>
      <c r="E436" s="4"/>
      <c r="F436" s="4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</row>
    <row r="437">
      <c r="A437" s="125"/>
      <c r="B437" s="110" t="s">
        <v>819</v>
      </c>
      <c r="C437" s="125"/>
      <c r="D437" s="125"/>
      <c r="E437" s="4"/>
      <c r="F437" s="4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</row>
    <row r="438">
      <c r="A438" s="125"/>
      <c r="B438" s="125"/>
      <c r="C438" s="110" t="s">
        <v>741</v>
      </c>
      <c r="D438" s="125"/>
      <c r="E438" s="4"/>
      <c r="F438" s="4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</row>
    <row r="439">
      <c r="A439" s="125"/>
      <c r="B439" s="125"/>
      <c r="C439" s="125"/>
      <c r="D439" s="110" t="s">
        <v>298</v>
      </c>
      <c r="E439" s="4"/>
      <c r="F439" s="4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</row>
    <row r="440">
      <c r="A440" s="125"/>
      <c r="B440" s="125"/>
      <c r="C440" s="125"/>
      <c r="D440" s="110" t="s">
        <v>314</v>
      </c>
      <c r="E440" s="4"/>
      <c r="F440" s="4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</row>
    <row r="441">
      <c r="A441" s="125"/>
      <c r="B441" s="125"/>
      <c r="C441" s="125"/>
      <c r="D441" s="110" t="s">
        <v>330</v>
      </c>
      <c r="E441" s="4"/>
      <c r="F441" s="4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</row>
    <row r="442">
      <c r="A442" s="125"/>
      <c r="B442" s="125"/>
      <c r="C442" s="125"/>
      <c r="D442" s="110" t="s">
        <v>312</v>
      </c>
      <c r="E442" s="4"/>
      <c r="F442" s="4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</row>
    <row r="443">
      <c r="A443" s="125"/>
      <c r="B443" s="125"/>
      <c r="C443" s="125"/>
      <c r="D443" s="110" t="s">
        <v>349</v>
      </c>
      <c r="E443" s="4"/>
      <c r="F443" s="4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</row>
    <row r="444">
      <c r="A444" s="125"/>
      <c r="B444" s="125"/>
      <c r="C444" s="125"/>
      <c r="D444" s="110" t="s">
        <v>362</v>
      </c>
      <c r="E444" s="4"/>
      <c r="F444" s="4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</row>
    <row r="445">
      <c r="A445" s="125"/>
      <c r="B445" s="125"/>
      <c r="C445" s="125"/>
      <c r="D445" s="110" t="s">
        <v>370</v>
      </c>
      <c r="E445" s="4"/>
      <c r="F445" s="4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</row>
    <row r="446">
      <c r="A446" s="125"/>
      <c r="B446" s="125"/>
      <c r="C446" s="110" t="s">
        <v>561</v>
      </c>
      <c r="D446" s="125"/>
      <c r="E446" s="4"/>
      <c r="F446" s="4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</row>
    <row r="447">
      <c r="A447" s="125"/>
      <c r="B447" s="125"/>
      <c r="C447" s="125"/>
      <c r="D447" s="110" t="s">
        <v>401</v>
      </c>
      <c r="E447" s="4"/>
      <c r="F447" s="4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</row>
    <row r="448">
      <c r="A448" s="125"/>
      <c r="B448" s="125"/>
      <c r="C448" s="125"/>
      <c r="D448" s="110" t="s">
        <v>392</v>
      </c>
      <c r="E448" s="4"/>
      <c r="F448" s="4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</row>
    <row r="449">
      <c r="A449" s="125"/>
      <c r="B449" s="125"/>
      <c r="C449" s="125"/>
      <c r="D449" s="110" t="s">
        <v>419</v>
      </c>
      <c r="E449" s="4"/>
      <c r="F449" s="4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</row>
    <row r="450">
      <c r="A450" s="125"/>
      <c r="B450" s="125"/>
      <c r="C450" s="125"/>
      <c r="D450" s="110" t="s">
        <v>426</v>
      </c>
      <c r="E450" s="4"/>
      <c r="F450" s="4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</row>
    <row r="451">
      <c r="A451" s="125"/>
      <c r="B451" s="125"/>
      <c r="C451" s="125"/>
      <c r="D451" s="110" t="s">
        <v>434</v>
      </c>
      <c r="E451" s="4"/>
      <c r="F451" s="4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</row>
    <row r="452">
      <c r="A452" s="125"/>
      <c r="B452" s="125"/>
      <c r="C452" s="125"/>
      <c r="D452" s="110" t="s">
        <v>427</v>
      </c>
      <c r="E452" s="4"/>
      <c r="F452" s="4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</row>
    <row r="453">
      <c r="A453" s="125"/>
      <c r="B453" s="125"/>
      <c r="C453" s="125"/>
      <c r="D453" s="110" t="s">
        <v>449</v>
      </c>
      <c r="E453" s="4"/>
      <c r="F453" s="4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</row>
    <row r="454">
      <c r="A454" s="125"/>
      <c r="B454" s="125"/>
      <c r="C454" s="125"/>
      <c r="D454" s="110" t="s">
        <v>321</v>
      </c>
      <c r="E454" s="4"/>
      <c r="F454" s="4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</row>
    <row r="455">
      <c r="A455" s="125"/>
      <c r="B455" s="125"/>
      <c r="C455" s="125"/>
      <c r="D455" s="110" t="s">
        <v>459</v>
      </c>
      <c r="E455" s="4"/>
      <c r="F455" s="4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</row>
    <row r="456">
      <c r="A456" s="125"/>
      <c r="B456" s="125"/>
      <c r="C456" s="125"/>
      <c r="D456" s="110" t="s">
        <v>405</v>
      </c>
      <c r="E456" s="4"/>
      <c r="F456" s="4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</row>
    <row r="457">
      <c r="A457" s="125"/>
      <c r="B457" s="125"/>
      <c r="C457" s="125"/>
      <c r="D457" s="110" t="s">
        <v>476</v>
      </c>
      <c r="E457" s="4"/>
      <c r="F457" s="4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</row>
    <row r="458">
      <c r="A458" s="125"/>
      <c r="B458" s="125"/>
      <c r="C458" s="125"/>
      <c r="D458" s="110" t="s">
        <v>485</v>
      </c>
      <c r="E458" s="4"/>
      <c r="F458" s="4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</row>
    <row r="459">
      <c r="A459" s="125"/>
      <c r="B459" s="125"/>
      <c r="C459" s="125"/>
      <c r="D459" s="110" t="s">
        <v>492</v>
      </c>
      <c r="E459" s="4"/>
      <c r="F459" s="4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</row>
    <row r="460">
      <c r="A460" s="125"/>
      <c r="B460" s="125"/>
      <c r="C460" s="125"/>
      <c r="D460" s="110" t="s">
        <v>502</v>
      </c>
      <c r="E460" s="4"/>
      <c r="F460" s="4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</row>
    <row r="461">
      <c r="A461" s="125"/>
      <c r="B461" s="125"/>
      <c r="C461" s="110" t="s">
        <v>311</v>
      </c>
      <c r="D461" s="125"/>
      <c r="E461" s="4"/>
      <c r="F461" s="4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</row>
    <row r="462">
      <c r="A462" s="125"/>
      <c r="B462" s="125"/>
      <c r="C462" s="125"/>
      <c r="D462" s="110" t="s">
        <v>296</v>
      </c>
      <c r="E462" s="4"/>
      <c r="F462" s="110" t="s">
        <v>296</v>
      </c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</row>
    <row r="463">
      <c r="A463" s="125"/>
      <c r="B463" s="125"/>
      <c r="C463" s="125"/>
      <c r="D463" s="110" t="s">
        <v>498</v>
      </c>
      <c r="E463" s="4"/>
      <c r="F463" s="110" t="s">
        <v>498</v>
      </c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</row>
    <row r="464">
      <c r="A464" s="125"/>
      <c r="B464" s="125"/>
      <c r="C464" s="125"/>
      <c r="D464" s="110" t="s">
        <v>542</v>
      </c>
      <c r="E464" s="4"/>
      <c r="F464" s="110" t="s">
        <v>542</v>
      </c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</row>
    <row r="465">
      <c r="A465" s="125"/>
      <c r="B465" s="125"/>
      <c r="C465" s="125"/>
      <c r="D465" s="110" t="s">
        <v>550</v>
      </c>
      <c r="E465" s="4"/>
      <c r="F465" s="110" t="s">
        <v>550</v>
      </c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</row>
    <row r="466">
      <c r="A466" s="125"/>
      <c r="B466" s="125"/>
      <c r="C466" s="125"/>
      <c r="D466" s="110" t="s">
        <v>422</v>
      </c>
      <c r="E466" s="4"/>
      <c r="F466" s="110" t="s">
        <v>422</v>
      </c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</row>
    <row r="467">
      <c r="A467" s="125"/>
      <c r="B467" s="125"/>
      <c r="C467" s="125"/>
      <c r="D467" s="110" t="s">
        <v>563</v>
      </c>
      <c r="E467" s="4"/>
      <c r="F467" s="110" t="s">
        <v>563</v>
      </c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</row>
    <row r="468">
      <c r="A468" s="125"/>
      <c r="B468" s="125"/>
      <c r="C468" s="125"/>
      <c r="D468" s="110" t="s">
        <v>468</v>
      </c>
      <c r="E468" s="4"/>
      <c r="F468" s="110" t="s">
        <v>468</v>
      </c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</row>
    <row r="469">
      <c r="A469" s="125"/>
      <c r="B469" s="125"/>
      <c r="C469" s="125"/>
      <c r="D469" s="110" t="s">
        <v>436</v>
      </c>
      <c r="E469" s="4"/>
      <c r="F469" s="110" t="s">
        <v>436</v>
      </c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</row>
    <row r="470">
      <c r="A470" s="125"/>
      <c r="B470" s="125"/>
      <c r="C470" s="125"/>
      <c r="D470" s="110" t="s">
        <v>329</v>
      </c>
      <c r="E470" s="4"/>
      <c r="F470" s="110" t="s">
        <v>329</v>
      </c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</row>
    <row r="471">
      <c r="A471" s="125"/>
      <c r="B471" s="125"/>
      <c r="C471" s="125"/>
      <c r="D471" s="110" t="s">
        <v>342</v>
      </c>
      <c r="E471" s="4"/>
      <c r="F471" s="110" t="s">
        <v>342</v>
      </c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</row>
    <row r="472">
      <c r="A472" s="125"/>
      <c r="B472" s="125"/>
      <c r="C472" s="110" t="s">
        <v>327</v>
      </c>
      <c r="D472" s="125"/>
      <c r="E472" s="4"/>
      <c r="F472" s="4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</row>
    <row r="473">
      <c r="A473" s="125"/>
      <c r="B473" s="125"/>
      <c r="C473" s="125"/>
      <c r="D473" s="110" t="s">
        <v>327</v>
      </c>
      <c r="E473" s="4"/>
      <c r="F473" s="4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</row>
    <row r="474">
      <c r="A474" s="125"/>
      <c r="B474" s="125"/>
      <c r="C474" s="125"/>
      <c r="D474" s="110" t="s">
        <v>504</v>
      </c>
      <c r="E474" s="4"/>
      <c r="F474" s="4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</row>
    <row r="475">
      <c r="A475" s="125"/>
      <c r="B475" s="125"/>
      <c r="C475" s="110" t="s">
        <v>308</v>
      </c>
      <c r="D475" s="125"/>
      <c r="E475" s="4"/>
      <c r="F475" s="4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</row>
    <row r="476">
      <c r="A476" s="125"/>
      <c r="B476" s="125"/>
      <c r="C476" s="125"/>
      <c r="D476" s="110" t="s">
        <v>364</v>
      </c>
      <c r="E476" s="4"/>
      <c r="F476" s="4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</row>
    <row r="477">
      <c r="A477" s="125"/>
      <c r="B477" s="125"/>
      <c r="C477" s="125"/>
      <c r="D477" s="110" t="s">
        <v>600</v>
      </c>
      <c r="E477" s="4"/>
      <c r="F477" s="4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</row>
    <row r="478">
      <c r="A478" s="125"/>
      <c r="B478" s="125"/>
      <c r="C478" s="125"/>
      <c r="D478" s="110" t="s">
        <v>606</v>
      </c>
      <c r="E478" s="4"/>
      <c r="F478" s="4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</row>
    <row r="479">
      <c r="A479" s="125"/>
      <c r="B479" s="125"/>
      <c r="C479" s="125"/>
      <c r="D479" s="110" t="s">
        <v>528</v>
      </c>
      <c r="E479" s="4"/>
      <c r="F479" s="4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</row>
    <row r="480">
      <c r="A480" s="125"/>
      <c r="B480" s="125"/>
      <c r="C480" s="110" t="s">
        <v>347</v>
      </c>
      <c r="D480" s="125"/>
      <c r="E480" s="4"/>
      <c r="F480" s="4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</row>
    <row r="481">
      <c r="A481" s="125"/>
      <c r="B481" s="125"/>
      <c r="C481" s="125"/>
      <c r="D481" s="110" t="s">
        <v>347</v>
      </c>
      <c r="E481" s="4"/>
      <c r="F481" s="4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</row>
    <row r="482">
      <c r="A482" s="125"/>
      <c r="B482" s="125"/>
      <c r="C482" s="110" t="s">
        <v>755</v>
      </c>
      <c r="D482" s="125"/>
      <c r="E482" s="4"/>
      <c r="F482" s="4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</row>
    <row r="483">
      <c r="A483" s="125"/>
      <c r="B483" s="125"/>
      <c r="C483" s="125"/>
      <c r="D483" s="110" t="s">
        <v>620</v>
      </c>
      <c r="E483" s="4"/>
      <c r="F483" s="4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</row>
    <row r="484">
      <c r="A484" s="125"/>
      <c r="B484" s="125"/>
      <c r="C484" s="125"/>
      <c r="D484" s="110" t="s">
        <v>315</v>
      </c>
      <c r="E484" s="4"/>
      <c r="F484" s="4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</row>
    <row r="485">
      <c r="A485" s="125"/>
      <c r="B485" s="125"/>
      <c r="C485" s="125"/>
      <c r="D485" s="110" t="s">
        <v>527</v>
      </c>
      <c r="E485" s="4"/>
      <c r="F485" s="4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</row>
    <row r="486">
      <c r="A486" s="125"/>
      <c r="B486" s="125"/>
      <c r="C486" s="125"/>
      <c r="D486" s="110" t="s">
        <v>625</v>
      </c>
      <c r="E486" s="4"/>
      <c r="F486" s="4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</row>
    <row r="487">
      <c r="A487" s="125"/>
      <c r="B487" s="125"/>
      <c r="C487" s="125"/>
      <c r="D487" s="110" t="s">
        <v>350</v>
      </c>
      <c r="E487" s="4"/>
      <c r="F487" s="4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</row>
    <row r="488">
      <c r="A488" s="125"/>
      <c r="B488" s="125"/>
      <c r="C488" s="110" t="s">
        <v>523</v>
      </c>
      <c r="D488" s="125"/>
      <c r="E488" s="4"/>
      <c r="F488" s="4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</row>
    <row r="489">
      <c r="A489" s="125"/>
      <c r="B489" s="125"/>
      <c r="C489" s="125"/>
      <c r="D489" s="110" t="s">
        <v>549</v>
      </c>
      <c r="E489" s="4"/>
      <c r="F489" s="4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</row>
    <row r="490">
      <c r="A490" s="125"/>
      <c r="B490" s="125"/>
      <c r="C490" s="125"/>
      <c r="D490" s="110" t="s">
        <v>638</v>
      </c>
      <c r="E490" s="4"/>
      <c r="F490" s="4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</row>
    <row r="491">
      <c r="A491" s="125"/>
      <c r="B491" s="110" t="s">
        <v>820</v>
      </c>
      <c r="C491" s="125"/>
      <c r="D491" s="125"/>
      <c r="E491" s="4"/>
      <c r="F491" s="4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</row>
    <row r="492">
      <c r="A492" s="125"/>
      <c r="B492" s="125"/>
      <c r="C492" s="110" t="s">
        <v>741</v>
      </c>
      <c r="D492" s="125"/>
      <c r="E492" s="4"/>
      <c r="F492" s="4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</row>
    <row r="493">
      <c r="A493" s="125"/>
      <c r="B493" s="125"/>
      <c r="C493" s="125"/>
      <c r="D493" s="110" t="s">
        <v>298</v>
      </c>
      <c r="E493" s="4"/>
      <c r="F493" s="110" t="s">
        <v>298</v>
      </c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</row>
    <row r="494">
      <c r="A494" s="125"/>
      <c r="B494" s="125"/>
      <c r="C494" s="125"/>
      <c r="D494" s="110" t="s">
        <v>314</v>
      </c>
      <c r="E494" s="4"/>
      <c r="F494" s="110" t="s">
        <v>314</v>
      </c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</row>
    <row r="495">
      <c r="A495" s="125"/>
      <c r="B495" s="125"/>
      <c r="C495" s="125"/>
      <c r="D495" s="110" t="s">
        <v>330</v>
      </c>
      <c r="E495" s="4"/>
      <c r="F495" s="110" t="s">
        <v>330</v>
      </c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</row>
    <row r="496">
      <c r="A496" s="125"/>
      <c r="B496" s="125"/>
      <c r="C496" s="125"/>
      <c r="D496" s="110" t="s">
        <v>312</v>
      </c>
      <c r="E496" s="4"/>
      <c r="F496" s="110" t="s">
        <v>312</v>
      </c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</row>
    <row r="497">
      <c r="A497" s="125"/>
      <c r="B497" s="125"/>
      <c r="C497" s="125"/>
      <c r="D497" s="110" t="s">
        <v>349</v>
      </c>
      <c r="E497" s="4"/>
      <c r="F497" s="110" t="s">
        <v>349</v>
      </c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</row>
    <row r="498">
      <c r="A498" s="125"/>
      <c r="B498" s="125"/>
      <c r="C498" s="125"/>
      <c r="D498" s="110" t="s">
        <v>362</v>
      </c>
      <c r="E498" s="4"/>
      <c r="F498" s="110" t="s">
        <v>362</v>
      </c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</row>
    <row r="499">
      <c r="A499" s="125"/>
      <c r="B499" s="125"/>
      <c r="C499" s="125"/>
      <c r="D499" s="110" t="s">
        <v>370</v>
      </c>
      <c r="E499" s="4"/>
      <c r="F499" s="110" t="s">
        <v>370</v>
      </c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</row>
    <row r="500">
      <c r="A500" s="125"/>
      <c r="B500" s="125"/>
      <c r="C500" s="110" t="s">
        <v>561</v>
      </c>
      <c r="D500" s="125"/>
      <c r="E500" s="4"/>
      <c r="F500" s="4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</row>
    <row r="501">
      <c r="A501" s="125"/>
      <c r="B501" s="125"/>
      <c r="C501" s="125"/>
      <c r="D501" s="110" t="s">
        <v>401</v>
      </c>
      <c r="E501" s="4"/>
      <c r="F501" s="110" t="s">
        <v>401</v>
      </c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</row>
    <row r="502">
      <c r="A502" s="125"/>
      <c r="B502" s="125"/>
      <c r="C502" s="125"/>
      <c r="D502" s="110" t="s">
        <v>392</v>
      </c>
      <c r="E502" s="4"/>
      <c r="F502" s="110" t="s">
        <v>392</v>
      </c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</row>
    <row r="503">
      <c r="A503" s="125"/>
      <c r="B503" s="125"/>
      <c r="C503" s="125"/>
      <c r="D503" s="110" t="s">
        <v>419</v>
      </c>
      <c r="E503" s="4"/>
      <c r="F503" s="110" t="s">
        <v>419</v>
      </c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</row>
    <row r="504">
      <c r="A504" s="125"/>
      <c r="B504" s="125"/>
      <c r="C504" s="125"/>
      <c r="D504" s="110" t="s">
        <v>426</v>
      </c>
      <c r="E504" s="4"/>
      <c r="F504" s="110" t="s">
        <v>426</v>
      </c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</row>
    <row r="505">
      <c r="A505" s="125"/>
      <c r="B505" s="125"/>
      <c r="C505" s="125"/>
      <c r="D505" s="110" t="s">
        <v>434</v>
      </c>
      <c r="E505" s="4"/>
      <c r="F505" s="110" t="s">
        <v>434</v>
      </c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</row>
    <row r="506">
      <c r="A506" s="125"/>
      <c r="B506" s="125"/>
      <c r="C506" s="125"/>
      <c r="D506" s="110" t="s">
        <v>427</v>
      </c>
      <c r="E506" s="4"/>
      <c r="F506" s="110" t="s">
        <v>427</v>
      </c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</row>
    <row r="507">
      <c r="A507" s="125"/>
      <c r="B507" s="125"/>
      <c r="C507" s="125"/>
      <c r="D507" s="110" t="s">
        <v>449</v>
      </c>
      <c r="E507" s="4"/>
      <c r="F507" s="110" t="s">
        <v>449</v>
      </c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</row>
    <row r="508">
      <c r="A508" s="125"/>
      <c r="B508" s="125"/>
      <c r="C508" s="125"/>
      <c r="D508" s="110" t="s">
        <v>321</v>
      </c>
      <c r="E508" s="4"/>
      <c r="F508" s="110" t="s">
        <v>321</v>
      </c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</row>
    <row r="509">
      <c r="A509" s="125"/>
      <c r="B509" s="125"/>
      <c r="C509" s="125"/>
      <c r="D509" s="110" t="s">
        <v>459</v>
      </c>
      <c r="E509" s="4"/>
      <c r="F509" s="110" t="s">
        <v>459</v>
      </c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</row>
    <row r="510">
      <c r="A510" s="125"/>
      <c r="B510" s="125"/>
      <c r="C510" s="125"/>
      <c r="D510" s="110" t="s">
        <v>405</v>
      </c>
      <c r="E510" s="4"/>
      <c r="F510" s="110" t="s">
        <v>405</v>
      </c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</row>
    <row r="511">
      <c r="A511" s="125"/>
      <c r="B511" s="125"/>
      <c r="C511" s="125"/>
      <c r="D511" s="110" t="s">
        <v>476</v>
      </c>
      <c r="E511" s="4"/>
      <c r="F511" s="110" t="s">
        <v>476</v>
      </c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</row>
    <row r="512">
      <c r="A512" s="125"/>
      <c r="B512" s="125"/>
      <c r="C512" s="125"/>
      <c r="D512" s="110" t="s">
        <v>485</v>
      </c>
      <c r="E512" s="4"/>
      <c r="F512" s="110" t="s">
        <v>485</v>
      </c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</row>
    <row r="513">
      <c r="A513" s="125"/>
      <c r="B513" s="125"/>
      <c r="C513" s="125"/>
      <c r="D513" s="110" t="s">
        <v>492</v>
      </c>
      <c r="E513" s="4"/>
      <c r="F513" s="110" t="s">
        <v>492</v>
      </c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</row>
    <row r="514">
      <c r="A514" s="125"/>
      <c r="B514" s="125"/>
      <c r="C514" s="125"/>
      <c r="D514" s="110" t="s">
        <v>502</v>
      </c>
      <c r="E514" s="4"/>
      <c r="F514" s="110" t="s">
        <v>502</v>
      </c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</row>
    <row r="515">
      <c r="A515" s="125"/>
      <c r="B515" s="125"/>
      <c r="C515" s="110" t="s">
        <v>311</v>
      </c>
      <c r="D515" s="125"/>
      <c r="E515" s="4"/>
      <c r="F515" s="4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</row>
    <row r="516">
      <c r="A516" s="125"/>
      <c r="B516" s="125"/>
      <c r="C516" s="125"/>
      <c r="D516" s="110" t="s">
        <v>296</v>
      </c>
      <c r="E516" s="4"/>
      <c r="F516" s="4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</row>
    <row r="517">
      <c r="A517" s="125"/>
      <c r="B517" s="125"/>
      <c r="C517" s="125"/>
      <c r="D517" s="110" t="s">
        <v>498</v>
      </c>
      <c r="E517" s="4"/>
      <c r="F517" s="4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</row>
    <row r="518">
      <c r="A518" s="125"/>
      <c r="B518" s="125"/>
      <c r="C518" s="125"/>
      <c r="D518" s="110" t="s">
        <v>542</v>
      </c>
      <c r="E518" s="4"/>
      <c r="F518" s="4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</row>
    <row r="519">
      <c r="A519" s="125"/>
      <c r="B519" s="125"/>
      <c r="C519" s="125"/>
      <c r="D519" s="110" t="s">
        <v>550</v>
      </c>
      <c r="E519" s="4"/>
      <c r="F519" s="4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</row>
    <row r="520">
      <c r="A520" s="125"/>
      <c r="B520" s="125"/>
      <c r="C520" s="125"/>
      <c r="D520" s="110" t="s">
        <v>422</v>
      </c>
      <c r="E520" s="4"/>
      <c r="F520" s="4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</row>
    <row r="521">
      <c r="A521" s="125"/>
      <c r="B521" s="125"/>
      <c r="C521" s="125"/>
      <c r="D521" s="110" t="s">
        <v>563</v>
      </c>
      <c r="E521" s="4"/>
      <c r="F521" s="4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</row>
    <row r="522">
      <c r="A522" s="125"/>
      <c r="B522" s="125"/>
      <c r="C522" s="125"/>
      <c r="D522" s="110" t="s">
        <v>468</v>
      </c>
      <c r="E522" s="4"/>
      <c r="F522" s="4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</row>
    <row r="523">
      <c r="A523" s="125"/>
      <c r="B523" s="125"/>
      <c r="C523" s="125"/>
      <c r="D523" s="110" t="s">
        <v>436</v>
      </c>
      <c r="E523" s="4"/>
      <c r="F523" s="4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</row>
    <row r="524">
      <c r="A524" s="125"/>
      <c r="B524" s="125"/>
      <c r="C524" s="125"/>
      <c r="D524" s="110" t="s">
        <v>329</v>
      </c>
      <c r="E524" s="4"/>
      <c r="F524" s="4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</row>
    <row r="525">
      <c r="A525" s="125"/>
      <c r="B525" s="125"/>
      <c r="C525" s="125"/>
      <c r="D525" s="110" t="s">
        <v>342</v>
      </c>
      <c r="E525" s="4"/>
      <c r="F525" s="4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</row>
    <row r="526">
      <c r="A526" s="125"/>
      <c r="B526" s="125"/>
      <c r="C526" s="110" t="s">
        <v>327</v>
      </c>
      <c r="D526" s="125"/>
      <c r="E526" s="4"/>
      <c r="F526" s="4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</row>
    <row r="527">
      <c r="A527" s="125"/>
      <c r="B527" s="125"/>
      <c r="C527" s="125"/>
      <c r="D527" s="110" t="s">
        <v>327</v>
      </c>
      <c r="E527" s="4"/>
      <c r="F527" s="4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</row>
    <row r="528">
      <c r="A528" s="125"/>
      <c r="B528" s="125"/>
      <c r="C528" s="125"/>
      <c r="D528" s="110" t="s">
        <v>504</v>
      </c>
      <c r="E528" s="4"/>
      <c r="F528" s="4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</row>
    <row r="529">
      <c r="A529" s="125"/>
      <c r="B529" s="125"/>
      <c r="C529" s="110" t="s">
        <v>308</v>
      </c>
      <c r="D529" s="125"/>
      <c r="E529" s="4"/>
      <c r="F529" s="4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</row>
    <row r="530">
      <c r="A530" s="125"/>
      <c r="B530" s="125"/>
      <c r="C530" s="125"/>
      <c r="D530" s="110" t="s">
        <v>364</v>
      </c>
      <c r="E530" s="4"/>
      <c r="F530" s="4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</row>
    <row r="531">
      <c r="A531" s="125"/>
      <c r="B531" s="125"/>
      <c r="C531" s="125"/>
      <c r="D531" s="110" t="s">
        <v>600</v>
      </c>
      <c r="E531" s="4"/>
      <c r="F531" s="4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</row>
    <row r="532">
      <c r="A532" s="125"/>
      <c r="B532" s="125"/>
      <c r="C532" s="125"/>
      <c r="D532" s="110" t="s">
        <v>606</v>
      </c>
      <c r="E532" s="4"/>
      <c r="F532" s="4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</row>
    <row r="533">
      <c r="A533" s="125"/>
      <c r="B533" s="125"/>
      <c r="C533" s="125"/>
      <c r="D533" s="110" t="s">
        <v>528</v>
      </c>
      <c r="E533" s="4"/>
      <c r="F533" s="4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</row>
    <row r="534">
      <c r="A534" s="125"/>
      <c r="B534" s="125"/>
      <c r="C534" s="110" t="s">
        <v>347</v>
      </c>
      <c r="D534" s="125"/>
      <c r="E534" s="4"/>
      <c r="F534" s="4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</row>
    <row r="535">
      <c r="A535" s="125"/>
      <c r="B535" s="125"/>
      <c r="C535" s="125"/>
      <c r="D535" s="110" t="s">
        <v>347</v>
      </c>
      <c r="E535" s="4"/>
      <c r="F535" s="4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</row>
    <row r="536">
      <c r="A536" s="125"/>
      <c r="B536" s="125"/>
      <c r="C536" s="110" t="s">
        <v>755</v>
      </c>
      <c r="D536" s="125"/>
      <c r="E536" s="4"/>
      <c r="F536" s="4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</row>
    <row r="537">
      <c r="A537" s="125"/>
      <c r="B537" s="125"/>
      <c r="C537" s="125"/>
      <c r="D537" s="110" t="s">
        <v>620</v>
      </c>
      <c r="E537" s="4"/>
      <c r="F537" s="4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</row>
    <row r="538">
      <c r="A538" s="125"/>
      <c r="B538" s="125"/>
      <c r="C538" s="125"/>
      <c r="D538" s="110" t="s">
        <v>315</v>
      </c>
      <c r="E538" s="4"/>
      <c r="F538" s="4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</row>
    <row r="539">
      <c r="A539" s="125"/>
      <c r="B539" s="125"/>
      <c r="C539" s="125"/>
      <c r="D539" s="110" t="s">
        <v>527</v>
      </c>
      <c r="E539" s="4"/>
      <c r="F539" s="4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</row>
    <row r="540">
      <c r="A540" s="125"/>
      <c r="B540" s="125"/>
      <c r="C540" s="125"/>
      <c r="D540" s="110" t="s">
        <v>625</v>
      </c>
      <c r="E540" s="4"/>
      <c r="F540" s="4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</row>
    <row r="541">
      <c r="A541" s="125"/>
      <c r="B541" s="125"/>
      <c r="C541" s="125"/>
      <c r="D541" s="110" t="s">
        <v>350</v>
      </c>
      <c r="E541" s="4"/>
      <c r="F541" s="4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</row>
    <row r="542">
      <c r="A542" s="125"/>
      <c r="B542" s="125"/>
      <c r="C542" s="110" t="s">
        <v>523</v>
      </c>
      <c r="D542" s="125"/>
      <c r="E542" s="4"/>
      <c r="F542" s="4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</row>
    <row r="543">
      <c r="A543" s="125"/>
      <c r="B543" s="125"/>
      <c r="C543" s="125"/>
      <c r="D543" s="110" t="s">
        <v>549</v>
      </c>
      <c r="E543" s="4"/>
      <c r="F543" s="4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</row>
    <row r="544">
      <c r="A544" s="125"/>
      <c r="B544" s="125"/>
      <c r="C544" s="125"/>
      <c r="D544" s="110" t="s">
        <v>638</v>
      </c>
      <c r="E544" s="4"/>
      <c r="F544" s="4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</row>
    <row r="545">
      <c r="A545" s="125"/>
      <c r="B545" s="110" t="s">
        <v>821</v>
      </c>
      <c r="C545" s="125"/>
      <c r="D545" s="125"/>
      <c r="E545" s="4"/>
      <c r="F545" s="4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</row>
    <row r="546">
      <c r="A546" s="125"/>
      <c r="B546" s="125"/>
      <c r="C546" s="110" t="s">
        <v>741</v>
      </c>
      <c r="D546" s="125"/>
      <c r="E546" s="4"/>
      <c r="F546" s="4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</row>
    <row r="547">
      <c r="A547" s="125"/>
      <c r="B547" s="125"/>
      <c r="C547" s="125"/>
      <c r="D547" s="110" t="s">
        <v>298</v>
      </c>
      <c r="E547" s="4"/>
      <c r="F547" s="110" t="s">
        <v>298</v>
      </c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</row>
    <row r="548">
      <c r="A548" s="125"/>
      <c r="B548" s="125"/>
      <c r="C548" s="125"/>
      <c r="D548" s="110" t="s">
        <v>314</v>
      </c>
      <c r="E548" s="4"/>
      <c r="F548" s="110" t="s">
        <v>314</v>
      </c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</row>
    <row r="549">
      <c r="A549" s="125"/>
      <c r="B549" s="125"/>
      <c r="C549" s="125"/>
      <c r="D549" s="110" t="s">
        <v>330</v>
      </c>
      <c r="E549" s="4"/>
      <c r="F549" s="110" t="s">
        <v>330</v>
      </c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</row>
    <row r="550">
      <c r="A550" s="125"/>
      <c r="B550" s="125"/>
      <c r="C550" s="125"/>
      <c r="D550" s="110" t="s">
        <v>312</v>
      </c>
      <c r="E550" s="4"/>
      <c r="F550" s="110" t="s">
        <v>312</v>
      </c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</row>
    <row r="551">
      <c r="A551" s="125"/>
      <c r="B551" s="125"/>
      <c r="C551" s="125"/>
      <c r="D551" s="110" t="s">
        <v>349</v>
      </c>
      <c r="E551" s="4"/>
      <c r="F551" s="110" t="s">
        <v>349</v>
      </c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</row>
    <row r="552">
      <c r="A552" s="125"/>
      <c r="B552" s="125"/>
      <c r="C552" s="125"/>
      <c r="D552" s="110" t="s">
        <v>362</v>
      </c>
      <c r="E552" s="4"/>
      <c r="F552" s="110" t="s">
        <v>362</v>
      </c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</row>
    <row r="553">
      <c r="A553" s="125"/>
      <c r="B553" s="125"/>
      <c r="C553" s="125"/>
      <c r="D553" s="110" t="s">
        <v>370</v>
      </c>
      <c r="E553" s="4"/>
      <c r="F553" s="110" t="s">
        <v>370</v>
      </c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</row>
    <row r="554">
      <c r="A554" s="125"/>
      <c r="B554" s="125"/>
      <c r="C554" s="110" t="s">
        <v>561</v>
      </c>
      <c r="D554" s="125"/>
      <c r="E554" s="4"/>
      <c r="F554" s="4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</row>
    <row r="555">
      <c r="A555" s="125"/>
      <c r="B555" s="125"/>
      <c r="C555" s="125"/>
      <c r="D555" s="110" t="s">
        <v>401</v>
      </c>
      <c r="E555" s="4"/>
      <c r="F555" s="110" t="s">
        <v>401</v>
      </c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</row>
    <row r="556">
      <c r="A556" s="125"/>
      <c r="B556" s="125"/>
      <c r="C556" s="125"/>
      <c r="D556" s="110" t="s">
        <v>392</v>
      </c>
      <c r="E556" s="4"/>
      <c r="F556" s="110" t="s">
        <v>392</v>
      </c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</row>
    <row r="557">
      <c r="A557" s="125"/>
      <c r="B557" s="125"/>
      <c r="C557" s="125"/>
      <c r="D557" s="110" t="s">
        <v>419</v>
      </c>
      <c r="E557" s="4"/>
      <c r="F557" s="110" t="s">
        <v>419</v>
      </c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</row>
    <row r="558">
      <c r="A558" s="125"/>
      <c r="B558" s="125"/>
      <c r="C558" s="125"/>
      <c r="D558" s="110" t="s">
        <v>426</v>
      </c>
      <c r="E558" s="4"/>
      <c r="F558" s="110" t="s">
        <v>426</v>
      </c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</row>
    <row r="559">
      <c r="A559" s="125"/>
      <c r="B559" s="125"/>
      <c r="C559" s="125"/>
      <c r="D559" s="110" t="s">
        <v>434</v>
      </c>
      <c r="E559" s="4"/>
      <c r="F559" s="110" t="s">
        <v>434</v>
      </c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</row>
    <row r="560">
      <c r="A560" s="125"/>
      <c r="B560" s="125"/>
      <c r="C560" s="125"/>
      <c r="D560" s="110" t="s">
        <v>427</v>
      </c>
      <c r="E560" s="4"/>
      <c r="F560" s="110" t="s">
        <v>427</v>
      </c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</row>
    <row r="561">
      <c r="A561" s="125"/>
      <c r="B561" s="125"/>
      <c r="C561" s="125"/>
      <c r="D561" s="110" t="s">
        <v>449</v>
      </c>
      <c r="E561" s="4"/>
      <c r="F561" s="110" t="s">
        <v>449</v>
      </c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</row>
    <row r="562">
      <c r="A562" s="125"/>
      <c r="B562" s="125"/>
      <c r="C562" s="125"/>
      <c r="D562" s="110" t="s">
        <v>321</v>
      </c>
      <c r="E562" s="4"/>
      <c r="F562" s="110" t="s">
        <v>321</v>
      </c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</row>
    <row r="563">
      <c r="A563" s="125"/>
      <c r="B563" s="125"/>
      <c r="C563" s="125"/>
      <c r="D563" s="110" t="s">
        <v>459</v>
      </c>
      <c r="E563" s="4"/>
      <c r="F563" s="110" t="s">
        <v>459</v>
      </c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</row>
    <row r="564">
      <c r="A564" s="125"/>
      <c r="B564" s="125"/>
      <c r="C564" s="125"/>
      <c r="D564" s="110" t="s">
        <v>405</v>
      </c>
      <c r="E564" s="4"/>
      <c r="F564" s="110" t="s">
        <v>405</v>
      </c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</row>
    <row r="565">
      <c r="A565" s="125"/>
      <c r="B565" s="125"/>
      <c r="C565" s="125"/>
      <c r="D565" s="110" t="s">
        <v>476</v>
      </c>
      <c r="E565" s="4"/>
      <c r="F565" s="110" t="s">
        <v>476</v>
      </c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</row>
    <row r="566">
      <c r="A566" s="125"/>
      <c r="B566" s="125"/>
      <c r="C566" s="125"/>
      <c r="D566" s="110" t="s">
        <v>485</v>
      </c>
      <c r="E566" s="4"/>
      <c r="F566" s="110" t="s">
        <v>485</v>
      </c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</row>
    <row r="567">
      <c r="A567" s="125"/>
      <c r="B567" s="125"/>
      <c r="C567" s="125"/>
      <c r="D567" s="110" t="s">
        <v>492</v>
      </c>
      <c r="E567" s="4"/>
      <c r="F567" s="110" t="s">
        <v>492</v>
      </c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</row>
    <row r="568">
      <c r="A568" s="125"/>
      <c r="B568" s="125"/>
      <c r="C568" s="125"/>
      <c r="D568" s="110" t="s">
        <v>502</v>
      </c>
      <c r="E568" s="4"/>
      <c r="F568" s="110" t="s">
        <v>502</v>
      </c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</row>
    <row r="569">
      <c r="A569" s="125"/>
      <c r="B569" s="125"/>
      <c r="C569" s="110" t="s">
        <v>311</v>
      </c>
      <c r="D569" s="125"/>
      <c r="E569" s="4"/>
      <c r="F569" s="4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</row>
    <row r="570">
      <c r="A570" s="125"/>
      <c r="B570" s="125"/>
      <c r="C570" s="125"/>
      <c r="D570" s="110" t="s">
        <v>296</v>
      </c>
      <c r="E570" s="4"/>
      <c r="F570" s="110" t="s">
        <v>296</v>
      </c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</row>
    <row r="571">
      <c r="A571" s="125"/>
      <c r="B571" s="125"/>
      <c r="C571" s="125"/>
      <c r="D571" s="110" t="s">
        <v>498</v>
      </c>
      <c r="E571" s="4"/>
      <c r="F571" s="110" t="s">
        <v>498</v>
      </c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</row>
    <row r="572">
      <c r="A572" s="125"/>
      <c r="B572" s="125"/>
      <c r="C572" s="125"/>
      <c r="D572" s="110" t="s">
        <v>542</v>
      </c>
      <c r="E572" s="4"/>
      <c r="F572" s="110" t="s">
        <v>542</v>
      </c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</row>
    <row r="573">
      <c r="A573" s="125"/>
      <c r="B573" s="125"/>
      <c r="C573" s="125"/>
      <c r="D573" s="110" t="s">
        <v>550</v>
      </c>
      <c r="E573" s="4"/>
      <c r="F573" s="110" t="s">
        <v>550</v>
      </c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</row>
    <row r="574">
      <c r="A574" s="125"/>
      <c r="B574" s="125"/>
      <c r="C574" s="125"/>
      <c r="D574" s="110" t="s">
        <v>422</v>
      </c>
      <c r="E574" s="4"/>
      <c r="F574" s="110" t="s">
        <v>422</v>
      </c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</row>
    <row r="575">
      <c r="A575" s="125"/>
      <c r="B575" s="125"/>
      <c r="C575" s="125"/>
      <c r="D575" s="110" t="s">
        <v>563</v>
      </c>
      <c r="E575" s="4"/>
      <c r="F575" s="110" t="s">
        <v>563</v>
      </c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</row>
    <row r="576">
      <c r="A576" s="125"/>
      <c r="B576" s="125"/>
      <c r="C576" s="125"/>
      <c r="D576" s="110" t="s">
        <v>468</v>
      </c>
      <c r="E576" s="4"/>
      <c r="F576" s="110" t="s">
        <v>468</v>
      </c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</row>
    <row r="577">
      <c r="A577" s="125"/>
      <c r="B577" s="125"/>
      <c r="C577" s="125"/>
      <c r="D577" s="110" t="s">
        <v>436</v>
      </c>
      <c r="E577" s="4"/>
      <c r="F577" s="110" t="s">
        <v>436</v>
      </c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</row>
    <row r="578">
      <c r="A578" s="125"/>
      <c r="B578" s="125"/>
      <c r="C578" s="125"/>
      <c r="D578" s="110" t="s">
        <v>329</v>
      </c>
      <c r="E578" s="4"/>
      <c r="F578" s="110" t="s">
        <v>329</v>
      </c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</row>
    <row r="579">
      <c r="A579" s="125"/>
      <c r="B579" s="125"/>
      <c r="C579" s="125"/>
      <c r="D579" s="110" t="s">
        <v>342</v>
      </c>
      <c r="E579" s="4"/>
      <c r="F579" s="110" t="s">
        <v>342</v>
      </c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</row>
    <row r="580">
      <c r="A580" s="125"/>
      <c r="B580" s="125"/>
      <c r="C580" s="110" t="s">
        <v>327</v>
      </c>
      <c r="D580" s="125"/>
      <c r="E580" s="4"/>
      <c r="F580" s="4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</row>
    <row r="581">
      <c r="A581" s="125"/>
      <c r="B581" s="125"/>
      <c r="C581" s="125"/>
      <c r="D581" s="110" t="s">
        <v>327</v>
      </c>
      <c r="E581" s="4"/>
      <c r="F581" s="4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</row>
    <row r="582">
      <c r="A582" s="125"/>
      <c r="B582" s="125"/>
      <c r="C582" s="125"/>
      <c r="D582" s="110" t="s">
        <v>504</v>
      </c>
      <c r="E582" s="4"/>
      <c r="F582" s="4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</row>
    <row r="583">
      <c r="A583" s="125"/>
      <c r="B583" s="125"/>
      <c r="C583" s="110" t="s">
        <v>308</v>
      </c>
      <c r="D583" s="125"/>
      <c r="E583" s="4"/>
      <c r="F583" s="4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</row>
    <row r="584">
      <c r="A584" s="125"/>
      <c r="B584" s="125"/>
      <c r="C584" s="125"/>
      <c r="D584" s="110" t="s">
        <v>364</v>
      </c>
      <c r="E584" s="4"/>
      <c r="F584" s="4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</row>
    <row r="585">
      <c r="A585" s="125"/>
      <c r="B585" s="125"/>
      <c r="C585" s="125"/>
      <c r="D585" s="110" t="s">
        <v>600</v>
      </c>
      <c r="E585" s="4"/>
      <c r="F585" s="4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</row>
    <row r="586">
      <c r="A586" s="125"/>
      <c r="B586" s="125"/>
      <c r="C586" s="125"/>
      <c r="D586" s="110" t="s">
        <v>606</v>
      </c>
      <c r="E586" s="4"/>
      <c r="F586" s="4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</row>
    <row r="587">
      <c r="A587" s="125"/>
      <c r="B587" s="125"/>
      <c r="C587" s="125"/>
      <c r="D587" s="110" t="s">
        <v>528</v>
      </c>
      <c r="E587" s="4"/>
      <c r="F587" s="4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</row>
    <row r="588">
      <c r="A588" s="125"/>
      <c r="B588" s="125"/>
      <c r="C588" s="110" t="s">
        <v>822</v>
      </c>
      <c r="D588" s="125"/>
      <c r="E588" s="4"/>
      <c r="F588" s="4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</row>
    <row r="589">
      <c r="A589" s="125"/>
      <c r="B589" s="125"/>
      <c r="C589" s="125"/>
      <c r="D589" s="110" t="s">
        <v>513</v>
      </c>
      <c r="E589" s="4"/>
      <c r="F589" s="4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</row>
    <row r="590">
      <c r="A590" s="125"/>
      <c r="B590" s="125"/>
      <c r="C590" s="125"/>
      <c r="D590" s="110" t="s">
        <v>649</v>
      </c>
      <c r="E590" s="4"/>
      <c r="F590" s="4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</row>
    <row r="591">
      <c r="A591" s="125"/>
      <c r="B591" s="125"/>
      <c r="C591" s="125"/>
      <c r="D591" s="110" t="s">
        <v>405</v>
      </c>
      <c r="E591" s="4"/>
      <c r="F591" s="4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</row>
    <row r="592">
      <c r="A592" s="125"/>
      <c r="B592" s="125"/>
      <c r="C592" s="125"/>
      <c r="D592" s="110" t="s">
        <v>654</v>
      </c>
      <c r="E592" s="4"/>
      <c r="F592" s="4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</row>
    <row r="593">
      <c r="A593" s="125"/>
      <c r="B593" s="125"/>
      <c r="C593" s="110" t="s">
        <v>347</v>
      </c>
      <c r="D593" s="125"/>
      <c r="E593" s="4"/>
      <c r="F593" s="4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</row>
    <row r="594">
      <c r="A594" s="125"/>
      <c r="B594" s="125"/>
      <c r="C594" s="125"/>
      <c r="D594" s="110" t="s">
        <v>347</v>
      </c>
      <c r="E594" s="4"/>
      <c r="F594" s="4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</row>
    <row r="595">
      <c r="A595" s="125"/>
      <c r="B595" s="125"/>
      <c r="C595" s="110" t="s">
        <v>755</v>
      </c>
      <c r="D595" s="125"/>
      <c r="E595" s="4"/>
      <c r="F595" s="4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</row>
    <row r="596">
      <c r="A596" s="125"/>
      <c r="B596" s="125"/>
      <c r="C596" s="125"/>
      <c r="D596" s="110" t="s">
        <v>620</v>
      </c>
      <c r="E596" s="4"/>
      <c r="F596" s="4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</row>
    <row r="597">
      <c r="A597" s="125"/>
      <c r="B597" s="125"/>
      <c r="C597" s="125"/>
      <c r="D597" s="110" t="s">
        <v>315</v>
      </c>
      <c r="E597" s="4"/>
      <c r="F597" s="4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</row>
    <row r="598">
      <c r="A598" s="125"/>
      <c r="B598" s="125"/>
      <c r="C598" s="125"/>
      <c r="D598" s="110" t="s">
        <v>527</v>
      </c>
      <c r="E598" s="4"/>
      <c r="F598" s="4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</row>
    <row r="599">
      <c r="A599" s="125"/>
      <c r="B599" s="125"/>
      <c r="C599" s="125"/>
      <c r="D599" s="110" t="s">
        <v>625</v>
      </c>
      <c r="E599" s="4"/>
      <c r="F599" s="4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</row>
    <row r="600">
      <c r="A600" s="125"/>
      <c r="B600" s="125"/>
      <c r="C600" s="125"/>
      <c r="D600" s="110" t="s">
        <v>350</v>
      </c>
      <c r="E600" s="4"/>
      <c r="F600" s="4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</row>
    <row r="601">
      <c r="A601" s="125"/>
      <c r="B601" s="125"/>
      <c r="C601" s="110" t="s">
        <v>523</v>
      </c>
      <c r="D601" s="125"/>
      <c r="E601" s="4"/>
      <c r="F601" s="4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</row>
    <row r="602">
      <c r="A602" s="125"/>
      <c r="B602" s="125"/>
      <c r="C602" s="125"/>
      <c r="D602" s="110" t="s">
        <v>549</v>
      </c>
      <c r="E602" s="4"/>
      <c r="F602" s="4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</row>
    <row r="603">
      <c r="A603" s="125"/>
      <c r="B603" s="125"/>
      <c r="C603" s="125"/>
      <c r="D603" s="110" t="s">
        <v>638</v>
      </c>
      <c r="E603" s="4"/>
      <c r="F603" s="4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</row>
    <row r="604">
      <c r="A604" s="125"/>
      <c r="B604" s="110" t="s">
        <v>823</v>
      </c>
      <c r="C604" s="125"/>
      <c r="D604" s="125"/>
      <c r="E604" s="4"/>
      <c r="F604" s="4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</row>
    <row r="605">
      <c r="A605" s="125"/>
      <c r="B605" s="125"/>
      <c r="C605" s="110" t="s">
        <v>741</v>
      </c>
      <c r="D605" s="125"/>
      <c r="E605" s="4"/>
      <c r="F605" s="4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</row>
    <row r="606">
      <c r="A606" s="125"/>
      <c r="B606" s="125"/>
      <c r="C606" s="125"/>
      <c r="D606" s="110" t="s">
        <v>297</v>
      </c>
      <c r="E606" s="4"/>
      <c r="F606" s="4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</row>
    <row r="607">
      <c r="A607" s="125"/>
      <c r="B607" s="125"/>
      <c r="C607" s="125"/>
      <c r="D607" s="110" t="s">
        <v>315</v>
      </c>
      <c r="E607" s="4"/>
      <c r="F607" s="4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</row>
    <row r="608">
      <c r="A608" s="125"/>
      <c r="B608" s="125"/>
      <c r="C608" s="125"/>
      <c r="D608" s="110" t="s">
        <v>328</v>
      </c>
      <c r="E608" s="4"/>
      <c r="F608" s="4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</row>
    <row r="609">
      <c r="A609" s="125"/>
      <c r="B609" s="125"/>
      <c r="C609" s="125"/>
      <c r="D609" s="110" t="s">
        <v>332</v>
      </c>
      <c r="E609" s="4"/>
      <c r="F609" s="4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</row>
    <row r="610">
      <c r="A610" s="125"/>
      <c r="B610" s="125"/>
      <c r="C610" s="125"/>
      <c r="D610" s="110" t="s">
        <v>350</v>
      </c>
      <c r="E610" s="4"/>
      <c r="F610" s="4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</row>
    <row r="611">
      <c r="A611" s="125"/>
      <c r="B611" s="125"/>
      <c r="C611" s="110" t="s">
        <v>816</v>
      </c>
      <c r="D611" s="125"/>
      <c r="E611" s="4"/>
      <c r="F611" s="4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</row>
    <row r="612">
      <c r="A612" s="125"/>
      <c r="B612" s="125"/>
      <c r="C612" s="125"/>
      <c r="D612" s="110" t="s">
        <v>379</v>
      </c>
      <c r="E612" s="4"/>
      <c r="F612" s="4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</row>
    <row r="613">
      <c r="A613" s="125"/>
      <c r="B613" s="125"/>
      <c r="C613" s="125"/>
      <c r="D613" s="110" t="s">
        <v>392</v>
      </c>
      <c r="E613" s="4"/>
      <c r="F613" s="4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</row>
    <row r="614">
      <c r="A614" s="125"/>
      <c r="B614" s="125"/>
      <c r="C614" s="125"/>
      <c r="D614" s="110" t="s">
        <v>402</v>
      </c>
      <c r="E614" s="4"/>
      <c r="F614" s="4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</row>
    <row r="615">
      <c r="A615" s="125"/>
      <c r="B615" s="125"/>
      <c r="C615" s="125"/>
      <c r="D615" s="110" t="s">
        <v>313</v>
      </c>
      <c r="E615" s="4"/>
      <c r="F615" s="4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</row>
    <row r="616">
      <c r="A616" s="125"/>
      <c r="B616" s="125"/>
      <c r="C616" s="125"/>
      <c r="D616" s="110" t="s">
        <v>420</v>
      </c>
      <c r="E616" s="4"/>
      <c r="F616" s="4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</row>
    <row r="617">
      <c r="A617" s="125"/>
      <c r="B617" s="125"/>
      <c r="C617" s="125"/>
      <c r="D617" s="110" t="s">
        <v>427</v>
      </c>
      <c r="E617" s="4"/>
      <c r="F617" s="4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</row>
    <row r="618">
      <c r="A618" s="125"/>
      <c r="B618" s="125"/>
      <c r="C618" s="125"/>
      <c r="D618" s="110" t="s">
        <v>405</v>
      </c>
      <c r="E618" s="4"/>
      <c r="F618" s="4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</row>
    <row r="619">
      <c r="A619" s="125"/>
      <c r="B619" s="125"/>
      <c r="C619" s="110" t="s">
        <v>311</v>
      </c>
      <c r="D619" s="125"/>
      <c r="E619" s="4"/>
      <c r="F619" s="4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</row>
    <row r="620">
      <c r="A620" s="125"/>
      <c r="B620" s="125"/>
      <c r="C620" s="125"/>
      <c r="D620" s="110" t="s">
        <v>296</v>
      </c>
      <c r="E620" s="4"/>
      <c r="F620" s="4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</row>
    <row r="621">
      <c r="A621" s="125"/>
      <c r="B621" s="125"/>
      <c r="C621" s="125"/>
      <c r="D621" s="110" t="s">
        <v>312</v>
      </c>
      <c r="E621" s="4"/>
      <c r="F621" s="4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</row>
    <row r="622">
      <c r="A622" s="125"/>
      <c r="B622" s="125"/>
      <c r="C622" s="125"/>
      <c r="D622" s="110" t="s">
        <v>468</v>
      </c>
      <c r="E622" s="4"/>
      <c r="F622" s="4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</row>
    <row r="623">
      <c r="A623" s="125"/>
      <c r="B623" s="125"/>
      <c r="C623" s="125"/>
      <c r="D623" s="110" t="s">
        <v>329</v>
      </c>
      <c r="E623" s="4"/>
      <c r="F623" s="4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</row>
    <row r="624">
      <c r="A624" s="125"/>
      <c r="B624" s="125"/>
      <c r="C624" s="125"/>
      <c r="D624" s="110" t="s">
        <v>342</v>
      </c>
      <c r="E624" s="4"/>
      <c r="F624" s="4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</row>
    <row r="625">
      <c r="A625" s="125"/>
      <c r="B625" s="125"/>
      <c r="C625" s="110" t="s">
        <v>327</v>
      </c>
      <c r="D625" s="125"/>
      <c r="E625" s="4"/>
      <c r="F625" s="4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</row>
    <row r="626">
      <c r="A626" s="125"/>
      <c r="B626" s="125"/>
      <c r="C626" s="125"/>
      <c r="D626" s="110" t="s">
        <v>327</v>
      </c>
      <c r="E626" s="4"/>
      <c r="F626" s="4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</row>
    <row r="627">
      <c r="A627" s="125"/>
      <c r="B627" s="125"/>
      <c r="C627" s="125"/>
      <c r="D627" s="110" t="s">
        <v>504</v>
      </c>
      <c r="E627" s="4"/>
      <c r="F627" s="4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</row>
    <row r="628">
      <c r="A628" s="125"/>
      <c r="B628" s="125"/>
      <c r="C628" s="110" t="s">
        <v>308</v>
      </c>
      <c r="D628" s="125"/>
      <c r="E628" s="4"/>
      <c r="F628" s="4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</row>
    <row r="629">
      <c r="A629" s="125"/>
      <c r="B629" s="125"/>
      <c r="C629" s="125"/>
      <c r="D629" s="110" t="s">
        <v>364</v>
      </c>
      <c r="E629" s="4"/>
      <c r="F629" s="4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</row>
    <row r="630">
      <c r="A630" s="125"/>
      <c r="B630" s="125"/>
      <c r="C630" s="125"/>
      <c r="D630" s="110" t="s">
        <v>420</v>
      </c>
      <c r="E630" s="4"/>
      <c r="F630" s="4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</row>
    <row r="631">
      <c r="A631" s="125"/>
      <c r="B631" s="125"/>
      <c r="C631" s="125"/>
      <c r="D631" s="110" t="s">
        <v>528</v>
      </c>
      <c r="E631" s="4"/>
      <c r="F631" s="4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</row>
    <row r="632">
      <c r="A632" s="125"/>
      <c r="B632" s="125"/>
      <c r="C632" s="110" t="s">
        <v>510</v>
      </c>
      <c r="D632" s="125"/>
      <c r="E632" s="4"/>
      <c r="F632" s="4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</row>
    <row r="633">
      <c r="A633" s="125"/>
      <c r="B633" s="125"/>
      <c r="C633" s="125"/>
      <c r="D633" s="110" t="s">
        <v>364</v>
      </c>
      <c r="E633" s="4"/>
      <c r="F633" s="4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</row>
    <row r="634">
      <c r="A634" s="125"/>
      <c r="B634" s="125"/>
      <c r="C634" s="125"/>
      <c r="D634" s="110" t="s">
        <v>557</v>
      </c>
      <c r="E634" s="4"/>
      <c r="F634" s="4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</row>
    <row r="635">
      <c r="A635" s="125"/>
      <c r="B635" s="125"/>
      <c r="C635" s="125"/>
      <c r="D635" s="110" t="s">
        <v>564</v>
      </c>
      <c r="E635" s="4"/>
      <c r="F635" s="4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</row>
    <row r="636">
      <c r="A636" s="125"/>
      <c r="B636" s="125"/>
      <c r="C636" s="125"/>
      <c r="D636" s="110" t="s">
        <v>568</v>
      </c>
      <c r="E636" s="4"/>
      <c r="F636" s="4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</row>
    <row r="637">
      <c r="A637" s="125"/>
      <c r="B637" s="125"/>
      <c r="C637" s="125"/>
      <c r="D637" s="110" t="s">
        <v>528</v>
      </c>
      <c r="E637" s="4"/>
      <c r="F637" s="4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</row>
    <row r="638">
      <c r="A638" s="125"/>
      <c r="B638" s="125"/>
      <c r="C638" s="110" t="s">
        <v>347</v>
      </c>
      <c r="D638" s="125"/>
      <c r="E638" s="4"/>
      <c r="F638" s="4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</row>
    <row r="639">
      <c r="A639" s="125"/>
      <c r="B639" s="125"/>
      <c r="C639" s="125"/>
      <c r="D639" s="110" t="s">
        <v>347</v>
      </c>
      <c r="E639" s="4"/>
      <c r="F639" s="4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</row>
    <row r="640">
      <c r="A640" s="125"/>
      <c r="B640" s="125"/>
      <c r="C640" s="110" t="s">
        <v>523</v>
      </c>
      <c r="D640" s="125"/>
      <c r="E640" s="4"/>
      <c r="F640" s="4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</row>
    <row r="641">
      <c r="A641" s="125"/>
      <c r="B641" s="125"/>
      <c r="C641" s="125"/>
      <c r="D641" s="110" t="s">
        <v>549</v>
      </c>
      <c r="E641" s="4"/>
      <c r="F641" s="4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</row>
    <row r="642">
      <c r="A642" s="125"/>
      <c r="B642" s="125"/>
      <c r="C642" s="125"/>
      <c r="D642" s="110" t="s">
        <v>556</v>
      </c>
      <c r="E642" s="4"/>
      <c r="F642" s="4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</row>
    <row r="643">
      <c r="A643" s="118" t="s">
        <v>824</v>
      </c>
      <c r="B643" s="126"/>
      <c r="C643" s="126"/>
      <c r="D643" s="126"/>
      <c r="E643" s="4"/>
      <c r="F643" s="4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</row>
    <row r="644">
      <c r="A644" s="126"/>
      <c r="B644" s="118" t="s">
        <v>825</v>
      </c>
      <c r="C644" s="126"/>
      <c r="D644" s="126"/>
      <c r="E644" s="4"/>
      <c r="F644" s="4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</row>
    <row r="645">
      <c r="A645" s="126"/>
      <c r="B645" s="126"/>
      <c r="C645" s="118" t="s">
        <v>741</v>
      </c>
      <c r="D645" s="126"/>
      <c r="E645" s="4"/>
      <c r="F645" s="4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</row>
    <row r="646">
      <c r="A646" s="126"/>
      <c r="B646" s="126"/>
      <c r="C646" s="126"/>
      <c r="D646" s="118" t="s">
        <v>304</v>
      </c>
      <c r="E646" s="4"/>
      <c r="F646" s="4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</row>
    <row r="647">
      <c r="A647" s="126"/>
      <c r="B647" s="126"/>
      <c r="C647" s="126"/>
      <c r="D647" s="118" t="s">
        <v>321</v>
      </c>
      <c r="E647" s="4"/>
      <c r="F647" s="4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</row>
    <row r="648">
      <c r="A648" s="126"/>
      <c r="B648" s="126"/>
      <c r="C648" s="126"/>
      <c r="D648" s="118" t="s">
        <v>336</v>
      </c>
      <c r="E648" s="4"/>
      <c r="F648" s="4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</row>
    <row r="649">
      <c r="A649" s="126"/>
      <c r="B649" s="126"/>
      <c r="C649" s="126"/>
      <c r="D649" s="118" t="s">
        <v>345</v>
      </c>
      <c r="E649" s="4"/>
      <c r="F649" s="4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</row>
    <row r="650">
      <c r="A650" s="126"/>
      <c r="B650" s="126"/>
      <c r="C650" s="126"/>
      <c r="D650" s="118" t="s">
        <v>356</v>
      </c>
      <c r="E650" s="4"/>
      <c r="F650" s="4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</row>
    <row r="651">
      <c r="A651" s="126"/>
      <c r="B651" s="126"/>
      <c r="C651" s="126"/>
      <c r="D651" s="118" t="s">
        <v>366</v>
      </c>
      <c r="E651" s="4"/>
      <c r="F651" s="4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</row>
    <row r="652">
      <c r="A652" s="126"/>
      <c r="B652" s="126"/>
      <c r="C652" s="118" t="s">
        <v>311</v>
      </c>
      <c r="D652" s="126"/>
      <c r="E652" s="4"/>
      <c r="F652" s="4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</row>
    <row r="653">
      <c r="A653" s="126"/>
      <c r="B653" s="126"/>
      <c r="C653" s="126"/>
      <c r="D653" s="118" t="s">
        <v>296</v>
      </c>
      <c r="E653" s="4"/>
      <c r="F653" s="4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</row>
    <row r="654">
      <c r="A654" s="126"/>
      <c r="B654" s="126"/>
      <c r="C654" s="126"/>
      <c r="D654" s="118" t="s">
        <v>405</v>
      </c>
      <c r="E654" s="4"/>
      <c r="F654" s="4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</row>
    <row r="655">
      <c r="A655" s="126"/>
      <c r="B655" s="126"/>
      <c r="C655" s="126"/>
      <c r="D655" s="118" t="s">
        <v>415</v>
      </c>
      <c r="E655" s="4"/>
      <c r="F655" s="4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</row>
    <row r="656">
      <c r="A656" s="126"/>
      <c r="B656" s="126"/>
      <c r="C656" s="126"/>
      <c r="D656" s="118" t="s">
        <v>312</v>
      </c>
      <c r="E656" s="4"/>
      <c r="F656" s="4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</row>
    <row r="657">
      <c r="A657" s="126"/>
      <c r="B657" s="126"/>
      <c r="C657" s="126"/>
      <c r="D657" s="118" t="s">
        <v>422</v>
      </c>
      <c r="E657" s="4"/>
      <c r="F657" s="4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</row>
    <row r="658">
      <c r="A658" s="126"/>
      <c r="B658" s="126"/>
      <c r="C658" s="126"/>
      <c r="D658" s="118" t="s">
        <v>362</v>
      </c>
      <c r="E658" s="4"/>
      <c r="F658" s="4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</row>
    <row r="659">
      <c r="A659" s="126"/>
      <c r="B659" s="126"/>
      <c r="C659" s="126"/>
      <c r="D659" s="118" t="s">
        <v>436</v>
      </c>
      <c r="E659" s="4"/>
      <c r="F659" s="4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</row>
    <row r="660">
      <c r="A660" s="126"/>
      <c r="B660" s="126"/>
      <c r="C660" s="126"/>
      <c r="D660" s="118" t="s">
        <v>329</v>
      </c>
      <c r="E660" s="4"/>
      <c r="F660" s="4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</row>
    <row r="661">
      <c r="A661" s="126"/>
      <c r="B661" s="126"/>
      <c r="C661" s="126"/>
      <c r="D661" s="118" t="s">
        <v>342</v>
      </c>
      <c r="E661" s="4"/>
      <c r="F661" s="4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</row>
    <row r="662">
      <c r="A662" s="126"/>
      <c r="B662" s="126"/>
      <c r="C662" s="118" t="s">
        <v>335</v>
      </c>
      <c r="D662" s="126"/>
      <c r="E662" s="4"/>
      <c r="F662" s="4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</row>
    <row r="663">
      <c r="A663" s="126"/>
      <c r="B663" s="126"/>
      <c r="C663" s="126"/>
      <c r="D663" s="118" t="s">
        <v>479</v>
      </c>
      <c r="E663" s="4"/>
      <c r="F663" s="4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</row>
    <row r="664">
      <c r="A664" s="126"/>
      <c r="B664" s="126"/>
      <c r="C664" s="126"/>
      <c r="D664" s="118" t="s">
        <v>480</v>
      </c>
      <c r="E664" s="4"/>
      <c r="F664" s="4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</row>
    <row r="665">
      <c r="A665" s="126"/>
      <c r="B665" s="126"/>
      <c r="C665" s="126"/>
      <c r="D665" s="118" t="s">
        <v>495</v>
      </c>
      <c r="E665" s="4"/>
      <c r="F665" s="4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</row>
    <row r="666">
      <c r="A666" s="126"/>
      <c r="B666" s="126"/>
      <c r="C666" s="126"/>
      <c r="D666" s="118" t="s">
        <v>506</v>
      </c>
      <c r="E666" s="4"/>
      <c r="F666" s="4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</row>
    <row r="667">
      <c r="A667" s="126"/>
      <c r="B667" s="126"/>
      <c r="C667" s="126"/>
      <c r="D667" s="118" t="s">
        <v>520</v>
      </c>
      <c r="E667" s="4"/>
      <c r="F667" s="4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</row>
    <row r="668">
      <c r="A668" s="126"/>
      <c r="B668" s="126"/>
      <c r="C668" s="126"/>
      <c r="D668" s="118" t="s">
        <v>530</v>
      </c>
      <c r="E668" s="4"/>
      <c r="F668" s="4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</row>
    <row r="669">
      <c r="A669" s="126"/>
      <c r="B669" s="126"/>
      <c r="C669" s="126"/>
      <c r="D669" s="118" t="s">
        <v>538</v>
      </c>
      <c r="E669" s="4"/>
      <c r="F669" s="4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</row>
    <row r="670">
      <c r="A670" s="126"/>
      <c r="B670" s="126"/>
      <c r="C670" s="126"/>
      <c r="D670" s="118" t="s">
        <v>545</v>
      </c>
      <c r="E670" s="4"/>
      <c r="F670" s="4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</row>
    <row r="671">
      <c r="A671" s="126"/>
      <c r="B671" s="126"/>
      <c r="C671" s="126"/>
      <c r="D671" s="118" t="s">
        <v>553</v>
      </c>
      <c r="E671" s="4"/>
      <c r="F671" s="4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</row>
    <row r="672">
      <c r="A672" s="126"/>
      <c r="B672" s="126"/>
      <c r="C672" s="126"/>
      <c r="D672" s="118" t="s">
        <v>559</v>
      </c>
      <c r="E672" s="4"/>
      <c r="F672" s="4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</row>
    <row r="673">
      <c r="A673" s="126"/>
      <c r="B673" s="126"/>
      <c r="C673" s="126"/>
      <c r="D673" s="118" t="s">
        <v>565</v>
      </c>
      <c r="E673" s="4"/>
      <c r="F673" s="4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</row>
    <row r="674">
      <c r="A674" s="126"/>
      <c r="B674" s="126"/>
      <c r="C674" s="126"/>
      <c r="D674" s="118" t="s">
        <v>570</v>
      </c>
      <c r="E674" s="4"/>
      <c r="F674" s="4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</row>
    <row r="675">
      <c r="A675" s="126"/>
      <c r="B675" s="126"/>
      <c r="C675" s="126"/>
      <c r="D675" s="118" t="s">
        <v>507</v>
      </c>
      <c r="E675" s="4"/>
      <c r="F675" s="4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</row>
    <row r="676">
      <c r="A676" s="126"/>
      <c r="B676" s="126"/>
      <c r="C676" s="126"/>
      <c r="D676" s="118" t="s">
        <v>577</v>
      </c>
      <c r="E676" s="4"/>
      <c r="F676" s="4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</row>
    <row r="677">
      <c r="A677" s="126"/>
      <c r="B677" s="126"/>
      <c r="C677" s="126"/>
      <c r="D677" s="118" t="s">
        <v>588</v>
      </c>
      <c r="E677" s="4"/>
      <c r="F677" s="4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</row>
    <row r="678">
      <c r="A678" s="126"/>
      <c r="B678" s="126"/>
      <c r="C678" s="126"/>
      <c r="D678" s="118" t="s">
        <v>594</v>
      </c>
      <c r="E678" s="4"/>
      <c r="F678" s="4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</row>
    <row r="679">
      <c r="A679" s="126"/>
      <c r="B679" s="126"/>
      <c r="C679" s="126"/>
      <c r="D679" s="118" t="s">
        <v>597</v>
      </c>
      <c r="E679" s="4"/>
      <c r="F679" s="4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</row>
    <row r="680">
      <c r="A680" s="126"/>
      <c r="B680" s="126"/>
      <c r="C680" s="126"/>
      <c r="D680" s="118" t="s">
        <v>608</v>
      </c>
      <c r="E680" s="4"/>
      <c r="F680" s="4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</row>
    <row r="681">
      <c r="A681" s="126"/>
      <c r="B681" s="126"/>
      <c r="C681" s="126"/>
      <c r="D681" s="118" t="s">
        <v>613</v>
      </c>
      <c r="E681" s="4"/>
      <c r="F681" s="4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</row>
    <row r="682">
      <c r="A682" s="126"/>
      <c r="B682" s="126"/>
      <c r="C682" s="126"/>
      <c r="D682" s="118" t="s">
        <v>616</v>
      </c>
      <c r="E682" s="4"/>
      <c r="F682" s="4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</row>
    <row r="683">
      <c r="A683" s="126"/>
      <c r="B683" s="126"/>
      <c r="C683" s="118" t="s">
        <v>327</v>
      </c>
      <c r="D683" s="126"/>
      <c r="E683" s="4"/>
      <c r="F683" s="4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</row>
    <row r="684">
      <c r="A684" s="126"/>
      <c r="B684" s="126"/>
      <c r="C684" s="126"/>
      <c r="D684" s="118" t="s">
        <v>327</v>
      </c>
      <c r="E684" s="4"/>
      <c r="F684" s="4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</row>
    <row r="685">
      <c r="A685" s="126"/>
      <c r="B685" s="126"/>
      <c r="C685" s="126"/>
      <c r="D685" s="118" t="s">
        <v>504</v>
      </c>
      <c r="E685" s="4"/>
      <c r="F685" s="4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</row>
    <row r="686">
      <c r="A686" s="126"/>
      <c r="B686" s="126"/>
      <c r="C686" s="118" t="s">
        <v>355</v>
      </c>
      <c r="D686" s="126"/>
      <c r="E686" s="4"/>
      <c r="F686" s="4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</row>
    <row r="687">
      <c r="A687" s="126"/>
      <c r="B687" s="126"/>
      <c r="C687" s="126"/>
      <c r="D687" s="118" t="s">
        <v>364</v>
      </c>
      <c r="E687" s="4"/>
      <c r="F687" s="4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</row>
    <row r="688">
      <c r="A688" s="126"/>
      <c r="B688" s="126"/>
      <c r="C688" s="126"/>
      <c r="D688" s="118" t="s">
        <v>633</v>
      </c>
      <c r="E688" s="4"/>
      <c r="F688" s="4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</row>
    <row r="689">
      <c r="A689" s="126"/>
      <c r="B689" s="126"/>
      <c r="C689" s="126"/>
      <c r="D689" s="118" t="s">
        <v>420</v>
      </c>
      <c r="E689" s="4"/>
      <c r="F689" s="4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</row>
    <row r="690">
      <c r="A690" s="126"/>
      <c r="B690" s="126"/>
      <c r="C690" s="126"/>
      <c r="D690" s="118" t="s">
        <v>528</v>
      </c>
      <c r="E690" s="4"/>
      <c r="F690" s="4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</row>
    <row r="691">
      <c r="A691" s="126"/>
      <c r="B691" s="126"/>
      <c r="C691" s="126"/>
      <c r="D691" s="118" t="s">
        <v>644</v>
      </c>
      <c r="E691" s="4"/>
      <c r="F691" s="4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</row>
    <row r="692">
      <c r="A692" s="126"/>
      <c r="B692" s="126"/>
      <c r="C692" s="126"/>
      <c r="D692" s="118" t="s">
        <v>647</v>
      </c>
      <c r="E692" s="4"/>
      <c r="F692" s="4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</row>
    <row r="693">
      <c r="A693" s="126"/>
      <c r="B693" s="126"/>
      <c r="C693" s="126"/>
      <c r="D693" s="118" t="s">
        <v>529</v>
      </c>
      <c r="E693" s="4"/>
      <c r="F693" s="4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</row>
    <row r="694">
      <c r="A694" s="126"/>
      <c r="B694" s="126"/>
      <c r="C694" s="126"/>
      <c r="D694" s="118" t="s">
        <v>652</v>
      </c>
      <c r="E694" s="4"/>
      <c r="F694" s="4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</row>
    <row r="695">
      <c r="A695" s="126"/>
      <c r="B695" s="126"/>
      <c r="C695" s="118" t="s">
        <v>365</v>
      </c>
      <c r="D695" s="126"/>
      <c r="E695" s="4"/>
      <c r="F695" s="4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</row>
    <row r="696">
      <c r="A696" s="126"/>
      <c r="B696" s="126"/>
      <c r="C696" s="126"/>
      <c r="D696" s="118" t="s">
        <v>666</v>
      </c>
      <c r="E696" s="4"/>
      <c r="F696" s="4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</row>
    <row r="697">
      <c r="A697" s="126"/>
      <c r="B697" s="126"/>
      <c r="C697" s="126"/>
      <c r="D697" s="118" t="s">
        <v>670</v>
      </c>
      <c r="E697" s="4"/>
      <c r="F697" s="4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</row>
    <row r="698">
      <c r="A698" s="126"/>
      <c r="B698" s="126"/>
      <c r="C698" s="126"/>
      <c r="D698" s="118" t="s">
        <v>674</v>
      </c>
      <c r="E698" s="4"/>
      <c r="F698" s="4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</row>
    <row r="699">
      <c r="A699" s="126"/>
      <c r="B699" s="126"/>
      <c r="C699" s="126"/>
      <c r="D699" s="118" t="s">
        <v>677</v>
      </c>
      <c r="E699" s="4"/>
      <c r="F699" s="4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</row>
    <row r="700">
      <c r="A700" s="126"/>
      <c r="B700" s="126"/>
      <c r="C700" s="126"/>
      <c r="D700" s="118" t="s">
        <v>681</v>
      </c>
      <c r="E700" s="4"/>
      <c r="F700" s="4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</row>
    <row r="701">
      <c r="A701" s="126"/>
      <c r="B701" s="126"/>
      <c r="C701" s="126"/>
      <c r="D701" s="118" t="s">
        <v>688</v>
      </c>
      <c r="E701" s="4"/>
      <c r="F701" s="4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</row>
    <row r="702">
      <c r="A702" s="126"/>
      <c r="B702" s="126"/>
      <c r="C702" s="126"/>
      <c r="D702" s="118" t="s">
        <v>691</v>
      </c>
      <c r="E702" s="4"/>
      <c r="F702" s="4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</row>
    <row r="703">
      <c r="A703" s="126"/>
      <c r="B703" s="126"/>
      <c r="C703" s="126"/>
      <c r="D703" s="118" t="s">
        <v>696</v>
      </c>
      <c r="E703" s="4"/>
      <c r="F703" s="4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</row>
    <row r="704">
      <c r="A704" s="126"/>
      <c r="B704" s="126"/>
      <c r="C704" s="126"/>
      <c r="D704" s="118" t="s">
        <v>698</v>
      </c>
      <c r="E704" s="4"/>
      <c r="F704" s="4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</row>
    <row r="705">
      <c r="A705" s="126"/>
      <c r="B705" s="126"/>
      <c r="C705" s="126"/>
      <c r="D705" s="118" t="s">
        <v>701</v>
      </c>
      <c r="E705" s="4"/>
      <c r="F705" s="4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</row>
    <row r="706">
      <c r="A706" s="126"/>
      <c r="B706" s="126"/>
      <c r="C706" s="126"/>
      <c r="D706" s="118" t="s">
        <v>711</v>
      </c>
      <c r="E706" s="4"/>
      <c r="F706" s="4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</row>
    <row r="707">
      <c r="A707" s="126"/>
      <c r="B707" s="126"/>
      <c r="C707" s="126"/>
      <c r="D707" s="118" t="s">
        <v>713</v>
      </c>
      <c r="E707" s="4"/>
      <c r="F707" s="4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</row>
    <row r="708">
      <c r="A708" s="126"/>
      <c r="B708" s="126"/>
      <c r="C708" s="126"/>
      <c r="D708" s="118" t="s">
        <v>715</v>
      </c>
      <c r="E708" s="4"/>
      <c r="F708" s="4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</row>
    <row r="709">
      <c r="A709" s="126"/>
      <c r="B709" s="126"/>
      <c r="C709" s="126"/>
      <c r="D709" s="118" t="s">
        <v>646</v>
      </c>
      <c r="E709" s="4"/>
      <c r="F709" s="4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</row>
    <row r="710">
      <c r="A710" s="126"/>
      <c r="B710" s="126"/>
      <c r="C710" s="126"/>
      <c r="D710" s="118" t="s">
        <v>720</v>
      </c>
      <c r="E710" s="4"/>
      <c r="F710" s="4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</row>
    <row r="711">
      <c r="A711" s="126"/>
      <c r="B711" s="126"/>
      <c r="C711" s="118" t="s">
        <v>826</v>
      </c>
      <c r="D711" s="126"/>
      <c r="E711" s="4"/>
      <c r="F711" s="4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</row>
    <row r="712">
      <c r="A712" s="126"/>
      <c r="B712" s="126"/>
      <c r="C712" s="126"/>
      <c r="D712" s="118" t="s">
        <v>727</v>
      </c>
      <c r="E712" s="4"/>
      <c r="F712" s="4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</row>
    <row r="713">
      <c r="A713" s="126"/>
      <c r="B713" s="126"/>
      <c r="C713" s="126"/>
      <c r="D713" s="118" t="s">
        <v>729</v>
      </c>
      <c r="E713" s="4"/>
      <c r="F713" s="4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</row>
    <row r="714">
      <c r="A714" s="126"/>
      <c r="B714" s="126"/>
      <c r="C714" s="126"/>
      <c r="D714" s="118" t="s">
        <v>730</v>
      </c>
      <c r="E714" s="4"/>
      <c r="F714" s="4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</row>
    <row r="715">
      <c r="A715" s="126"/>
      <c r="B715" s="126"/>
      <c r="C715" s="126"/>
      <c r="D715" s="118" t="s">
        <v>732</v>
      </c>
      <c r="E715" s="4"/>
      <c r="F715" s="4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</row>
    <row r="716">
      <c r="A716" s="126"/>
      <c r="B716" s="126"/>
      <c r="C716" s="126"/>
      <c r="D716" s="118" t="s">
        <v>734</v>
      </c>
      <c r="E716" s="4"/>
      <c r="F716" s="4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</row>
    <row r="717">
      <c r="A717" s="126"/>
      <c r="B717" s="126"/>
      <c r="C717" s="118" t="s">
        <v>347</v>
      </c>
      <c r="D717" s="126"/>
      <c r="E717" s="4"/>
      <c r="F717" s="4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</row>
    <row r="718">
      <c r="A718" s="126"/>
      <c r="B718" s="126"/>
      <c r="C718" s="126"/>
      <c r="D718" s="118" t="s">
        <v>347</v>
      </c>
      <c r="E718" s="4"/>
      <c r="F718" s="4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</row>
    <row r="719">
      <c r="A719" s="126"/>
      <c r="B719" s="118" t="s">
        <v>827</v>
      </c>
      <c r="C719" s="126"/>
      <c r="D719" s="126"/>
      <c r="E719" s="4"/>
      <c r="F719" s="4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</row>
    <row r="720">
      <c r="A720" s="126"/>
      <c r="B720" s="126"/>
      <c r="C720" s="118" t="s">
        <v>741</v>
      </c>
      <c r="D720" s="126"/>
      <c r="E720" s="4"/>
      <c r="F720" s="4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</row>
    <row r="721">
      <c r="A721" s="126"/>
      <c r="B721" s="126"/>
      <c r="C721" s="126"/>
      <c r="D721" s="118" t="s">
        <v>304</v>
      </c>
      <c r="E721" s="4"/>
      <c r="F721" s="4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</row>
    <row r="722">
      <c r="A722" s="126"/>
      <c r="B722" s="126"/>
      <c r="C722" s="126"/>
      <c r="D722" s="118" t="s">
        <v>321</v>
      </c>
      <c r="E722" s="4"/>
      <c r="F722" s="4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</row>
    <row r="723">
      <c r="A723" s="126"/>
      <c r="B723" s="126"/>
      <c r="C723" s="126"/>
      <c r="D723" s="118" t="s">
        <v>336</v>
      </c>
      <c r="E723" s="4"/>
      <c r="F723" s="4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</row>
    <row r="724">
      <c r="A724" s="126"/>
      <c r="B724" s="126"/>
      <c r="C724" s="126"/>
      <c r="D724" s="118" t="s">
        <v>345</v>
      </c>
      <c r="E724" s="4"/>
      <c r="F724" s="4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</row>
    <row r="725">
      <c r="A725" s="126"/>
      <c r="B725" s="126"/>
      <c r="C725" s="126"/>
      <c r="D725" s="118" t="s">
        <v>356</v>
      </c>
      <c r="E725" s="4"/>
      <c r="F725" s="4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</row>
    <row r="726">
      <c r="A726" s="126"/>
      <c r="B726" s="126"/>
      <c r="C726" s="118" t="s">
        <v>311</v>
      </c>
      <c r="D726" s="126"/>
      <c r="E726" s="4"/>
      <c r="F726" s="4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</row>
    <row r="727">
      <c r="A727" s="126"/>
      <c r="B727" s="126"/>
      <c r="C727" s="126"/>
      <c r="D727" s="118" t="s">
        <v>296</v>
      </c>
      <c r="E727" s="4"/>
      <c r="F727" s="4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</row>
    <row r="728">
      <c r="A728" s="126"/>
      <c r="B728" s="126"/>
      <c r="C728" s="126"/>
      <c r="D728" s="118" t="s">
        <v>405</v>
      </c>
      <c r="E728" s="4"/>
      <c r="F728" s="4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</row>
    <row r="729">
      <c r="A729" s="126"/>
      <c r="B729" s="126"/>
      <c r="C729" s="126"/>
      <c r="D729" s="118" t="s">
        <v>415</v>
      </c>
      <c r="E729" s="4"/>
      <c r="F729" s="4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</row>
    <row r="730">
      <c r="A730" s="126"/>
      <c r="B730" s="126"/>
      <c r="C730" s="126"/>
      <c r="D730" s="118" t="s">
        <v>312</v>
      </c>
      <c r="E730" s="4"/>
      <c r="F730" s="4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</row>
    <row r="731">
      <c r="A731" s="126"/>
      <c r="B731" s="126"/>
      <c r="C731" s="126"/>
      <c r="D731" s="118" t="s">
        <v>422</v>
      </c>
      <c r="E731" s="4"/>
      <c r="F731" s="4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</row>
    <row r="732">
      <c r="A732" s="126"/>
      <c r="B732" s="126"/>
      <c r="C732" s="126"/>
      <c r="D732" s="118" t="s">
        <v>362</v>
      </c>
      <c r="E732" s="4"/>
      <c r="F732" s="4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</row>
    <row r="733">
      <c r="A733" s="126"/>
      <c r="B733" s="126"/>
      <c r="C733" s="126"/>
      <c r="D733" s="118" t="s">
        <v>436</v>
      </c>
      <c r="E733" s="4"/>
      <c r="F733" s="4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</row>
    <row r="734">
      <c r="A734" s="126"/>
      <c r="B734" s="126"/>
      <c r="C734" s="126"/>
      <c r="D734" s="118" t="s">
        <v>329</v>
      </c>
      <c r="E734" s="4"/>
      <c r="F734" s="4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</row>
    <row r="735">
      <c r="A735" s="126"/>
      <c r="B735" s="126"/>
      <c r="C735" s="126"/>
      <c r="D735" s="118" t="s">
        <v>342</v>
      </c>
      <c r="E735" s="4"/>
      <c r="F735" s="4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</row>
    <row r="736">
      <c r="A736" s="126"/>
      <c r="B736" s="126"/>
      <c r="C736" s="118" t="s">
        <v>335</v>
      </c>
      <c r="D736" s="126"/>
      <c r="E736" s="4"/>
      <c r="F736" s="4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</row>
    <row r="737">
      <c r="A737" s="126"/>
      <c r="B737" s="126"/>
      <c r="C737" s="126"/>
      <c r="D737" s="118" t="s">
        <v>479</v>
      </c>
      <c r="E737" s="4"/>
      <c r="F737" s="4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</row>
    <row r="738">
      <c r="A738" s="126"/>
      <c r="B738" s="126"/>
      <c r="C738" s="126"/>
      <c r="D738" s="118" t="s">
        <v>480</v>
      </c>
      <c r="E738" s="4"/>
      <c r="F738" s="4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</row>
    <row r="739">
      <c r="A739" s="126"/>
      <c r="B739" s="126"/>
      <c r="C739" s="126"/>
      <c r="D739" s="118" t="s">
        <v>506</v>
      </c>
      <c r="E739" s="4"/>
      <c r="F739" s="4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</row>
    <row r="740">
      <c r="A740" s="126"/>
      <c r="B740" s="126"/>
      <c r="C740" s="126"/>
      <c r="D740" s="118" t="s">
        <v>488</v>
      </c>
      <c r="E740" s="4"/>
      <c r="F740" s="4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</row>
    <row r="741">
      <c r="A741" s="126"/>
      <c r="B741" s="126"/>
      <c r="C741" s="126"/>
      <c r="D741" s="118" t="s">
        <v>520</v>
      </c>
      <c r="E741" s="4"/>
      <c r="F741" s="4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</row>
    <row r="742">
      <c r="A742" s="126"/>
      <c r="B742" s="126"/>
      <c r="C742" s="126"/>
      <c r="D742" s="118" t="s">
        <v>538</v>
      </c>
      <c r="E742" s="4"/>
      <c r="F742" s="4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</row>
    <row r="743">
      <c r="A743" s="126"/>
      <c r="B743" s="126"/>
      <c r="C743" s="126"/>
      <c r="D743" s="118" t="s">
        <v>545</v>
      </c>
      <c r="E743" s="4"/>
      <c r="F743" s="4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</row>
    <row r="744">
      <c r="A744" s="126"/>
      <c r="B744" s="126"/>
      <c r="C744" s="126"/>
      <c r="D744" s="118" t="s">
        <v>553</v>
      </c>
      <c r="E744" s="4"/>
      <c r="F744" s="4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</row>
    <row r="745">
      <c r="A745" s="126"/>
      <c r="B745" s="126"/>
      <c r="C745" s="126"/>
      <c r="D745" s="118" t="s">
        <v>559</v>
      </c>
      <c r="E745" s="4"/>
      <c r="F745" s="4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</row>
    <row r="746">
      <c r="A746" s="126"/>
      <c r="B746" s="126"/>
      <c r="C746" s="126"/>
      <c r="D746" s="118" t="s">
        <v>565</v>
      </c>
      <c r="E746" s="4"/>
      <c r="F746" s="4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</row>
    <row r="747">
      <c r="A747" s="126"/>
      <c r="B747" s="126"/>
      <c r="C747" s="126"/>
      <c r="D747" s="118" t="s">
        <v>507</v>
      </c>
      <c r="E747" s="4"/>
      <c r="F747" s="4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</row>
    <row r="748">
      <c r="A748" s="126"/>
      <c r="B748" s="126"/>
      <c r="C748" s="126"/>
      <c r="D748" s="118" t="s">
        <v>577</v>
      </c>
      <c r="E748" s="4"/>
      <c r="F748" s="4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</row>
    <row r="749">
      <c r="A749" s="126"/>
      <c r="B749" s="126"/>
      <c r="C749" s="126"/>
      <c r="D749" s="118" t="s">
        <v>583</v>
      </c>
      <c r="E749" s="4"/>
      <c r="F749" s="4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</row>
    <row r="750">
      <c r="A750" s="126"/>
      <c r="B750" s="126"/>
      <c r="C750" s="126"/>
      <c r="D750" s="118" t="s">
        <v>588</v>
      </c>
      <c r="E750" s="4"/>
      <c r="F750" s="4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</row>
    <row r="751">
      <c r="A751" s="126"/>
      <c r="B751" s="126"/>
      <c r="C751" s="126"/>
      <c r="D751" s="118" t="s">
        <v>594</v>
      </c>
      <c r="E751" s="4"/>
      <c r="F751" s="4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</row>
    <row r="752">
      <c r="A752" s="126"/>
      <c r="B752" s="126"/>
      <c r="C752" s="126"/>
      <c r="D752" s="118" t="s">
        <v>597</v>
      </c>
      <c r="E752" s="4"/>
      <c r="F752" s="4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</row>
    <row r="753">
      <c r="A753" s="126"/>
      <c r="B753" s="126"/>
      <c r="C753" s="126"/>
      <c r="D753" s="118" t="s">
        <v>608</v>
      </c>
      <c r="E753" s="4"/>
      <c r="F753" s="4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</row>
    <row r="754">
      <c r="A754" s="126"/>
      <c r="B754" s="126"/>
      <c r="C754" s="118" t="s">
        <v>327</v>
      </c>
      <c r="D754" s="126"/>
      <c r="E754" s="4"/>
      <c r="F754" s="4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</row>
    <row r="755">
      <c r="A755" s="126"/>
      <c r="B755" s="126"/>
      <c r="C755" s="126"/>
      <c r="D755" s="118" t="s">
        <v>327</v>
      </c>
      <c r="E755" s="4"/>
      <c r="F755" s="4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</row>
    <row r="756">
      <c r="A756" s="126"/>
      <c r="B756" s="126"/>
      <c r="C756" s="126"/>
      <c r="D756" s="118" t="s">
        <v>504</v>
      </c>
      <c r="E756" s="4"/>
      <c r="F756" s="4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</row>
    <row r="757">
      <c r="A757" s="126"/>
      <c r="B757" s="126"/>
      <c r="C757" s="118" t="s">
        <v>308</v>
      </c>
      <c r="D757" s="126"/>
      <c r="E757" s="4"/>
      <c r="F757" s="4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</row>
    <row r="758">
      <c r="A758" s="126"/>
      <c r="B758" s="126"/>
      <c r="C758" s="126"/>
      <c r="D758" s="118" t="s">
        <v>364</v>
      </c>
      <c r="E758" s="4"/>
      <c r="F758" s="4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</row>
    <row r="759">
      <c r="A759" s="126"/>
      <c r="B759" s="126"/>
      <c r="C759" s="126"/>
      <c r="D759" s="118" t="s">
        <v>633</v>
      </c>
      <c r="E759" s="4"/>
      <c r="F759" s="4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</row>
    <row r="760">
      <c r="A760" s="126"/>
      <c r="B760" s="126"/>
      <c r="C760" s="126"/>
      <c r="D760" s="118" t="s">
        <v>420</v>
      </c>
      <c r="E760" s="4"/>
      <c r="F760" s="4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</row>
    <row r="761">
      <c r="A761" s="126"/>
      <c r="B761" s="126"/>
      <c r="C761" s="126"/>
      <c r="D761" s="118" t="s">
        <v>528</v>
      </c>
      <c r="E761" s="4"/>
      <c r="F761" s="4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</row>
    <row r="762">
      <c r="A762" s="126"/>
      <c r="B762" s="126"/>
      <c r="C762" s="126"/>
      <c r="D762" s="118" t="s">
        <v>644</v>
      </c>
      <c r="E762" s="4"/>
      <c r="F762" s="4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</row>
    <row r="763">
      <c r="A763" s="126"/>
      <c r="B763" s="126"/>
      <c r="C763" s="126"/>
      <c r="D763" s="118" t="s">
        <v>647</v>
      </c>
      <c r="E763" s="4"/>
      <c r="F763" s="4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</row>
    <row r="764">
      <c r="A764" s="126"/>
      <c r="B764" s="126"/>
      <c r="C764" s="118" t="s">
        <v>365</v>
      </c>
      <c r="D764" s="126"/>
      <c r="E764" s="4"/>
      <c r="F764" s="4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</row>
    <row r="765">
      <c r="A765" s="126"/>
      <c r="B765" s="126"/>
      <c r="C765" s="126"/>
      <c r="D765" s="118" t="s">
        <v>670</v>
      </c>
      <c r="E765" s="4"/>
      <c r="F765" s="4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</row>
    <row r="766">
      <c r="A766" s="126"/>
      <c r="B766" s="126"/>
      <c r="C766" s="126"/>
      <c r="D766" s="118" t="s">
        <v>674</v>
      </c>
      <c r="E766" s="4"/>
      <c r="F766" s="4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</row>
    <row r="767">
      <c r="A767" s="126"/>
      <c r="B767" s="126"/>
      <c r="C767" s="126"/>
      <c r="D767" s="118" t="s">
        <v>677</v>
      </c>
      <c r="E767" s="4"/>
      <c r="F767" s="4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</row>
    <row r="768">
      <c r="A768" s="126"/>
      <c r="B768" s="126"/>
      <c r="C768" s="126"/>
      <c r="D768" s="118" t="s">
        <v>681</v>
      </c>
      <c r="E768" s="4"/>
      <c r="F768" s="4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</row>
    <row r="769">
      <c r="A769" s="126"/>
      <c r="B769" s="126"/>
      <c r="C769" s="126"/>
      <c r="D769" s="118" t="s">
        <v>686</v>
      </c>
      <c r="E769" s="4"/>
      <c r="F769" s="4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</row>
    <row r="770">
      <c r="A770" s="126"/>
      <c r="B770" s="126"/>
      <c r="C770" s="126"/>
      <c r="D770" s="118" t="s">
        <v>688</v>
      </c>
      <c r="E770" s="4"/>
      <c r="F770" s="4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</row>
    <row r="771">
      <c r="A771" s="126"/>
      <c r="B771" s="126"/>
      <c r="C771" s="126"/>
      <c r="D771" s="118" t="s">
        <v>691</v>
      </c>
      <c r="E771" s="4"/>
      <c r="F771" s="4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</row>
    <row r="772">
      <c r="A772" s="126"/>
      <c r="B772" s="126"/>
      <c r="C772" s="126"/>
      <c r="D772" s="118" t="s">
        <v>694</v>
      </c>
      <c r="E772" s="4"/>
      <c r="F772" s="4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</row>
    <row r="773">
      <c r="A773" s="126"/>
      <c r="B773" s="126"/>
      <c r="C773" s="126"/>
      <c r="D773" s="118" t="s">
        <v>696</v>
      </c>
      <c r="E773" s="4"/>
      <c r="F773" s="4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</row>
    <row r="774">
      <c r="A774" s="126"/>
      <c r="B774" s="126"/>
      <c r="C774" s="126"/>
      <c r="D774" s="118" t="s">
        <v>698</v>
      </c>
      <c r="E774" s="4"/>
      <c r="F774" s="4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</row>
    <row r="775">
      <c r="A775" s="126"/>
      <c r="B775" s="126"/>
      <c r="C775" s="126"/>
      <c r="D775" s="118" t="s">
        <v>701</v>
      </c>
      <c r="E775" s="4"/>
      <c r="F775" s="4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</row>
    <row r="776">
      <c r="A776" s="126"/>
      <c r="B776" s="126"/>
      <c r="C776" s="126"/>
      <c r="D776" s="118" t="s">
        <v>703</v>
      </c>
      <c r="E776" s="4"/>
      <c r="F776" s="4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</row>
    <row r="777">
      <c r="A777" s="126"/>
      <c r="B777" s="126"/>
      <c r="C777" s="126"/>
      <c r="D777" s="118" t="s">
        <v>705</v>
      </c>
      <c r="E777" s="4"/>
      <c r="F777" s="4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</row>
    <row r="778">
      <c r="A778" s="126"/>
      <c r="B778" s="126"/>
      <c r="C778" s="126"/>
      <c r="D778" s="118" t="s">
        <v>706</v>
      </c>
      <c r="E778" s="4"/>
      <c r="F778" s="4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</row>
    <row r="779">
      <c r="A779" s="126"/>
      <c r="B779" s="126"/>
      <c r="C779" s="126"/>
      <c r="D779" s="118" t="s">
        <v>708</v>
      </c>
      <c r="E779" s="4"/>
      <c r="F779" s="4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</row>
    <row r="780">
      <c r="A780" s="126"/>
      <c r="B780" s="126"/>
      <c r="C780" s="126"/>
      <c r="D780" s="118" t="s">
        <v>709</v>
      </c>
      <c r="E780" s="4"/>
      <c r="F780" s="4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</row>
    <row r="781">
      <c r="A781" s="126"/>
      <c r="B781" s="126"/>
      <c r="C781" s="126"/>
      <c r="D781" s="118" t="s">
        <v>711</v>
      </c>
      <c r="E781" s="4"/>
      <c r="F781" s="4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</row>
    <row r="782">
      <c r="A782" s="126"/>
      <c r="B782" s="126"/>
      <c r="C782" s="126"/>
      <c r="D782" s="118" t="s">
        <v>715</v>
      </c>
      <c r="E782" s="4"/>
      <c r="F782" s="4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</row>
    <row r="783">
      <c r="A783" s="126"/>
      <c r="B783" s="126"/>
      <c r="C783" s="126"/>
      <c r="D783" s="118" t="s">
        <v>646</v>
      </c>
      <c r="E783" s="4"/>
      <c r="F783" s="4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</row>
    <row r="784">
      <c r="A784" s="126"/>
      <c r="B784" s="126"/>
      <c r="C784" s="118" t="s">
        <v>826</v>
      </c>
      <c r="D784" s="126"/>
      <c r="E784" s="4"/>
      <c r="F784" s="4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</row>
    <row r="785">
      <c r="A785" s="126"/>
      <c r="B785" s="126"/>
      <c r="C785" s="126"/>
      <c r="D785" s="118" t="s">
        <v>727</v>
      </c>
      <c r="E785" s="4"/>
      <c r="F785" s="4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</row>
    <row r="786">
      <c r="A786" s="126"/>
      <c r="B786" s="126"/>
      <c r="C786" s="126"/>
      <c r="D786" s="118" t="s">
        <v>729</v>
      </c>
      <c r="E786" s="4"/>
      <c r="F786" s="4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</row>
    <row r="787">
      <c r="A787" s="126"/>
      <c r="B787" s="126"/>
      <c r="C787" s="126"/>
      <c r="D787" s="118" t="s">
        <v>730</v>
      </c>
      <c r="E787" s="4"/>
      <c r="F787" s="4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</row>
    <row r="788">
      <c r="A788" s="126"/>
      <c r="B788" s="126"/>
      <c r="C788" s="126"/>
      <c r="D788" s="118" t="s">
        <v>731</v>
      </c>
      <c r="E788" s="4"/>
      <c r="F788" s="4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</row>
    <row r="789">
      <c r="A789" s="126"/>
      <c r="B789" s="126"/>
      <c r="C789" s="126"/>
      <c r="D789" s="118" t="s">
        <v>732</v>
      </c>
      <c r="E789" s="4"/>
      <c r="F789" s="4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</row>
    <row r="790">
      <c r="A790" s="126"/>
      <c r="B790" s="126"/>
      <c r="C790" s="126"/>
      <c r="D790" s="118" t="s">
        <v>733</v>
      </c>
      <c r="E790" s="4"/>
      <c r="F790" s="4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</row>
    <row r="791">
      <c r="A791" s="126"/>
      <c r="B791" s="126"/>
      <c r="C791" s="126"/>
      <c r="D791" s="118" t="s">
        <v>734</v>
      </c>
      <c r="E791" s="4"/>
      <c r="F791" s="4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</row>
    <row r="792">
      <c r="A792" s="126"/>
      <c r="B792" s="126"/>
      <c r="C792" s="118" t="s">
        <v>347</v>
      </c>
      <c r="D792" s="126"/>
      <c r="E792" s="4"/>
      <c r="F792" s="4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</row>
    <row r="793">
      <c r="A793" s="126"/>
      <c r="B793" s="126"/>
      <c r="C793" s="126"/>
      <c r="D793" s="118" t="s">
        <v>347</v>
      </c>
      <c r="E793" s="4"/>
      <c r="F793" s="4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</row>
    <row r="794">
      <c r="A794" s="126"/>
      <c r="B794" s="118" t="s">
        <v>828</v>
      </c>
      <c r="C794" s="126"/>
      <c r="D794" s="126"/>
      <c r="E794" s="4"/>
      <c r="F794" s="4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</row>
    <row r="795">
      <c r="A795" s="126"/>
      <c r="B795" s="126"/>
      <c r="C795" s="118" t="s">
        <v>741</v>
      </c>
      <c r="D795" s="126"/>
      <c r="E795" s="4"/>
      <c r="F795" s="4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</row>
    <row r="796">
      <c r="A796" s="126"/>
      <c r="B796" s="126"/>
      <c r="C796" s="126"/>
      <c r="D796" s="118" t="s">
        <v>304</v>
      </c>
      <c r="E796" s="4"/>
      <c r="F796" s="4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</row>
    <row r="797">
      <c r="A797" s="126"/>
      <c r="B797" s="126"/>
      <c r="C797" s="126"/>
      <c r="D797" s="118" t="s">
        <v>321</v>
      </c>
      <c r="E797" s="4"/>
      <c r="F797" s="4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</row>
    <row r="798">
      <c r="A798" s="126"/>
      <c r="B798" s="126"/>
      <c r="C798" s="126"/>
      <c r="D798" s="118" t="s">
        <v>336</v>
      </c>
      <c r="E798" s="4"/>
      <c r="F798" s="4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</row>
    <row r="799">
      <c r="A799" s="126"/>
      <c r="B799" s="126"/>
      <c r="C799" s="126"/>
      <c r="D799" s="118" t="s">
        <v>345</v>
      </c>
      <c r="E799" s="4"/>
      <c r="F799" s="4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</row>
    <row r="800">
      <c r="A800" s="126"/>
      <c r="B800" s="126"/>
      <c r="C800" s="126"/>
      <c r="D800" s="118" t="s">
        <v>356</v>
      </c>
      <c r="E800" s="4"/>
      <c r="F800" s="4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</row>
    <row r="801">
      <c r="A801" s="126"/>
      <c r="B801" s="126"/>
      <c r="C801" s="118" t="s">
        <v>311</v>
      </c>
      <c r="D801" s="126"/>
      <c r="E801" s="4"/>
      <c r="F801" s="4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</row>
    <row r="802">
      <c r="A802" s="126"/>
      <c r="B802" s="126"/>
      <c r="C802" s="126"/>
      <c r="D802" s="118" t="s">
        <v>296</v>
      </c>
      <c r="E802" s="4"/>
      <c r="F802" s="4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</row>
    <row r="803">
      <c r="A803" s="126"/>
      <c r="B803" s="126"/>
      <c r="C803" s="126"/>
      <c r="D803" s="118" t="s">
        <v>405</v>
      </c>
      <c r="E803" s="4"/>
      <c r="F803" s="4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</row>
    <row r="804">
      <c r="A804" s="126"/>
      <c r="B804" s="126"/>
      <c r="C804" s="126"/>
      <c r="D804" s="118" t="s">
        <v>415</v>
      </c>
      <c r="E804" s="4"/>
      <c r="F804" s="4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</row>
    <row r="805">
      <c r="A805" s="126"/>
      <c r="B805" s="126"/>
      <c r="C805" s="126"/>
      <c r="D805" s="118" t="s">
        <v>312</v>
      </c>
      <c r="E805" s="4"/>
      <c r="F805" s="4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</row>
    <row r="806">
      <c r="A806" s="126"/>
      <c r="B806" s="126"/>
      <c r="C806" s="126"/>
      <c r="D806" s="118" t="s">
        <v>422</v>
      </c>
      <c r="E806" s="4"/>
      <c r="F806" s="4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</row>
    <row r="807">
      <c r="A807" s="126"/>
      <c r="B807" s="126"/>
      <c r="C807" s="126"/>
      <c r="D807" s="118" t="s">
        <v>362</v>
      </c>
      <c r="E807" s="4"/>
      <c r="F807" s="4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</row>
    <row r="808">
      <c r="A808" s="126"/>
      <c r="B808" s="126"/>
      <c r="C808" s="126"/>
      <c r="D808" s="118" t="s">
        <v>436</v>
      </c>
      <c r="E808" s="4"/>
      <c r="F808" s="4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</row>
    <row r="809">
      <c r="A809" s="126"/>
      <c r="B809" s="126"/>
      <c r="C809" s="126"/>
      <c r="D809" s="118" t="s">
        <v>329</v>
      </c>
      <c r="E809" s="4"/>
      <c r="F809" s="4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</row>
    <row r="810">
      <c r="A810" s="126"/>
      <c r="B810" s="126"/>
      <c r="C810" s="126"/>
      <c r="D810" s="118" t="s">
        <v>342</v>
      </c>
      <c r="E810" s="4"/>
      <c r="F810" s="4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</row>
    <row r="811">
      <c r="A811" s="126"/>
      <c r="B811" s="126"/>
      <c r="C811" s="118" t="s">
        <v>335</v>
      </c>
      <c r="D811" s="126"/>
      <c r="E811" s="4"/>
      <c r="F811" s="4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</row>
    <row r="812">
      <c r="A812" s="126"/>
      <c r="B812" s="126"/>
      <c r="C812" s="126"/>
      <c r="D812" s="118" t="s">
        <v>479</v>
      </c>
      <c r="E812" s="4"/>
      <c r="F812" s="4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</row>
    <row r="813">
      <c r="A813" s="126"/>
      <c r="B813" s="126"/>
      <c r="C813" s="126"/>
      <c r="D813" s="118" t="s">
        <v>480</v>
      </c>
      <c r="E813" s="4"/>
      <c r="F813" s="4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</row>
    <row r="814">
      <c r="A814" s="126"/>
      <c r="B814" s="126"/>
      <c r="C814" s="126"/>
      <c r="D814" s="118" t="s">
        <v>488</v>
      </c>
      <c r="E814" s="4"/>
      <c r="F814" s="4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</row>
    <row r="815">
      <c r="A815" s="126"/>
      <c r="B815" s="126"/>
      <c r="C815" s="126"/>
      <c r="D815" s="118" t="s">
        <v>538</v>
      </c>
      <c r="E815" s="4"/>
      <c r="F815" s="4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</row>
    <row r="816">
      <c r="A816" s="126"/>
      <c r="B816" s="126"/>
      <c r="C816" s="126"/>
      <c r="D816" s="118" t="s">
        <v>545</v>
      </c>
      <c r="E816" s="4"/>
      <c r="F816" s="4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</row>
    <row r="817">
      <c r="A817" s="126"/>
      <c r="B817" s="126"/>
      <c r="C817" s="126"/>
      <c r="D817" s="118" t="s">
        <v>553</v>
      </c>
      <c r="E817" s="4"/>
      <c r="F817" s="4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</row>
    <row r="818">
      <c r="A818" s="126"/>
      <c r="B818" s="126"/>
      <c r="C818" s="126"/>
      <c r="D818" s="118" t="s">
        <v>559</v>
      </c>
      <c r="E818" s="4"/>
      <c r="F818" s="4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</row>
    <row r="819">
      <c r="A819" s="126"/>
      <c r="B819" s="126"/>
      <c r="C819" s="126"/>
      <c r="D819" s="118" t="s">
        <v>565</v>
      </c>
      <c r="E819" s="4"/>
      <c r="F819" s="4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</row>
    <row r="820">
      <c r="A820" s="126"/>
      <c r="B820" s="126"/>
      <c r="C820" s="126"/>
      <c r="D820" s="118" t="s">
        <v>507</v>
      </c>
      <c r="E820" s="4"/>
      <c r="F820" s="4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</row>
    <row r="821">
      <c r="A821" s="126"/>
      <c r="B821" s="126"/>
      <c r="C821" s="126"/>
      <c r="D821" s="118" t="s">
        <v>577</v>
      </c>
      <c r="E821" s="4"/>
      <c r="F821" s="4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</row>
    <row r="822">
      <c r="A822" s="126"/>
      <c r="B822" s="126"/>
      <c r="C822" s="126"/>
      <c r="D822" s="118" t="s">
        <v>583</v>
      </c>
      <c r="E822" s="4"/>
      <c r="F822" s="4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</row>
    <row r="823">
      <c r="A823" s="126"/>
      <c r="B823" s="126"/>
      <c r="C823" s="126"/>
      <c r="D823" s="118" t="s">
        <v>588</v>
      </c>
      <c r="E823" s="4"/>
      <c r="F823" s="4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</row>
    <row r="824">
      <c r="A824" s="126"/>
      <c r="B824" s="126"/>
      <c r="C824" s="126"/>
      <c r="D824" s="118" t="s">
        <v>594</v>
      </c>
      <c r="E824" s="4"/>
      <c r="F824" s="4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</row>
    <row r="825">
      <c r="A825" s="126"/>
      <c r="B825" s="126"/>
      <c r="C825" s="126"/>
      <c r="D825" s="118" t="s">
        <v>597</v>
      </c>
      <c r="E825" s="4"/>
      <c r="F825" s="4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</row>
    <row r="826">
      <c r="A826" s="126"/>
      <c r="B826" s="126"/>
      <c r="C826" s="126"/>
      <c r="D826" s="118" t="s">
        <v>603</v>
      </c>
      <c r="E826" s="4"/>
      <c r="F826" s="4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</row>
    <row r="827">
      <c r="A827" s="126"/>
      <c r="B827" s="126"/>
      <c r="C827" s="126"/>
      <c r="D827" s="118" t="s">
        <v>608</v>
      </c>
      <c r="E827" s="4"/>
      <c r="F827" s="4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</row>
    <row r="828">
      <c r="A828" s="126"/>
      <c r="B828" s="126"/>
      <c r="C828" s="126"/>
      <c r="D828" s="118" t="s">
        <v>616</v>
      </c>
      <c r="E828" s="4"/>
      <c r="F828" s="4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</row>
    <row r="829">
      <c r="A829" s="126"/>
      <c r="B829" s="126"/>
      <c r="C829" s="118" t="s">
        <v>327</v>
      </c>
      <c r="D829" s="126"/>
      <c r="E829" s="4"/>
      <c r="F829" s="4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</row>
    <row r="830">
      <c r="A830" s="126"/>
      <c r="B830" s="126"/>
      <c r="C830" s="126"/>
      <c r="D830" s="118" t="s">
        <v>327</v>
      </c>
      <c r="E830" s="4"/>
      <c r="F830" s="4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</row>
    <row r="831">
      <c r="A831" s="126"/>
      <c r="B831" s="126"/>
      <c r="C831" s="126"/>
      <c r="D831" s="118" t="s">
        <v>504</v>
      </c>
      <c r="E831" s="4"/>
      <c r="F831" s="4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</row>
    <row r="832">
      <c r="A832" s="126"/>
      <c r="B832" s="126"/>
      <c r="C832" s="118" t="s">
        <v>355</v>
      </c>
      <c r="D832" s="126"/>
      <c r="E832" s="4"/>
      <c r="F832" s="4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</row>
    <row r="833">
      <c r="A833" s="126"/>
      <c r="B833" s="126"/>
      <c r="C833" s="126"/>
      <c r="D833" s="118" t="s">
        <v>364</v>
      </c>
      <c r="E833" s="4"/>
      <c r="F833" s="4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</row>
    <row r="834">
      <c r="A834" s="126"/>
      <c r="B834" s="126"/>
      <c r="C834" s="126"/>
      <c r="D834" s="118" t="s">
        <v>633</v>
      </c>
      <c r="E834" s="4"/>
      <c r="F834" s="4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</row>
    <row r="835">
      <c r="A835" s="126"/>
      <c r="B835" s="126"/>
      <c r="C835" s="126"/>
      <c r="D835" s="118" t="s">
        <v>636</v>
      </c>
      <c r="E835" s="4"/>
      <c r="F835" s="4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</row>
    <row r="836">
      <c r="A836" s="126"/>
      <c r="B836" s="126"/>
      <c r="C836" s="126"/>
      <c r="D836" s="118" t="s">
        <v>420</v>
      </c>
      <c r="E836" s="4"/>
      <c r="F836" s="4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</row>
    <row r="837">
      <c r="A837" s="126"/>
      <c r="B837" s="126"/>
      <c r="C837" s="126"/>
      <c r="D837" s="118" t="s">
        <v>528</v>
      </c>
      <c r="E837" s="4"/>
      <c r="F837" s="4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</row>
    <row r="838">
      <c r="A838" s="126"/>
      <c r="B838" s="126"/>
      <c r="C838" s="126"/>
      <c r="D838" s="118" t="s">
        <v>644</v>
      </c>
      <c r="E838" s="4"/>
      <c r="F838" s="4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</row>
    <row r="839">
      <c r="A839" s="126"/>
      <c r="B839" s="126"/>
      <c r="C839" s="126"/>
      <c r="D839" s="118" t="s">
        <v>647</v>
      </c>
      <c r="E839" s="4"/>
      <c r="F839" s="4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</row>
    <row r="840">
      <c r="A840" s="126"/>
      <c r="B840" s="126"/>
      <c r="C840" s="126"/>
      <c r="D840" s="118" t="s">
        <v>652</v>
      </c>
      <c r="E840" s="4"/>
      <c r="F840" s="4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</row>
    <row r="841">
      <c r="A841" s="126"/>
      <c r="B841" s="126"/>
      <c r="C841" s="118" t="s">
        <v>365</v>
      </c>
      <c r="D841" s="126"/>
      <c r="E841" s="4"/>
      <c r="F841" s="4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</row>
    <row r="842">
      <c r="A842" s="126"/>
      <c r="B842" s="126"/>
      <c r="C842" s="126"/>
      <c r="D842" s="118" t="s">
        <v>674</v>
      </c>
      <c r="E842" s="4"/>
      <c r="F842" s="4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</row>
    <row r="843">
      <c r="A843" s="126"/>
      <c r="B843" s="126"/>
      <c r="C843" s="126"/>
      <c r="D843" s="118" t="s">
        <v>681</v>
      </c>
      <c r="E843" s="4"/>
      <c r="F843" s="4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</row>
    <row r="844">
      <c r="A844" s="126"/>
      <c r="B844" s="126"/>
      <c r="C844" s="126"/>
      <c r="D844" s="118" t="s">
        <v>686</v>
      </c>
      <c r="E844" s="4"/>
      <c r="F844" s="4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</row>
    <row r="845">
      <c r="A845" s="126"/>
      <c r="B845" s="126"/>
      <c r="C845" s="126"/>
      <c r="D845" s="118" t="s">
        <v>688</v>
      </c>
      <c r="E845" s="4"/>
      <c r="F845" s="4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</row>
    <row r="846">
      <c r="A846" s="126"/>
      <c r="B846" s="126"/>
      <c r="C846" s="126"/>
      <c r="D846" s="118" t="s">
        <v>691</v>
      </c>
      <c r="E846" s="4"/>
      <c r="F846" s="4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</row>
    <row r="847">
      <c r="A847" s="126"/>
      <c r="B847" s="126"/>
      <c r="C847" s="126"/>
      <c r="D847" s="118" t="s">
        <v>694</v>
      </c>
      <c r="E847" s="4"/>
      <c r="F847" s="4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</row>
    <row r="848">
      <c r="A848" s="126"/>
      <c r="B848" s="126"/>
      <c r="C848" s="126"/>
      <c r="D848" s="118" t="s">
        <v>701</v>
      </c>
      <c r="E848" s="4"/>
      <c r="F848" s="4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</row>
    <row r="849">
      <c r="A849" s="126"/>
      <c r="B849" s="126"/>
      <c r="C849" s="126"/>
      <c r="D849" s="118" t="s">
        <v>703</v>
      </c>
      <c r="E849" s="4"/>
      <c r="F849" s="4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</row>
    <row r="850">
      <c r="A850" s="126"/>
      <c r="B850" s="126"/>
      <c r="C850" s="126"/>
      <c r="D850" s="118" t="s">
        <v>705</v>
      </c>
      <c r="E850" s="4"/>
      <c r="F850" s="4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</row>
    <row r="851">
      <c r="A851" s="126"/>
      <c r="B851" s="126"/>
      <c r="C851" s="126"/>
      <c r="D851" s="118" t="s">
        <v>706</v>
      </c>
      <c r="E851" s="4"/>
      <c r="F851" s="4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</row>
    <row r="852">
      <c r="A852" s="126"/>
      <c r="B852" s="126"/>
      <c r="C852" s="126"/>
      <c r="D852" s="118" t="s">
        <v>708</v>
      </c>
      <c r="E852" s="4"/>
      <c r="F852" s="4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</row>
    <row r="853">
      <c r="A853" s="126"/>
      <c r="B853" s="126"/>
      <c r="C853" s="126"/>
      <c r="D853" s="118" t="s">
        <v>709</v>
      </c>
      <c r="E853" s="4"/>
      <c r="F853" s="4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</row>
    <row r="854">
      <c r="A854" s="126"/>
      <c r="B854" s="126"/>
      <c r="C854" s="126"/>
      <c r="D854" s="118" t="s">
        <v>715</v>
      </c>
      <c r="E854" s="4"/>
      <c r="F854" s="4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</row>
    <row r="855">
      <c r="A855" s="126"/>
      <c r="B855" s="126"/>
      <c r="C855" s="126"/>
      <c r="D855" s="118" t="s">
        <v>646</v>
      </c>
      <c r="E855" s="4"/>
      <c r="F855" s="4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</row>
    <row r="856">
      <c r="A856" s="126"/>
      <c r="B856" s="126"/>
      <c r="C856" s="118" t="s">
        <v>826</v>
      </c>
      <c r="D856" s="126"/>
      <c r="E856" s="4"/>
      <c r="F856" s="4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</row>
    <row r="857">
      <c r="A857" s="126"/>
      <c r="B857" s="126"/>
      <c r="C857" s="126"/>
      <c r="D857" s="118" t="s">
        <v>727</v>
      </c>
      <c r="E857" s="4"/>
      <c r="F857" s="4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</row>
    <row r="858">
      <c r="A858" s="126"/>
      <c r="B858" s="126"/>
      <c r="C858" s="126"/>
      <c r="D858" s="118" t="s">
        <v>729</v>
      </c>
      <c r="E858" s="4"/>
      <c r="F858" s="4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</row>
    <row r="859">
      <c r="A859" s="126"/>
      <c r="B859" s="126"/>
      <c r="C859" s="126"/>
      <c r="D859" s="118" t="s">
        <v>730</v>
      </c>
      <c r="E859" s="4"/>
      <c r="F859" s="4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</row>
    <row r="860">
      <c r="A860" s="126"/>
      <c r="B860" s="126"/>
      <c r="C860" s="126"/>
      <c r="D860" s="118" t="s">
        <v>731</v>
      </c>
      <c r="E860" s="4"/>
      <c r="F860" s="4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</row>
    <row r="861">
      <c r="A861" s="126"/>
      <c r="B861" s="126"/>
      <c r="C861" s="126"/>
      <c r="D861" s="118" t="s">
        <v>732</v>
      </c>
      <c r="E861" s="4"/>
      <c r="F861" s="4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</row>
    <row r="862">
      <c r="A862" s="126"/>
      <c r="B862" s="126"/>
      <c r="C862" s="126"/>
      <c r="D862" s="118" t="s">
        <v>733</v>
      </c>
      <c r="E862" s="4"/>
      <c r="F862" s="4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</row>
    <row r="863">
      <c r="A863" s="126"/>
      <c r="B863" s="126"/>
      <c r="C863" s="126"/>
      <c r="D863" s="118" t="s">
        <v>734</v>
      </c>
      <c r="E863" s="4"/>
      <c r="F863" s="4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</row>
    <row r="864">
      <c r="A864" s="126"/>
      <c r="B864" s="126"/>
      <c r="C864" s="118" t="s">
        <v>347</v>
      </c>
      <c r="D864" s="126"/>
      <c r="E864" s="4"/>
      <c r="F864" s="4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</row>
    <row r="865">
      <c r="A865" s="126"/>
      <c r="B865" s="126"/>
      <c r="C865" s="126"/>
      <c r="D865" s="118" t="s">
        <v>347</v>
      </c>
      <c r="E865" s="4"/>
      <c r="F865" s="4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</row>
    <row r="866">
      <c r="A866" s="126"/>
      <c r="B866" s="118" t="s">
        <v>829</v>
      </c>
      <c r="C866" s="126"/>
      <c r="D866" s="126"/>
      <c r="E866" s="4"/>
      <c r="F866" s="4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</row>
    <row r="867">
      <c r="A867" s="126"/>
      <c r="B867" s="126"/>
      <c r="C867" s="118" t="s">
        <v>741</v>
      </c>
      <c r="D867" s="126"/>
      <c r="E867" s="4"/>
      <c r="F867" s="4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</row>
    <row r="868">
      <c r="A868" s="126"/>
      <c r="B868" s="126"/>
      <c r="C868" s="126"/>
      <c r="D868" s="118" t="s">
        <v>304</v>
      </c>
      <c r="E868" s="4"/>
      <c r="F868" s="4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</row>
    <row r="869">
      <c r="A869" s="126"/>
      <c r="B869" s="126"/>
      <c r="C869" s="126"/>
      <c r="D869" s="118" t="s">
        <v>321</v>
      </c>
      <c r="E869" s="4"/>
      <c r="F869" s="4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</row>
    <row r="870">
      <c r="A870" s="126"/>
      <c r="B870" s="126"/>
      <c r="C870" s="126"/>
      <c r="D870" s="118" t="s">
        <v>336</v>
      </c>
      <c r="E870" s="4"/>
      <c r="F870" s="4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</row>
    <row r="871">
      <c r="A871" s="126"/>
      <c r="B871" s="126"/>
      <c r="C871" s="126"/>
      <c r="D871" s="118" t="s">
        <v>345</v>
      </c>
      <c r="E871" s="4"/>
      <c r="F871" s="4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</row>
    <row r="872">
      <c r="A872" s="126"/>
      <c r="B872" s="126"/>
      <c r="C872" s="126"/>
      <c r="D872" s="118" t="s">
        <v>356</v>
      </c>
      <c r="E872" s="4"/>
      <c r="F872" s="4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</row>
    <row r="873">
      <c r="A873" s="126"/>
      <c r="B873" s="126"/>
      <c r="C873" s="118" t="s">
        <v>311</v>
      </c>
      <c r="D873" s="126"/>
      <c r="E873" s="4"/>
      <c r="F873" s="4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</row>
    <row r="874">
      <c r="A874" s="126"/>
      <c r="B874" s="126"/>
      <c r="C874" s="126"/>
      <c r="D874" s="118" t="s">
        <v>296</v>
      </c>
      <c r="E874" s="4"/>
      <c r="F874" s="4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</row>
    <row r="875">
      <c r="A875" s="126"/>
      <c r="B875" s="126"/>
      <c r="C875" s="126"/>
      <c r="D875" s="118" t="s">
        <v>405</v>
      </c>
      <c r="E875" s="4"/>
      <c r="F875" s="4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</row>
    <row r="876">
      <c r="A876" s="126"/>
      <c r="B876" s="126"/>
      <c r="C876" s="126"/>
      <c r="D876" s="118" t="s">
        <v>415</v>
      </c>
      <c r="E876" s="4"/>
      <c r="F876" s="4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</row>
    <row r="877">
      <c r="A877" s="126"/>
      <c r="B877" s="126"/>
      <c r="C877" s="126"/>
      <c r="D877" s="118" t="s">
        <v>312</v>
      </c>
      <c r="E877" s="4"/>
      <c r="F877" s="4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</row>
    <row r="878">
      <c r="A878" s="126"/>
      <c r="B878" s="126"/>
      <c r="C878" s="126"/>
      <c r="D878" s="118" t="s">
        <v>422</v>
      </c>
      <c r="E878" s="4"/>
      <c r="F878" s="4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</row>
    <row r="879">
      <c r="A879" s="126"/>
      <c r="B879" s="126"/>
      <c r="C879" s="126"/>
      <c r="D879" s="118" t="s">
        <v>362</v>
      </c>
      <c r="E879" s="4"/>
      <c r="F879" s="4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</row>
    <row r="880">
      <c r="A880" s="126"/>
      <c r="B880" s="126"/>
      <c r="C880" s="126"/>
      <c r="D880" s="118" t="s">
        <v>436</v>
      </c>
      <c r="E880" s="4"/>
      <c r="F880" s="4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</row>
    <row r="881">
      <c r="A881" s="126"/>
      <c r="B881" s="126"/>
      <c r="C881" s="126"/>
      <c r="D881" s="118" t="s">
        <v>329</v>
      </c>
      <c r="E881" s="4"/>
      <c r="F881" s="4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</row>
    <row r="882">
      <c r="A882" s="126"/>
      <c r="B882" s="126"/>
      <c r="C882" s="126"/>
      <c r="D882" s="118" t="s">
        <v>342</v>
      </c>
      <c r="E882" s="4"/>
      <c r="F882" s="4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</row>
    <row r="883">
      <c r="A883" s="126"/>
      <c r="B883" s="126"/>
      <c r="C883" s="118" t="s">
        <v>335</v>
      </c>
      <c r="D883" s="126"/>
      <c r="E883" s="4"/>
      <c r="F883" s="4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</row>
    <row r="884">
      <c r="A884" s="126"/>
      <c r="B884" s="126"/>
      <c r="C884" s="126"/>
      <c r="D884" s="118" t="s">
        <v>479</v>
      </c>
      <c r="E884" s="4"/>
      <c r="F884" s="4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</row>
    <row r="885">
      <c r="A885" s="126"/>
      <c r="B885" s="126"/>
      <c r="C885" s="126"/>
      <c r="D885" s="118" t="s">
        <v>480</v>
      </c>
      <c r="E885" s="4"/>
      <c r="F885" s="4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</row>
    <row r="886">
      <c r="A886" s="126"/>
      <c r="B886" s="126"/>
      <c r="C886" s="126"/>
      <c r="D886" s="118" t="s">
        <v>488</v>
      </c>
      <c r="E886" s="4"/>
      <c r="F886" s="4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</row>
    <row r="887">
      <c r="A887" s="126"/>
      <c r="B887" s="126"/>
      <c r="C887" s="126"/>
      <c r="D887" s="118" t="s">
        <v>520</v>
      </c>
      <c r="E887" s="4"/>
      <c r="F887" s="4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</row>
    <row r="888">
      <c r="A888" s="126"/>
      <c r="B888" s="126"/>
      <c r="C888" s="126"/>
      <c r="D888" s="118" t="s">
        <v>538</v>
      </c>
      <c r="E888" s="4"/>
      <c r="F888" s="4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</row>
    <row r="889">
      <c r="A889" s="126"/>
      <c r="B889" s="126"/>
      <c r="C889" s="126"/>
      <c r="D889" s="118" t="s">
        <v>545</v>
      </c>
      <c r="E889" s="4"/>
      <c r="F889" s="4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</row>
    <row r="890">
      <c r="A890" s="126"/>
      <c r="B890" s="126"/>
      <c r="C890" s="126"/>
      <c r="D890" s="118" t="s">
        <v>553</v>
      </c>
      <c r="E890" s="4"/>
      <c r="F890" s="4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</row>
    <row r="891">
      <c r="A891" s="126"/>
      <c r="B891" s="126"/>
      <c r="C891" s="126"/>
      <c r="D891" s="118" t="s">
        <v>559</v>
      </c>
      <c r="E891" s="4"/>
      <c r="F891" s="4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</row>
    <row r="892">
      <c r="A892" s="126"/>
      <c r="B892" s="126"/>
      <c r="C892" s="126"/>
      <c r="D892" s="118" t="s">
        <v>565</v>
      </c>
      <c r="E892" s="4"/>
      <c r="F892" s="4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</row>
    <row r="893">
      <c r="A893" s="126"/>
      <c r="B893" s="126"/>
      <c r="C893" s="126"/>
      <c r="D893" s="118" t="s">
        <v>570</v>
      </c>
      <c r="E893" s="4"/>
      <c r="F893" s="4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</row>
    <row r="894">
      <c r="A894" s="126"/>
      <c r="B894" s="126"/>
      <c r="C894" s="126"/>
      <c r="D894" s="118" t="s">
        <v>507</v>
      </c>
      <c r="E894" s="4"/>
      <c r="F894" s="4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</row>
    <row r="895">
      <c r="A895" s="126"/>
      <c r="B895" s="126"/>
      <c r="C895" s="126"/>
      <c r="D895" s="118" t="s">
        <v>577</v>
      </c>
      <c r="E895" s="4"/>
      <c r="F895" s="4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</row>
    <row r="896">
      <c r="A896" s="126"/>
      <c r="B896" s="126"/>
      <c r="C896" s="126"/>
      <c r="D896" s="118" t="s">
        <v>583</v>
      </c>
      <c r="E896" s="4"/>
      <c r="F896" s="4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</row>
    <row r="897">
      <c r="A897" s="126"/>
      <c r="B897" s="126"/>
      <c r="C897" s="126"/>
      <c r="D897" s="118" t="s">
        <v>588</v>
      </c>
      <c r="E897" s="4"/>
      <c r="F897" s="4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</row>
    <row r="898">
      <c r="A898" s="126"/>
      <c r="B898" s="126"/>
      <c r="C898" s="126"/>
      <c r="D898" s="118" t="s">
        <v>594</v>
      </c>
      <c r="E898" s="4"/>
      <c r="F898" s="4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</row>
    <row r="899">
      <c r="A899" s="126"/>
      <c r="B899" s="126"/>
      <c r="C899" s="126"/>
      <c r="D899" s="118" t="s">
        <v>597</v>
      </c>
      <c r="E899" s="4"/>
      <c r="F899" s="4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</row>
    <row r="900">
      <c r="A900" s="126"/>
      <c r="B900" s="126"/>
      <c r="C900" s="126"/>
      <c r="D900" s="118" t="s">
        <v>608</v>
      </c>
      <c r="E900" s="4"/>
      <c r="F900" s="4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</row>
    <row r="901">
      <c r="A901" s="126"/>
      <c r="B901" s="126"/>
      <c r="C901" s="126"/>
      <c r="D901" s="118" t="s">
        <v>616</v>
      </c>
      <c r="E901" s="4"/>
      <c r="F901" s="4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</row>
    <row r="902">
      <c r="A902" s="126"/>
      <c r="B902" s="126"/>
      <c r="C902" s="118" t="s">
        <v>327</v>
      </c>
      <c r="D902" s="126"/>
      <c r="E902" s="4"/>
      <c r="F902" s="4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</row>
    <row r="903">
      <c r="A903" s="126"/>
      <c r="B903" s="126"/>
      <c r="C903" s="126"/>
      <c r="D903" s="118" t="s">
        <v>327</v>
      </c>
      <c r="E903" s="4"/>
      <c r="F903" s="4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</row>
    <row r="904">
      <c r="A904" s="126"/>
      <c r="B904" s="126"/>
      <c r="C904" s="126"/>
      <c r="D904" s="118" t="s">
        <v>504</v>
      </c>
      <c r="E904" s="4"/>
      <c r="F904" s="4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</row>
    <row r="905">
      <c r="A905" s="126"/>
      <c r="B905" s="126"/>
      <c r="C905" s="118" t="s">
        <v>308</v>
      </c>
      <c r="D905" s="126"/>
      <c r="E905" s="4"/>
      <c r="F905" s="4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</row>
    <row r="906">
      <c r="A906" s="126"/>
      <c r="B906" s="126"/>
      <c r="C906" s="126"/>
      <c r="D906" s="118" t="s">
        <v>364</v>
      </c>
      <c r="E906" s="4"/>
      <c r="F906" s="4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</row>
    <row r="907">
      <c r="A907" s="126"/>
      <c r="B907" s="126"/>
      <c r="C907" s="126"/>
      <c r="D907" s="118" t="s">
        <v>633</v>
      </c>
      <c r="E907" s="4"/>
      <c r="F907" s="4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</row>
    <row r="908">
      <c r="A908" s="126"/>
      <c r="B908" s="126"/>
      <c r="C908" s="126"/>
      <c r="D908" s="118" t="s">
        <v>636</v>
      </c>
      <c r="E908" s="4"/>
      <c r="F908" s="4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</row>
    <row r="909">
      <c r="A909" s="126"/>
      <c r="B909" s="126"/>
      <c r="C909" s="126"/>
      <c r="D909" s="118" t="s">
        <v>420</v>
      </c>
      <c r="E909" s="4"/>
      <c r="F909" s="4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</row>
    <row r="910">
      <c r="A910" s="126"/>
      <c r="B910" s="126"/>
      <c r="C910" s="126"/>
      <c r="D910" s="118" t="s">
        <v>528</v>
      </c>
      <c r="E910" s="4"/>
      <c r="F910" s="4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</row>
    <row r="911">
      <c r="A911" s="126"/>
      <c r="B911" s="126"/>
      <c r="C911" s="126"/>
      <c r="D911" s="118" t="s">
        <v>647</v>
      </c>
      <c r="E911" s="4"/>
      <c r="F911" s="4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</row>
    <row r="912">
      <c r="A912" s="126"/>
      <c r="B912" s="126"/>
      <c r="C912" s="126"/>
      <c r="D912" s="118" t="s">
        <v>529</v>
      </c>
      <c r="E912" s="4"/>
      <c r="F912" s="4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</row>
    <row r="913">
      <c r="A913" s="126"/>
      <c r="B913" s="126"/>
      <c r="C913" s="118" t="s">
        <v>365</v>
      </c>
      <c r="D913" s="126"/>
      <c r="E913" s="4"/>
      <c r="F913" s="4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</row>
    <row r="914">
      <c r="A914" s="126"/>
      <c r="B914" s="126"/>
      <c r="C914" s="126"/>
      <c r="D914" s="118" t="s">
        <v>670</v>
      </c>
      <c r="E914" s="4"/>
      <c r="F914" s="4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</row>
    <row r="915">
      <c r="A915" s="126"/>
      <c r="B915" s="126"/>
      <c r="C915" s="126"/>
      <c r="D915" s="118" t="s">
        <v>677</v>
      </c>
      <c r="E915" s="4"/>
      <c r="F915" s="4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</row>
    <row r="916">
      <c r="A916" s="126"/>
      <c r="B916" s="126"/>
      <c r="C916" s="126"/>
      <c r="D916" s="118" t="s">
        <v>696</v>
      </c>
      <c r="E916" s="4"/>
      <c r="F916" s="4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</row>
    <row r="917">
      <c r="A917" s="126"/>
      <c r="B917" s="126"/>
      <c r="C917" s="126"/>
      <c r="D917" s="118" t="s">
        <v>698</v>
      </c>
      <c r="E917" s="4"/>
      <c r="F917" s="4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</row>
    <row r="918">
      <c r="A918" s="126"/>
      <c r="B918" s="126"/>
      <c r="C918" s="126"/>
      <c r="D918" s="118" t="s">
        <v>711</v>
      </c>
      <c r="E918" s="4"/>
      <c r="F918" s="4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</row>
    <row r="919">
      <c r="A919" s="126"/>
      <c r="B919" s="126"/>
      <c r="C919" s="118" t="s">
        <v>826</v>
      </c>
      <c r="D919" s="126"/>
      <c r="E919" s="4"/>
      <c r="F919" s="4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</row>
    <row r="920">
      <c r="A920" s="126"/>
      <c r="B920" s="126"/>
      <c r="C920" s="126"/>
      <c r="D920" s="118" t="s">
        <v>727</v>
      </c>
      <c r="E920" s="4"/>
      <c r="F920" s="4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</row>
    <row r="921">
      <c r="A921" s="126"/>
      <c r="B921" s="126"/>
      <c r="C921" s="126"/>
      <c r="D921" s="118" t="s">
        <v>729</v>
      </c>
      <c r="E921" s="4"/>
      <c r="F921" s="4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</row>
    <row r="922">
      <c r="A922" s="126"/>
      <c r="B922" s="126"/>
      <c r="C922" s="126"/>
      <c r="D922" s="118" t="s">
        <v>730</v>
      </c>
      <c r="E922" s="4"/>
      <c r="F922" s="4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</row>
    <row r="923">
      <c r="A923" s="126"/>
      <c r="B923" s="126"/>
      <c r="C923" s="126"/>
      <c r="D923" s="118" t="s">
        <v>732</v>
      </c>
      <c r="E923" s="4"/>
      <c r="F923" s="4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</row>
    <row r="924">
      <c r="A924" s="126"/>
      <c r="B924" s="126"/>
      <c r="C924" s="126"/>
      <c r="D924" s="118" t="s">
        <v>734</v>
      </c>
      <c r="E924" s="4"/>
      <c r="F924" s="4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</row>
    <row r="925">
      <c r="A925" s="126"/>
      <c r="B925" s="126"/>
      <c r="C925" s="118" t="s">
        <v>347</v>
      </c>
      <c r="D925" s="126"/>
      <c r="E925" s="4"/>
      <c r="F925" s="4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</row>
    <row r="926">
      <c r="A926" s="126"/>
      <c r="B926" s="126"/>
      <c r="C926" s="126"/>
      <c r="D926" s="118" t="s">
        <v>347</v>
      </c>
      <c r="E926" s="4"/>
      <c r="F926" s="4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</row>
    <row r="927">
      <c r="A927" s="126"/>
      <c r="B927" s="118" t="s">
        <v>830</v>
      </c>
      <c r="C927" s="126"/>
      <c r="D927" s="126"/>
      <c r="E927" s="4"/>
      <c r="F927" s="4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</row>
    <row r="928">
      <c r="A928" s="126"/>
      <c r="B928" s="126"/>
      <c r="C928" s="118" t="s">
        <v>741</v>
      </c>
      <c r="D928" s="126"/>
      <c r="E928" s="4"/>
      <c r="F928" s="4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</row>
    <row r="929">
      <c r="A929" s="126"/>
      <c r="B929" s="126"/>
      <c r="C929" s="126"/>
      <c r="D929" s="118" t="s">
        <v>304</v>
      </c>
      <c r="E929" s="4"/>
      <c r="F929" s="4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</row>
    <row r="930">
      <c r="A930" s="126"/>
      <c r="B930" s="126"/>
      <c r="C930" s="126"/>
      <c r="D930" s="118" t="s">
        <v>321</v>
      </c>
      <c r="E930" s="4"/>
      <c r="F930" s="4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</row>
    <row r="931">
      <c r="A931" s="126"/>
      <c r="B931" s="126"/>
      <c r="C931" s="126"/>
      <c r="D931" s="118" t="s">
        <v>336</v>
      </c>
      <c r="E931" s="4"/>
      <c r="F931" s="4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</row>
    <row r="932">
      <c r="A932" s="126"/>
      <c r="B932" s="126"/>
      <c r="C932" s="126"/>
      <c r="D932" s="118" t="s">
        <v>356</v>
      </c>
      <c r="E932" s="4"/>
      <c r="F932" s="4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</row>
    <row r="933">
      <c r="A933" s="126"/>
      <c r="B933" s="126"/>
      <c r="C933" s="118" t="s">
        <v>311</v>
      </c>
      <c r="D933" s="126"/>
      <c r="E933" s="4"/>
      <c r="F933" s="4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</row>
    <row r="934">
      <c r="A934" s="126"/>
      <c r="B934" s="126"/>
      <c r="C934" s="126"/>
      <c r="D934" s="118" t="s">
        <v>296</v>
      </c>
      <c r="E934" s="4"/>
      <c r="F934" s="4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</row>
    <row r="935">
      <c r="A935" s="126"/>
      <c r="B935" s="126"/>
      <c r="C935" s="126"/>
      <c r="D935" s="118" t="s">
        <v>405</v>
      </c>
      <c r="E935" s="4"/>
      <c r="F935" s="4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</row>
    <row r="936">
      <c r="A936" s="126"/>
      <c r="B936" s="126"/>
      <c r="C936" s="126"/>
      <c r="D936" s="118" t="s">
        <v>312</v>
      </c>
      <c r="E936" s="4"/>
      <c r="F936" s="4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</row>
    <row r="937">
      <c r="A937" s="126"/>
      <c r="B937" s="126"/>
      <c r="C937" s="126"/>
      <c r="D937" s="118" t="s">
        <v>422</v>
      </c>
      <c r="E937" s="4"/>
      <c r="F937" s="4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</row>
    <row r="938">
      <c r="A938" s="126"/>
      <c r="B938" s="126"/>
      <c r="C938" s="126"/>
      <c r="D938" s="118" t="s">
        <v>362</v>
      </c>
      <c r="E938" s="4"/>
      <c r="F938" s="4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</row>
    <row r="939">
      <c r="A939" s="126"/>
      <c r="B939" s="126"/>
      <c r="C939" s="126"/>
      <c r="D939" s="118" t="s">
        <v>436</v>
      </c>
      <c r="E939" s="4"/>
      <c r="F939" s="4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</row>
    <row r="940">
      <c r="A940" s="126"/>
      <c r="B940" s="126"/>
      <c r="C940" s="126"/>
      <c r="D940" s="118" t="s">
        <v>329</v>
      </c>
      <c r="E940" s="4"/>
      <c r="F940" s="4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</row>
    <row r="941">
      <c r="A941" s="126"/>
      <c r="B941" s="126"/>
      <c r="C941" s="126"/>
      <c r="D941" s="118" t="s">
        <v>342</v>
      </c>
      <c r="E941" s="4"/>
      <c r="F941" s="4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</row>
    <row r="942">
      <c r="A942" s="126"/>
      <c r="B942" s="126"/>
      <c r="C942" s="118" t="s">
        <v>335</v>
      </c>
      <c r="D942" s="126"/>
      <c r="E942" s="4"/>
      <c r="F942" s="4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</row>
    <row r="943">
      <c r="A943" s="126"/>
      <c r="B943" s="126"/>
      <c r="C943" s="126"/>
      <c r="D943" s="118" t="s">
        <v>479</v>
      </c>
      <c r="E943" s="4"/>
      <c r="F943" s="4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</row>
    <row r="944">
      <c r="A944" s="126"/>
      <c r="B944" s="126"/>
      <c r="C944" s="126"/>
      <c r="D944" s="118" t="s">
        <v>480</v>
      </c>
      <c r="E944" s="4"/>
      <c r="F944" s="4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</row>
    <row r="945">
      <c r="A945" s="126"/>
      <c r="B945" s="126"/>
      <c r="C945" s="126"/>
      <c r="D945" s="118" t="s">
        <v>506</v>
      </c>
      <c r="E945" s="4"/>
      <c r="F945" s="4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</row>
    <row r="946">
      <c r="A946" s="126"/>
      <c r="B946" s="126"/>
      <c r="C946" s="126"/>
      <c r="D946" s="118" t="s">
        <v>488</v>
      </c>
      <c r="E946" s="4"/>
      <c r="F946" s="4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</row>
    <row r="947">
      <c r="A947" s="126"/>
      <c r="B947" s="126"/>
      <c r="C947" s="126"/>
      <c r="D947" s="118" t="s">
        <v>520</v>
      </c>
      <c r="E947" s="4"/>
      <c r="F947" s="4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</row>
    <row r="948">
      <c r="A948" s="126"/>
      <c r="B948" s="126"/>
      <c r="C948" s="126"/>
      <c r="D948" s="118" t="s">
        <v>559</v>
      </c>
      <c r="E948" s="4"/>
      <c r="F948" s="4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</row>
    <row r="949">
      <c r="A949" s="126"/>
      <c r="B949" s="126"/>
      <c r="C949" s="126"/>
      <c r="D949" s="118" t="s">
        <v>570</v>
      </c>
      <c r="E949" s="4"/>
      <c r="F949" s="4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</row>
    <row r="950">
      <c r="A950" s="126"/>
      <c r="B950" s="126"/>
      <c r="C950" s="126"/>
      <c r="D950" s="118" t="s">
        <v>583</v>
      </c>
      <c r="E950" s="4"/>
      <c r="F950" s="4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</row>
    <row r="951">
      <c r="A951" s="126"/>
      <c r="B951" s="126"/>
      <c r="C951" s="126"/>
      <c r="D951" s="118" t="s">
        <v>588</v>
      </c>
      <c r="E951" s="4"/>
      <c r="F951" s="4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</row>
    <row r="952">
      <c r="A952" s="126"/>
      <c r="B952" s="126"/>
      <c r="C952" s="126"/>
      <c r="D952" s="118" t="s">
        <v>608</v>
      </c>
      <c r="E952" s="4"/>
      <c r="F952" s="4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</row>
    <row r="953">
      <c r="A953" s="126"/>
      <c r="B953" s="126"/>
      <c r="C953" s="126"/>
      <c r="D953" s="118" t="s">
        <v>613</v>
      </c>
      <c r="E953" s="4"/>
      <c r="F953" s="4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</row>
    <row r="954">
      <c r="A954" s="126"/>
      <c r="B954" s="126"/>
      <c r="C954" s="118" t="s">
        <v>327</v>
      </c>
      <c r="D954" s="126"/>
      <c r="E954" s="4"/>
      <c r="F954" s="4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</row>
    <row r="955">
      <c r="A955" s="126"/>
      <c r="B955" s="126"/>
      <c r="C955" s="126"/>
      <c r="D955" s="118" t="s">
        <v>327</v>
      </c>
      <c r="E955" s="4"/>
      <c r="F955" s="4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</row>
    <row r="956">
      <c r="A956" s="126"/>
      <c r="B956" s="126"/>
      <c r="C956" s="126"/>
      <c r="D956" s="118" t="s">
        <v>504</v>
      </c>
      <c r="E956" s="4"/>
      <c r="F956" s="4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</row>
    <row r="957">
      <c r="A957" s="126"/>
      <c r="B957" s="126"/>
      <c r="C957" s="118" t="s">
        <v>308</v>
      </c>
      <c r="D957" s="126"/>
      <c r="E957" s="4"/>
      <c r="F957" s="4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</row>
    <row r="958">
      <c r="A958" s="126"/>
      <c r="B958" s="126"/>
      <c r="C958" s="126"/>
      <c r="D958" s="118" t="s">
        <v>364</v>
      </c>
      <c r="E958" s="4"/>
      <c r="F958" s="4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</row>
    <row r="959">
      <c r="A959" s="126"/>
      <c r="B959" s="126"/>
      <c r="C959" s="126"/>
      <c r="D959" s="118" t="s">
        <v>633</v>
      </c>
      <c r="E959" s="4"/>
      <c r="F959" s="4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</row>
    <row r="960">
      <c r="A960" s="126"/>
      <c r="B960" s="126"/>
      <c r="C960" s="126"/>
      <c r="D960" s="118" t="s">
        <v>420</v>
      </c>
      <c r="E960" s="4"/>
      <c r="F960" s="4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</row>
    <row r="961">
      <c r="A961" s="126"/>
      <c r="B961" s="126"/>
      <c r="C961" s="126"/>
      <c r="D961" s="118" t="s">
        <v>528</v>
      </c>
      <c r="E961" s="4"/>
      <c r="F961" s="4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</row>
    <row r="962">
      <c r="A962" s="126"/>
      <c r="B962" s="126"/>
      <c r="C962" s="126"/>
      <c r="D962" s="118" t="s">
        <v>644</v>
      </c>
      <c r="E962" s="4"/>
      <c r="F962" s="4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</row>
    <row r="963">
      <c r="A963" s="126"/>
      <c r="B963" s="126"/>
      <c r="C963" s="126"/>
      <c r="D963" s="118" t="s">
        <v>529</v>
      </c>
      <c r="E963" s="4"/>
      <c r="F963" s="4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</row>
    <row r="964">
      <c r="A964" s="126"/>
      <c r="B964" s="126"/>
      <c r="C964" s="118" t="s">
        <v>826</v>
      </c>
      <c r="D964" s="126"/>
      <c r="E964" s="4"/>
      <c r="F964" s="4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</row>
    <row r="965">
      <c r="A965" s="126"/>
      <c r="B965" s="126"/>
      <c r="C965" s="126"/>
      <c r="D965" s="118" t="s">
        <v>727</v>
      </c>
      <c r="E965" s="4"/>
      <c r="F965" s="4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</row>
    <row r="966">
      <c r="A966" s="126"/>
      <c r="B966" s="126"/>
      <c r="C966" s="118" t="s">
        <v>347</v>
      </c>
      <c r="D966" s="126"/>
      <c r="E966" s="4"/>
      <c r="F966" s="4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</row>
    <row r="967">
      <c r="A967" s="126"/>
      <c r="B967" s="126"/>
      <c r="C967" s="126"/>
      <c r="D967" s="118" t="s">
        <v>347</v>
      </c>
      <c r="E967" s="4"/>
      <c r="F967" s="4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</row>
    <row r="968">
      <c r="A968" s="126"/>
      <c r="B968" s="118" t="s">
        <v>831</v>
      </c>
      <c r="C968" s="126"/>
      <c r="D968" s="126"/>
      <c r="E968" s="4"/>
      <c r="F968" s="4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</row>
    <row r="969">
      <c r="A969" s="126"/>
      <c r="B969" s="126"/>
      <c r="C969" s="118" t="s">
        <v>741</v>
      </c>
      <c r="D969" s="126"/>
      <c r="E969" s="4"/>
      <c r="F969" s="4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</row>
    <row r="970">
      <c r="A970" s="126"/>
      <c r="B970" s="126"/>
      <c r="C970" s="126"/>
      <c r="D970" s="118" t="s">
        <v>304</v>
      </c>
      <c r="E970" s="4"/>
      <c r="F970" s="4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</row>
    <row r="971">
      <c r="A971" s="126"/>
      <c r="B971" s="126"/>
      <c r="C971" s="126"/>
      <c r="D971" s="118" t="s">
        <v>321</v>
      </c>
      <c r="E971" s="4"/>
      <c r="F971" s="4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</row>
    <row r="972">
      <c r="A972" s="126"/>
      <c r="B972" s="126"/>
      <c r="C972" s="126"/>
      <c r="D972" s="118" t="s">
        <v>336</v>
      </c>
      <c r="E972" s="4"/>
      <c r="F972" s="4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</row>
    <row r="973">
      <c r="A973" s="126"/>
      <c r="B973" s="126"/>
      <c r="C973" s="126"/>
      <c r="D973" s="118" t="s">
        <v>356</v>
      </c>
      <c r="E973" s="4"/>
      <c r="F973" s="4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</row>
    <row r="974">
      <c r="A974" s="126"/>
      <c r="B974" s="126"/>
      <c r="C974" s="118" t="s">
        <v>311</v>
      </c>
      <c r="D974" s="126"/>
      <c r="E974" s="4"/>
      <c r="F974" s="4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</row>
    <row r="975">
      <c r="A975" s="126"/>
      <c r="B975" s="126"/>
      <c r="C975" s="126"/>
      <c r="D975" s="118" t="s">
        <v>296</v>
      </c>
      <c r="E975" s="4"/>
      <c r="F975" s="4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</row>
    <row r="976">
      <c r="A976" s="126"/>
      <c r="B976" s="126"/>
      <c r="C976" s="126"/>
      <c r="D976" s="118" t="s">
        <v>405</v>
      </c>
      <c r="E976" s="4"/>
      <c r="F976" s="4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</row>
    <row r="977">
      <c r="A977" s="126"/>
      <c r="B977" s="126"/>
      <c r="C977" s="126"/>
      <c r="D977" s="118" t="s">
        <v>312</v>
      </c>
      <c r="E977" s="4"/>
      <c r="F977" s="4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</row>
    <row r="978">
      <c r="A978" s="126"/>
      <c r="B978" s="126"/>
      <c r="C978" s="126"/>
      <c r="D978" s="118" t="s">
        <v>422</v>
      </c>
      <c r="E978" s="4"/>
      <c r="F978" s="4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</row>
    <row r="979">
      <c r="A979" s="126"/>
      <c r="B979" s="126"/>
      <c r="C979" s="126"/>
      <c r="D979" s="118" t="s">
        <v>362</v>
      </c>
      <c r="E979" s="4"/>
      <c r="F979" s="4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</row>
    <row r="980">
      <c r="A980" s="126"/>
      <c r="B980" s="126"/>
      <c r="C980" s="126"/>
      <c r="D980" s="118" t="s">
        <v>436</v>
      </c>
      <c r="E980" s="4"/>
      <c r="F980" s="4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</row>
    <row r="981">
      <c r="A981" s="126"/>
      <c r="B981" s="126"/>
      <c r="C981" s="126"/>
      <c r="D981" s="118" t="s">
        <v>329</v>
      </c>
      <c r="E981" s="4"/>
      <c r="F981" s="4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</row>
    <row r="982">
      <c r="A982" s="126"/>
      <c r="B982" s="126"/>
      <c r="C982" s="126"/>
      <c r="D982" s="118" t="s">
        <v>342</v>
      </c>
      <c r="E982" s="4"/>
      <c r="F982" s="4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</row>
    <row r="983">
      <c r="A983" s="126"/>
      <c r="B983" s="126"/>
      <c r="C983" s="118" t="s">
        <v>335</v>
      </c>
      <c r="D983" s="126"/>
      <c r="E983" s="4"/>
      <c r="F983" s="4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</row>
    <row r="984">
      <c r="A984" s="126"/>
      <c r="B984" s="126"/>
      <c r="C984" s="126"/>
      <c r="D984" s="118" t="s">
        <v>479</v>
      </c>
      <c r="E984" s="4"/>
      <c r="F984" s="4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</row>
    <row r="985">
      <c r="A985" s="126"/>
      <c r="B985" s="126"/>
      <c r="C985" s="126"/>
      <c r="D985" s="118" t="s">
        <v>480</v>
      </c>
      <c r="E985" s="4"/>
      <c r="F985" s="4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</row>
    <row r="986">
      <c r="A986" s="126"/>
      <c r="B986" s="126"/>
      <c r="C986" s="126"/>
      <c r="D986" s="118" t="s">
        <v>488</v>
      </c>
      <c r="E986" s="4"/>
      <c r="F986" s="4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</row>
    <row r="987">
      <c r="A987" s="126"/>
      <c r="B987" s="126"/>
      <c r="C987" s="126"/>
      <c r="D987" s="118" t="s">
        <v>520</v>
      </c>
      <c r="E987" s="4"/>
      <c r="F987" s="4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</row>
    <row r="988">
      <c r="A988" s="126"/>
      <c r="B988" s="126"/>
      <c r="C988" s="126"/>
      <c r="D988" s="118" t="s">
        <v>538</v>
      </c>
      <c r="E988" s="4"/>
      <c r="F988" s="4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</row>
    <row r="989">
      <c r="A989" s="126"/>
      <c r="B989" s="126"/>
      <c r="C989" s="126"/>
      <c r="D989" s="118" t="s">
        <v>545</v>
      </c>
      <c r="E989" s="4"/>
      <c r="F989" s="4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</row>
    <row r="990">
      <c r="A990" s="126"/>
      <c r="B990" s="126"/>
      <c r="C990" s="126"/>
      <c r="D990" s="118" t="s">
        <v>553</v>
      </c>
      <c r="E990" s="4"/>
      <c r="F990" s="4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</row>
    <row r="991">
      <c r="A991" s="126"/>
      <c r="B991" s="126"/>
      <c r="C991" s="126"/>
      <c r="D991" s="118" t="s">
        <v>559</v>
      </c>
      <c r="E991" s="4"/>
      <c r="F991" s="4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</row>
    <row r="992">
      <c r="A992" s="126"/>
      <c r="B992" s="126"/>
      <c r="C992" s="126"/>
      <c r="D992" s="118" t="s">
        <v>565</v>
      </c>
      <c r="E992" s="4"/>
      <c r="F992" s="4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</row>
    <row r="993">
      <c r="A993" s="126"/>
      <c r="B993" s="126"/>
      <c r="C993" s="126"/>
      <c r="D993" s="118" t="s">
        <v>507</v>
      </c>
      <c r="E993" s="4"/>
      <c r="F993" s="4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</row>
    <row r="994">
      <c r="A994" s="126"/>
      <c r="B994" s="126"/>
      <c r="C994" s="126"/>
      <c r="D994" s="118" t="s">
        <v>577</v>
      </c>
      <c r="E994" s="4"/>
      <c r="F994" s="4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</row>
    <row r="995">
      <c r="A995" s="126"/>
      <c r="B995" s="126"/>
      <c r="C995" s="126"/>
      <c r="D995" s="118" t="s">
        <v>583</v>
      </c>
      <c r="E995" s="4"/>
      <c r="F995" s="4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</row>
    <row r="996">
      <c r="A996" s="126"/>
      <c r="B996" s="126"/>
      <c r="C996" s="126"/>
      <c r="D996" s="118" t="s">
        <v>588</v>
      </c>
      <c r="E996" s="4"/>
      <c r="F996" s="4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</row>
    <row r="997">
      <c r="A997" s="126"/>
      <c r="B997" s="126"/>
      <c r="C997" s="126"/>
      <c r="D997" s="118" t="s">
        <v>597</v>
      </c>
      <c r="E997" s="4"/>
      <c r="F997" s="4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</row>
    <row r="998">
      <c r="A998" s="126"/>
      <c r="B998" s="126"/>
      <c r="C998" s="126"/>
      <c r="D998" s="118" t="s">
        <v>608</v>
      </c>
      <c r="E998" s="4"/>
      <c r="F998" s="4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</row>
    <row r="999">
      <c r="A999" s="126"/>
      <c r="B999" s="126"/>
      <c r="C999" s="126"/>
      <c r="D999" s="118" t="s">
        <v>616</v>
      </c>
      <c r="E999" s="4"/>
      <c r="F999" s="4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</row>
    <row r="1000">
      <c r="A1000" s="126"/>
      <c r="B1000" s="126"/>
      <c r="C1000" s="118" t="s">
        <v>327</v>
      </c>
      <c r="D1000" s="126"/>
      <c r="E1000" s="4"/>
      <c r="F1000" s="4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</row>
    <row r="1001">
      <c r="A1001" s="126"/>
      <c r="B1001" s="126"/>
      <c r="C1001" s="126"/>
      <c r="D1001" s="118" t="s">
        <v>327</v>
      </c>
      <c r="E1001" s="4"/>
      <c r="F1001" s="4"/>
      <c r="G1001" s="109"/>
      <c r="H1001" s="109"/>
      <c r="I1001" s="109"/>
      <c r="J1001" s="109"/>
      <c r="K1001" s="109"/>
      <c r="L1001" s="109"/>
      <c r="M1001" s="109"/>
      <c r="N1001" s="109"/>
      <c r="O1001" s="109"/>
      <c r="P1001" s="109"/>
      <c r="Q1001" s="109"/>
      <c r="R1001" s="109"/>
      <c r="S1001" s="109"/>
      <c r="T1001" s="109"/>
      <c r="U1001" s="109"/>
      <c r="V1001" s="109"/>
      <c r="W1001" s="109"/>
      <c r="X1001" s="109"/>
      <c r="Y1001" s="109"/>
      <c r="Z1001" s="109"/>
    </row>
    <row r="1002">
      <c r="A1002" s="126"/>
      <c r="B1002" s="126"/>
      <c r="C1002" s="126"/>
      <c r="D1002" s="118" t="s">
        <v>504</v>
      </c>
      <c r="E1002" s="4"/>
      <c r="F1002" s="4"/>
      <c r="G1002" s="109"/>
      <c r="H1002" s="109"/>
      <c r="I1002" s="109"/>
      <c r="J1002" s="109"/>
      <c r="K1002" s="109"/>
      <c r="L1002" s="109"/>
      <c r="M1002" s="109"/>
      <c r="N1002" s="109"/>
      <c r="O1002" s="109"/>
      <c r="P1002" s="109"/>
      <c r="Q1002" s="109"/>
      <c r="R1002" s="109"/>
      <c r="S1002" s="109"/>
      <c r="T1002" s="109"/>
      <c r="U1002" s="109"/>
      <c r="V1002" s="109"/>
      <c r="W1002" s="109"/>
      <c r="X1002" s="109"/>
      <c r="Y1002" s="109"/>
      <c r="Z1002" s="109"/>
    </row>
    <row r="1003">
      <c r="A1003" s="126"/>
      <c r="B1003" s="126"/>
      <c r="C1003" s="118" t="s">
        <v>308</v>
      </c>
      <c r="D1003" s="126"/>
      <c r="E1003" s="4"/>
      <c r="F1003" s="4"/>
      <c r="G1003" s="109"/>
      <c r="H1003" s="109"/>
      <c r="I1003" s="109"/>
      <c r="J1003" s="109"/>
      <c r="K1003" s="109"/>
      <c r="L1003" s="109"/>
      <c r="M1003" s="109"/>
      <c r="N1003" s="109"/>
      <c r="O1003" s="109"/>
      <c r="P1003" s="109"/>
      <c r="Q1003" s="109"/>
      <c r="R1003" s="109"/>
      <c r="S1003" s="109"/>
      <c r="T1003" s="109"/>
      <c r="U1003" s="109"/>
      <c r="V1003" s="109"/>
      <c r="W1003" s="109"/>
      <c r="X1003" s="109"/>
      <c r="Y1003" s="109"/>
      <c r="Z1003" s="109"/>
    </row>
    <row r="1004">
      <c r="A1004" s="126"/>
      <c r="B1004" s="126"/>
      <c r="C1004" s="126"/>
      <c r="D1004" s="118" t="s">
        <v>364</v>
      </c>
      <c r="E1004" s="4"/>
      <c r="F1004" s="4"/>
      <c r="G1004" s="109"/>
      <c r="H1004" s="109"/>
      <c r="I1004" s="109"/>
      <c r="J1004" s="109"/>
      <c r="K1004" s="109"/>
      <c r="L1004" s="109"/>
      <c r="M1004" s="109"/>
      <c r="N1004" s="109"/>
      <c r="O1004" s="109"/>
      <c r="P1004" s="109"/>
      <c r="Q1004" s="109"/>
      <c r="R1004" s="109"/>
      <c r="S1004" s="109"/>
      <c r="T1004" s="109"/>
      <c r="U1004" s="109"/>
      <c r="V1004" s="109"/>
      <c r="W1004" s="109"/>
      <c r="X1004" s="109"/>
      <c r="Y1004" s="109"/>
      <c r="Z1004" s="109"/>
    </row>
    <row r="1005">
      <c r="A1005" s="126"/>
      <c r="B1005" s="126"/>
      <c r="C1005" s="126"/>
      <c r="D1005" s="118" t="s">
        <v>633</v>
      </c>
      <c r="E1005" s="4"/>
      <c r="F1005" s="4"/>
      <c r="G1005" s="109"/>
      <c r="H1005" s="109"/>
      <c r="I1005" s="109"/>
      <c r="J1005" s="109"/>
      <c r="K1005" s="109"/>
      <c r="L1005" s="109"/>
      <c r="M1005" s="109"/>
      <c r="N1005" s="109"/>
      <c r="O1005" s="109"/>
      <c r="P1005" s="109"/>
      <c r="Q1005" s="109"/>
      <c r="R1005" s="109"/>
      <c r="S1005" s="109"/>
      <c r="T1005" s="109"/>
      <c r="U1005" s="109"/>
      <c r="V1005" s="109"/>
      <c r="W1005" s="109"/>
      <c r="X1005" s="109"/>
      <c r="Y1005" s="109"/>
      <c r="Z1005" s="109"/>
    </row>
    <row r="1006">
      <c r="A1006" s="126"/>
      <c r="B1006" s="126"/>
      <c r="C1006" s="126"/>
      <c r="D1006" s="118" t="s">
        <v>420</v>
      </c>
      <c r="E1006" s="4"/>
      <c r="F1006" s="4"/>
      <c r="G1006" s="109"/>
      <c r="H1006" s="109"/>
      <c r="I1006" s="109"/>
      <c r="J1006" s="109"/>
      <c r="K1006" s="109"/>
      <c r="L1006" s="109"/>
      <c r="M1006" s="109"/>
      <c r="N1006" s="109"/>
      <c r="O1006" s="109"/>
      <c r="P1006" s="109"/>
      <c r="Q1006" s="109"/>
      <c r="R1006" s="109"/>
      <c r="S1006" s="109"/>
      <c r="T1006" s="109"/>
      <c r="U1006" s="109"/>
      <c r="V1006" s="109"/>
      <c r="W1006" s="109"/>
      <c r="X1006" s="109"/>
      <c r="Y1006" s="109"/>
      <c r="Z1006" s="109"/>
    </row>
    <row r="1007">
      <c r="A1007" s="126"/>
      <c r="B1007" s="126"/>
      <c r="C1007" s="126"/>
      <c r="D1007" s="118" t="s">
        <v>528</v>
      </c>
      <c r="E1007" s="4"/>
      <c r="F1007" s="4"/>
      <c r="G1007" s="109"/>
      <c r="H1007" s="109"/>
      <c r="I1007" s="109"/>
      <c r="J1007" s="109"/>
      <c r="K1007" s="109"/>
      <c r="L1007" s="109"/>
      <c r="M1007" s="109"/>
      <c r="N1007" s="109"/>
      <c r="O1007" s="109"/>
      <c r="P1007" s="109"/>
      <c r="Q1007" s="109"/>
      <c r="R1007" s="109"/>
      <c r="S1007" s="109"/>
      <c r="T1007" s="109"/>
      <c r="U1007" s="109"/>
      <c r="V1007" s="109"/>
      <c r="W1007" s="109"/>
      <c r="X1007" s="109"/>
      <c r="Y1007" s="109"/>
      <c r="Z1007" s="109"/>
    </row>
    <row r="1008">
      <c r="A1008" s="126"/>
      <c r="B1008" s="126"/>
      <c r="C1008" s="126"/>
      <c r="D1008" s="118" t="s">
        <v>644</v>
      </c>
      <c r="E1008" s="4"/>
      <c r="F1008" s="4"/>
      <c r="G1008" s="109"/>
      <c r="H1008" s="109"/>
      <c r="I1008" s="109"/>
      <c r="J1008" s="109"/>
      <c r="K1008" s="109"/>
      <c r="L1008" s="109"/>
      <c r="M1008" s="109"/>
      <c r="N1008" s="109"/>
      <c r="O1008" s="109"/>
      <c r="P1008" s="109"/>
      <c r="Q1008" s="109"/>
      <c r="R1008" s="109"/>
      <c r="S1008" s="109"/>
      <c r="T1008" s="109"/>
      <c r="U1008" s="109"/>
      <c r="V1008" s="109"/>
      <c r="W1008" s="109"/>
      <c r="X1008" s="109"/>
      <c r="Y1008" s="109"/>
      <c r="Z1008" s="109"/>
    </row>
    <row r="1009">
      <c r="A1009" s="126"/>
      <c r="B1009" s="126"/>
      <c r="C1009" s="118" t="s">
        <v>365</v>
      </c>
      <c r="D1009" s="126"/>
      <c r="E1009" s="4"/>
      <c r="F1009" s="4"/>
      <c r="G1009" s="109"/>
      <c r="H1009" s="109"/>
      <c r="I1009" s="109"/>
      <c r="J1009" s="109"/>
      <c r="K1009" s="109"/>
      <c r="L1009" s="109"/>
      <c r="M1009" s="109"/>
      <c r="N1009" s="109"/>
      <c r="O1009" s="109"/>
      <c r="P1009" s="109"/>
      <c r="Q1009" s="109"/>
      <c r="R1009" s="109"/>
      <c r="S1009" s="109"/>
      <c r="T1009" s="109"/>
      <c r="U1009" s="109"/>
      <c r="V1009" s="109"/>
      <c r="W1009" s="109"/>
      <c r="X1009" s="109"/>
      <c r="Y1009" s="109"/>
      <c r="Z1009" s="109"/>
    </row>
    <row r="1010">
      <c r="A1010" s="126"/>
      <c r="B1010" s="126"/>
      <c r="C1010" s="126"/>
      <c r="D1010" s="118" t="s">
        <v>674</v>
      </c>
      <c r="E1010" s="4"/>
      <c r="F1010" s="4"/>
      <c r="G1010" s="109"/>
      <c r="H1010" s="109"/>
      <c r="I1010" s="109"/>
      <c r="J1010" s="109"/>
      <c r="K1010" s="109"/>
      <c r="L1010" s="109"/>
      <c r="M1010" s="109"/>
      <c r="N1010" s="109"/>
      <c r="O1010" s="109"/>
      <c r="P1010" s="109"/>
      <c r="Q1010" s="109"/>
      <c r="R1010" s="109"/>
      <c r="S1010" s="109"/>
      <c r="T1010" s="109"/>
      <c r="U1010" s="109"/>
      <c r="V1010" s="109"/>
      <c r="W1010" s="109"/>
      <c r="X1010" s="109"/>
      <c r="Y1010" s="109"/>
      <c r="Z1010" s="109"/>
    </row>
    <row r="1011">
      <c r="A1011" s="126"/>
      <c r="B1011" s="126"/>
      <c r="C1011" s="126"/>
      <c r="D1011" s="118" t="s">
        <v>681</v>
      </c>
      <c r="E1011" s="4"/>
      <c r="F1011" s="4"/>
      <c r="G1011" s="109"/>
      <c r="H1011" s="109"/>
      <c r="I1011" s="109"/>
      <c r="J1011" s="109"/>
      <c r="K1011" s="109"/>
      <c r="L1011" s="109"/>
      <c r="M1011" s="109"/>
      <c r="N1011" s="109"/>
      <c r="O1011" s="109"/>
      <c r="P1011" s="109"/>
      <c r="Q1011" s="109"/>
      <c r="R1011" s="109"/>
      <c r="S1011" s="109"/>
      <c r="T1011" s="109"/>
      <c r="U1011" s="109"/>
      <c r="V1011" s="109"/>
      <c r="W1011" s="109"/>
      <c r="X1011" s="109"/>
      <c r="Y1011" s="109"/>
      <c r="Z1011" s="109"/>
    </row>
    <row r="1012">
      <c r="A1012" s="126"/>
      <c r="B1012" s="126"/>
      <c r="C1012" s="126"/>
      <c r="D1012" s="118" t="s">
        <v>691</v>
      </c>
      <c r="E1012" s="4"/>
      <c r="F1012" s="4"/>
      <c r="G1012" s="109"/>
      <c r="H1012" s="109"/>
      <c r="I1012" s="109"/>
      <c r="J1012" s="109"/>
      <c r="K1012" s="109"/>
      <c r="L1012" s="109"/>
      <c r="M1012" s="109"/>
      <c r="N1012" s="109"/>
      <c r="O1012" s="109"/>
      <c r="P1012" s="109"/>
      <c r="Q1012" s="109"/>
      <c r="R1012" s="109"/>
      <c r="S1012" s="109"/>
      <c r="T1012" s="109"/>
      <c r="U1012" s="109"/>
      <c r="V1012" s="109"/>
      <c r="W1012" s="109"/>
      <c r="X1012" s="109"/>
      <c r="Y1012" s="109"/>
      <c r="Z1012" s="109"/>
    </row>
    <row r="1013">
      <c r="A1013" s="126"/>
      <c r="B1013" s="126"/>
      <c r="C1013" s="126"/>
      <c r="D1013" s="118" t="s">
        <v>694</v>
      </c>
      <c r="E1013" s="4"/>
      <c r="F1013" s="4"/>
      <c r="G1013" s="109"/>
      <c r="H1013" s="109"/>
      <c r="I1013" s="109"/>
      <c r="J1013" s="109"/>
      <c r="K1013" s="109"/>
      <c r="L1013" s="109"/>
      <c r="M1013" s="109"/>
      <c r="N1013" s="109"/>
      <c r="O1013" s="109"/>
      <c r="P1013" s="109"/>
      <c r="Q1013" s="109"/>
      <c r="R1013" s="109"/>
      <c r="S1013" s="109"/>
      <c r="T1013" s="109"/>
      <c r="U1013" s="109"/>
      <c r="V1013" s="109"/>
      <c r="W1013" s="109"/>
      <c r="X1013" s="109"/>
      <c r="Y1013" s="109"/>
      <c r="Z1013" s="109"/>
    </row>
    <row r="1014">
      <c r="A1014" s="126"/>
      <c r="B1014" s="126"/>
      <c r="C1014" s="126"/>
      <c r="D1014" s="118" t="s">
        <v>701</v>
      </c>
      <c r="E1014" s="4"/>
      <c r="F1014" s="4"/>
      <c r="G1014" s="109"/>
      <c r="H1014" s="109"/>
      <c r="I1014" s="109"/>
      <c r="J1014" s="109"/>
      <c r="K1014" s="109"/>
      <c r="L1014" s="109"/>
      <c r="M1014" s="109"/>
      <c r="N1014" s="109"/>
      <c r="O1014" s="109"/>
      <c r="P1014" s="109"/>
      <c r="Q1014" s="109"/>
      <c r="R1014" s="109"/>
      <c r="S1014" s="109"/>
      <c r="T1014" s="109"/>
      <c r="U1014" s="109"/>
      <c r="V1014" s="109"/>
      <c r="W1014" s="109"/>
      <c r="X1014" s="109"/>
      <c r="Y1014" s="109"/>
      <c r="Z1014" s="109"/>
    </row>
    <row r="1015">
      <c r="A1015" s="126"/>
      <c r="B1015" s="126"/>
      <c r="C1015" s="126"/>
      <c r="D1015" s="118" t="s">
        <v>715</v>
      </c>
      <c r="E1015" s="4"/>
      <c r="F1015" s="4"/>
      <c r="G1015" s="109"/>
      <c r="H1015" s="109"/>
      <c r="I1015" s="109"/>
      <c r="J1015" s="109"/>
      <c r="K1015" s="109"/>
      <c r="L1015" s="109"/>
      <c r="M1015" s="109"/>
      <c r="N1015" s="109"/>
      <c r="O1015" s="109"/>
      <c r="P1015" s="109"/>
      <c r="Q1015" s="109"/>
      <c r="R1015" s="109"/>
      <c r="S1015" s="109"/>
      <c r="T1015" s="109"/>
      <c r="U1015" s="109"/>
      <c r="V1015" s="109"/>
      <c r="W1015" s="109"/>
      <c r="X1015" s="109"/>
      <c r="Y1015" s="109"/>
      <c r="Z1015" s="109"/>
    </row>
    <row r="1016">
      <c r="A1016" s="126"/>
      <c r="B1016" s="126"/>
      <c r="C1016" s="126"/>
      <c r="D1016" s="118" t="s">
        <v>646</v>
      </c>
      <c r="E1016" s="4"/>
      <c r="F1016" s="4"/>
      <c r="G1016" s="109"/>
      <c r="H1016" s="109"/>
      <c r="I1016" s="109"/>
      <c r="J1016" s="109"/>
      <c r="K1016" s="109"/>
      <c r="L1016" s="109"/>
      <c r="M1016" s="109"/>
      <c r="N1016" s="109"/>
      <c r="O1016" s="109"/>
      <c r="P1016" s="109"/>
      <c r="Q1016" s="109"/>
      <c r="R1016" s="109"/>
      <c r="S1016" s="109"/>
      <c r="T1016" s="109"/>
      <c r="U1016" s="109"/>
      <c r="V1016" s="109"/>
      <c r="W1016" s="109"/>
      <c r="X1016" s="109"/>
      <c r="Y1016" s="109"/>
      <c r="Z1016" s="109"/>
    </row>
    <row r="1017">
      <c r="A1017" s="126"/>
      <c r="B1017" s="126"/>
      <c r="C1017" s="118" t="s">
        <v>347</v>
      </c>
      <c r="D1017" s="126"/>
      <c r="E1017" s="4"/>
      <c r="F1017" s="4"/>
      <c r="G1017" s="109"/>
      <c r="H1017" s="109"/>
      <c r="I1017" s="109"/>
      <c r="J1017" s="109"/>
      <c r="K1017" s="109"/>
      <c r="L1017" s="109"/>
      <c r="M1017" s="109"/>
      <c r="N1017" s="109"/>
      <c r="O1017" s="109"/>
      <c r="P1017" s="109"/>
      <c r="Q1017" s="109"/>
      <c r="R1017" s="109"/>
      <c r="S1017" s="109"/>
      <c r="T1017" s="109"/>
      <c r="U1017" s="109"/>
      <c r="V1017" s="109"/>
      <c r="W1017" s="109"/>
      <c r="X1017" s="109"/>
      <c r="Y1017" s="109"/>
      <c r="Z1017" s="109"/>
    </row>
    <row r="1018">
      <c r="A1018" s="126"/>
      <c r="B1018" s="126"/>
      <c r="C1018" s="126"/>
      <c r="D1018" s="118" t="s">
        <v>347</v>
      </c>
      <c r="E1018" s="4"/>
      <c r="F1018" s="4"/>
      <c r="G1018" s="109"/>
      <c r="H1018" s="109"/>
      <c r="I1018" s="109"/>
      <c r="J1018" s="109"/>
      <c r="K1018" s="109"/>
      <c r="L1018" s="109"/>
      <c r="M1018" s="109"/>
      <c r="N1018" s="109"/>
      <c r="O1018" s="109"/>
      <c r="P1018" s="109"/>
      <c r="Q1018" s="109"/>
      <c r="R1018" s="109"/>
      <c r="S1018" s="109"/>
      <c r="T1018" s="109"/>
      <c r="U1018" s="109"/>
      <c r="V1018" s="109"/>
      <c r="W1018" s="109"/>
      <c r="X1018" s="109"/>
      <c r="Y1018" s="109"/>
      <c r="Z1018" s="109"/>
    </row>
    <row r="1019">
      <c r="A1019" s="116" t="s">
        <v>832</v>
      </c>
      <c r="B1019" s="127"/>
      <c r="C1019" s="127"/>
      <c r="D1019" s="127"/>
      <c r="E1019" s="4"/>
      <c r="F1019" s="4"/>
      <c r="G1019" s="109"/>
      <c r="H1019" s="109"/>
      <c r="I1019" s="109"/>
      <c r="J1019" s="109"/>
      <c r="K1019" s="109"/>
      <c r="L1019" s="109"/>
      <c r="M1019" s="109"/>
      <c r="N1019" s="109"/>
      <c r="O1019" s="109"/>
      <c r="P1019" s="109"/>
      <c r="Q1019" s="109"/>
      <c r="R1019" s="109"/>
      <c r="S1019" s="109"/>
      <c r="T1019" s="109"/>
      <c r="U1019" s="109"/>
      <c r="V1019" s="109"/>
      <c r="W1019" s="109"/>
      <c r="X1019" s="109"/>
      <c r="Y1019" s="109"/>
      <c r="Z1019" s="109"/>
    </row>
    <row r="1020">
      <c r="A1020" s="127"/>
      <c r="B1020" s="116" t="s">
        <v>275</v>
      </c>
      <c r="C1020" s="127"/>
      <c r="D1020" s="127"/>
      <c r="E1020" s="4"/>
      <c r="F1020" s="4"/>
      <c r="G1020" s="109"/>
      <c r="H1020" s="109"/>
      <c r="I1020" s="109"/>
      <c r="J1020" s="109"/>
      <c r="K1020" s="109"/>
      <c r="L1020" s="109"/>
      <c r="M1020" s="109"/>
      <c r="N1020" s="109"/>
      <c r="O1020" s="109"/>
      <c r="P1020" s="109"/>
      <c r="Q1020" s="109"/>
      <c r="R1020" s="109"/>
      <c r="S1020" s="109"/>
      <c r="T1020" s="109"/>
      <c r="U1020" s="109"/>
      <c r="V1020" s="109"/>
      <c r="W1020" s="109"/>
      <c r="X1020" s="109"/>
      <c r="Y1020" s="109"/>
      <c r="Z1020" s="109"/>
    </row>
    <row r="1021">
      <c r="A1021" s="127"/>
      <c r="B1021" s="127"/>
      <c r="C1021" s="116" t="s">
        <v>741</v>
      </c>
      <c r="D1021" s="127"/>
      <c r="E1021" s="4"/>
      <c r="F1021" s="4"/>
      <c r="G1021" s="109"/>
      <c r="H1021" s="109"/>
      <c r="I1021" s="109"/>
      <c r="J1021" s="109"/>
      <c r="K1021" s="109"/>
      <c r="L1021" s="109"/>
      <c r="M1021" s="109"/>
      <c r="N1021" s="109"/>
      <c r="O1021" s="109"/>
      <c r="P1021" s="109"/>
      <c r="Q1021" s="109"/>
      <c r="R1021" s="109"/>
      <c r="S1021" s="109"/>
      <c r="T1021" s="109"/>
      <c r="U1021" s="109"/>
      <c r="V1021" s="109"/>
      <c r="W1021" s="109"/>
      <c r="X1021" s="109"/>
      <c r="Y1021" s="109"/>
      <c r="Z1021" s="109"/>
    </row>
    <row r="1022">
      <c r="A1022" s="127"/>
      <c r="B1022" s="127"/>
      <c r="C1022" s="127"/>
      <c r="D1022" s="116" t="s">
        <v>300</v>
      </c>
      <c r="E1022" s="4"/>
      <c r="F1022" s="4"/>
      <c r="G1022" s="109"/>
      <c r="H1022" s="109"/>
      <c r="I1022" s="109"/>
      <c r="J1022" s="109"/>
      <c r="K1022" s="109"/>
      <c r="L1022" s="109"/>
      <c r="M1022" s="109"/>
      <c r="N1022" s="109"/>
      <c r="O1022" s="109"/>
      <c r="P1022" s="109"/>
      <c r="Q1022" s="109"/>
      <c r="R1022" s="109"/>
      <c r="S1022" s="109"/>
      <c r="T1022" s="109"/>
      <c r="U1022" s="109"/>
      <c r="V1022" s="109"/>
      <c r="W1022" s="109"/>
      <c r="X1022" s="109"/>
      <c r="Y1022" s="109"/>
      <c r="Z1022" s="109"/>
    </row>
    <row r="1023">
      <c r="A1023" s="127"/>
      <c r="B1023" s="127"/>
      <c r="C1023" s="127"/>
      <c r="D1023" s="116" t="s">
        <v>317</v>
      </c>
      <c r="E1023" s="4"/>
      <c r="F1023" s="4"/>
      <c r="G1023" s="109"/>
      <c r="H1023" s="109"/>
      <c r="I1023" s="109"/>
      <c r="J1023" s="109"/>
      <c r="K1023" s="109"/>
      <c r="L1023" s="109"/>
      <c r="M1023" s="109"/>
      <c r="N1023" s="109"/>
      <c r="O1023" s="109"/>
      <c r="P1023" s="109"/>
      <c r="Q1023" s="109"/>
      <c r="R1023" s="109"/>
      <c r="S1023" s="109"/>
      <c r="T1023" s="109"/>
      <c r="U1023" s="109"/>
      <c r="V1023" s="109"/>
      <c r="W1023" s="109"/>
      <c r="X1023" s="109"/>
      <c r="Y1023" s="109"/>
      <c r="Z1023" s="109"/>
    </row>
    <row r="1024">
      <c r="A1024" s="127"/>
      <c r="B1024" s="127"/>
      <c r="C1024" s="127"/>
      <c r="D1024" s="116" t="s">
        <v>332</v>
      </c>
      <c r="E1024" s="4"/>
      <c r="F1024" s="4"/>
      <c r="G1024" s="109"/>
      <c r="H1024" s="109"/>
      <c r="I1024" s="109"/>
      <c r="J1024" s="109"/>
      <c r="K1024" s="109"/>
      <c r="L1024" s="109"/>
      <c r="M1024" s="109"/>
      <c r="N1024" s="109"/>
      <c r="O1024" s="109"/>
      <c r="P1024" s="109"/>
      <c r="Q1024" s="109"/>
      <c r="R1024" s="109"/>
      <c r="S1024" s="109"/>
      <c r="T1024" s="109"/>
      <c r="U1024" s="109"/>
      <c r="V1024" s="109"/>
      <c r="W1024" s="109"/>
      <c r="X1024" s="109"/>
      <c r="Y1024" s="109"/>
      <c r="Z1024" s="109"/>
    </row>
    <row r="1025">
      <c r="A1025" s="127"/>
      <c r="B1025" s="127"/>
      <c r="C1025" s="127"/>
      <c r="D1025" s="116" t="s">
        <v>344</v>
      </c>
      <c r="E1025" s="4"/>
      <c r="F1025" s="4"/>
      <c r="G1025" s="109"/>
      <c r="H1025" s="109"/>
      <c r="I1025" s="109"/>
      <c r="J1025" s="109"/>
      <c r="K1025" s="109"/>
      <c r="L1025" s="109"/>
      <c r="M1025" s="109"/>
      <c r="N1025" s="109"/>
      <c r="O1025" s="109"/>
      <c r="P1025" s="109"/>
      <c r="Q1025" s="109"/>
      <c r="R1025" s="109"/>
      <c r="S1025" s="109"/>
      <c r="T1025" s="109"/>
      <c r="U1025" s="109"/>
      <c r="V1025" s="109"/>
      <c r="W1025" s="109"/>
      <c r="X1025" s="109"/>
      <c r="Y1025" s="109"/>
      <c r="Z1025" s="109"/>
    </row>
    <row r="1026">
      <c r="A1026" s="127"/>
      <c r="B1026" s="127"/>
      <c r="C1026" s="127"/>
      <c r="D1026" s="116" t="s">
        <v>352</v>
      </c>
      <c r="E1026" s="4"/>
      <c r="F1026" s="4"/>
      <c r="G1026" s="109"/>
      <c r="H1026" s="109"/>
      <c r="I1026" s="109"/>
      <c r="J1026" s="109"/>
      <c r="K1026" s="109"/>
      <c r="L1026" s="109"/>
      <c r="M1026" s="109"/>
      <c r="N1026" s="109"/>
      <c r="O1026" s="109"/>
      <c r="P1026" s="109"/>
      <c r="Q1026" s="109"/>
      <c r="R1026" s="109"/>
      <c r="S1026" s="109"/>
      <c r="T1026" s="109"/>
      <c r="U1026" s="109"/>
      <c r="V1026" s="109"/>
      <c r="W1026" s="109"/>
      <c r="X1026" s="109"/>
      <c r="Y1026" s="109"/>
      <c r="Z1026" s="109"/>
    </row>
    <row r="1027">
      <c r="A1027" s="127"/>
      <c r="B1027" s="127"/>
      <c r="C1027" s="127"/>
      <c r="D1027" s="116" t="s">
        <v>363</v>
      </c>
      <c r="E1027" s="4"/>
      <c r="F1027" s="4"/>
      <c r="G1027" s="109"/>
      <c r="H1027" s="109"/>
      <c r="I1027" s="109"/>
      <c r="J1027" s="109"/>
      <c r="K1027" s="109"/>
      <c r="L1027" s="109"/>
      <c r="M1027" s="109"/>
      <c r="N1027" s="109"/>
      <c r="O1027" s="109"/>
      <c r="P1027" s="109"/>
      <c r="Q1027" s="109"/>
      <c r="R1027" s="109"/>
      <c r="S1027" s="109"/>
      <c r="T1027" s="109"/>
      <c r="U1027" s="109"/>
      <c r="V1027" s="109"/>
      <c r="W1027" s="109"/>
      <c r="X1027" s="109"/>
      <c r="Y1027" s="109"/>
      <c r="Z1027" s="109"/>
    </row>
    <row r="1028">
      <c r="A1028" s="127"/>
      <c r="B1028" s="127"/>
      <c r="C1028" s="116" t="s">
        <v>311</v>
      </c>
      <c r="D1028" s="127"/>
      <c r="E1028" s="4"/>
      <c r="F1028" s="4"/>
      <c r="G1028" s="109"/>
      <c r="H1028" s="109"/>
      <c r="I1028" s="109"/>
      <c r="J1028" s="109"/>
      <c r="K1028" s="109"/>
      <c r="L1028" s="109"/>
      <c r="M1028" s="109"/>
      <c r="N1028" s="109"/>
      <c r="O1028" s="109"/>
      <c r="P1028" s="109"/>
      <c r="Q1028" s="109"/>
      <c r="R1028" s="109"/>
      <c r="S1028" s="109"/>
      <c r="T1028" s="109"/>
      <c r="U1028" s="109"/>
      <c r="V1028" s="109"/>
      <c r="W1028" s="109"/>
      <c r="X1028" s="109"/>
      <c r="Y1028" s="109"/>
      <c r="Z1028" s="109"/>
    </row>
    <row r="1029">
      <c r="A1029" s="127"/>
      <c r="B1029" s="127"/>
      <c r="C1029" s="127"/>
      <c r="D1029" s="116" t="s">
        <v>296</v>
      </c>
      <c r="E1029" s="4"/>
      <c r="F1029" s="4"/>
      <c r="G1029" s="109"/>
      <c r="H1029" s="109"/>
      <c r="I1029" s="109"/>
      <c r="J1029" s="109"/>
      <c r="K1029" s="109"/>
      <c r="L1029" s="109"/>
      <c r="M1029" s="109"/>
      <c r="N1029" s="109"/>
      <c r="O1029" s="109"/>
      <c r="P1029" s="109"/>
      <c r="Q1029" s="109"/>
      <c r="R1029" s="109"/>
      <c r="S1029" s="109"/>
      <c r="T1029" s="109"/>
      <c r="U1029" s="109"/>
      <c r="V1029" s="109"/>
      <c r="W1029" s="109"/>
      <c r="X1029" s="109"/>
      <c r="Y1029" s="109"/>
      <c r="Z1029" s="109"/>
    </row>
    <row r="1030">
      <c r="A1030" s="127"/>
      <c r="B1030" s="127"/>
      <c r="C1030" s="127"/>
      <c r="D1030" s="116" t="s">
        <v>404</v>
      </c>
      <c r="E1030" s="4"/>
      <c r="F1030" s="4"/>
      <c r="G1030" s="109"/>
      <c r="H1030" s="109"/>
      <c r="I1030" s="109"/>
      <c r="J1030" s="109"/>
      <c r="K1030" s="109"/>
      <c r="L1030" s="109"/>
      <c r="M1030" s="109"/>
      <c r="N1030" s="109"/>
      <c r="O1030" s="109"/>
      <c r="P1030" s="109"/>
      <c r="Q1030" s="109"/>
      <c r="R1030" s="109"/>
      <c r="S1030" s="109"/>
      <c r="T1030" s="109"/>
      <c r="U1030" s="109"/>
      <c r="V1030" s="109"/>
      <c r="W1030" s="109"/>
      <c r="X1030" s="109"/>
      <c r="Y1030" s="109"/>
      <c r="Z1030" s="109"/>
    </row>
    <row r="1031">
      <c r="A1031" s="127"/>
      <c r="B1031" s="127"/>
      <c r="C1031" s="127"/>
      <c r="D1031" s="116" t="s">
        <v>413</v>
      </c>
      <c r="E1031" s="4"/>
      <c r="F1031" s="4"/>
      <c r="G1031" s="109"/>
      <c r="H1031" s="109"/>
      <c r="I1031" s="109"/>
      <c r="J1031" s="109"/>
      <c r="K1031" s="109"/>
      <c r="L1031" s="109"/>
      <c r="M1031" s="109"/>
      <c r="N1031" s="109"/>
      <c r="O1031" s="109"/>
      <c r="P1031" s="109"/>
      <c r="Q1031" s="109"/>
      <c r="R1031" s="109"/>
      <c r="S1031" s="109"/>
      <c r="T1031" s="109"/>
      <c r="U1031" s="109"/>
      <c r="V1031" s="109"/>
      <c r="W1031" s="109"/>
      <c r="X1031" s="109"/>
      <c r="Y1031" s="109"/>
      <c r="Z1031" s="109"/>
    </row>
    <row r="1032">
      <c r="A1032" s="127"/>
      <c r="B1032" s="127"/>
      <c r="C1032" s="127"/>
      <c r="D1032" s="116" t="s">
        <v>422</v>
      </c>
      <c r="E1032" s="4"/>
      <c r="F1032" s="4"/>
      <c r="G1032" s="109"/>
      <c r="H1032" s="109"/>
      <c r="I1032" s="109"/>
      <c r="J1032" s="109"/>
      <c r="K1032" s="109"/>
      <c r="L1032" s="109"/>
      <c r="M1032" s="109"/>
      <c r="N1032" s="109"/>
      <c r="O1032" s="109"/>
      <c r="P1032" s="109"/>
      <c r="Q1032" s="109"/>
      <c r="R1032" s="109"/>
      <c r="S1032" s="109"/>
      <c r="T1032" s="109"/>
      <c r="U1032" s="109"/>
      <c r="V1032" s="109"/>
      <c r="W1032" s="109"/>
      <c r="X1032" s="109"/>
      <c r="Y1032" s="109"/>
      <c r="Z1032" s="109"/>
    </row>
    <row r="1033">
      <c r="A1033" s="127"/>
      <c r="B1033" s="127"/>
      <c r="C1033" s="127"/>
      <c r="D1033" s="116" t="s">
        <v>428</v>
      </c>
      <c r="E1033" s="4"/>
      <c r="F1033" s="4"/>
      <c r="G1033" s="109"/>
      <c r="H1033" s="109"/>
      <c r="I1033" s="109"/>
      <c r="J1033" s="109"/>
      <c r="K1033" s="109"/>
      <c r="L1033" s="109"/>
      <c r="M1033" s="109"/>
      <c r="N1033" s="109"/>
      <c r="O1033" s="109"/>
      <c r="P1033" s="109"/>
      <c r="Q1033" s="109"/>
      <c r="R1033" s="109"/>
      <c r="S1033" s="109"/>
      <c r="T1033" s="109"/>
      <c r="U1033" s="109"/>
      <c r="V1033" s="109"/>
      <c r="W1033" s="109"/>
      <c r="X1033" s="109"/>
      <c r="Y1033" s="109"/>
      <c r="Z1033" s="109"/>
    </row>
    <row r="1034">
      <c r="A1034" s="127"/>
      <c r="B1034" s="127"/>
      <c r="C1034" s="127"/>
      <c r="D1034" s="116" t="s">
        <v>436</v>
      </c>
      <c r="E1034" s="4"/>
      <c r="F1034" s="4"/>
      <c r="G1034" s="109"/>
      <c r="H1034" s="109"/>
      <c r="I1034" s="109"/>
      <c r="J1034" s="109"/>
      <c r="K1034" s="109"/>
      <c r="L1034" s="109"/>
      <c r="M1034" s="109"/>
      <c r="N1034" s="109"/>
      <c r="O1034" s="109"/>
      <c r="P1034" s="109"/>
      <c r="Q1034" s="109"/>
      <c r="R1034" s="109"/>
      <c r="S1034" s="109"/>
      <c r="T1034" s="109"/>
      <c r="U1034" s="109"/>
      <c r="V1034" s="109"/>
      <c r="W1034" s="109"/>
      <c r="X1034" s="109"/>
      <c r="Y1034" s="109"/>
      <c r="Z1034" s="109"/>
    </row>
    <row r="1035">
      <c r="A1035" s="127"/>
      <c r="B1035" s="127"/>
      <c r="C1035" s="127"/>
      <c r="D1035" s="116" t="s">
        <v>329</v>
      </c>
      <c r="E1035" s="4"/>
      <c r="F1035" s="4"/>
      <c r="G1035" s="109"/>
      <c r="H1035" s="109"/>
      <c r="I1035" s="109"/>
      <c r="J1035" s="109"/>
      <c r="K1035" s="109"/>
      <c r="L1035" s="109"/>
      <c r="M1035" s="109"/>
      <c r="N1035" s="109"/>
      <c r="O1035" s="109"/>
      <c r="P1035" s="109"/>
      <c r="Q1035" s="109"/>
      <c r="R1035" s="109"/>
      <c r="S1035" s="109"/>
      <c r="T1035" s="109"/>
      <c r="U1035" s="109"/>
      <c r="V1035" s="109"/>
      <c r="W1035" s="109"/>
      <c r="X1035" s="109"/>
      <c r="Y1035" s="109"/>
      <c r="Z1035" s="109"/>
    </row>
    <row r="1036">
      <c r="A1036" s="127"/>
      <c r="B1036" s="127"/>
      <c r="C1036" s="127"/>
      <c r="D1036" s="116" t="s">
        <v>342</v>
      </c>
      <c r="E1036" s="4"/>
      <c r="F1036" s="4"/>
      <c r="G1036" s="109"/>
      <c r="H1036" s="109"/>
      <c r="I1036" s="109"/>
      <c r="J1036" s="109"/>
      <c r="K1036" s="109"/>
      <c r="L1036" s="109"/>
      <c r="M1036" s="109"/>
      <c r="N1036" s="109"/>
      <c r="O1036" s="109"/>
      <c r="P1036" s="109"/>
      <c r="Q1036" s="109"/>
      <c r="R1036" s="109"/>
      <c r="S1036" s="109"/>
      <c r="T1036" s="109"/>
      <c r="U1036" s="109"/>
      <c r="V1036" s="109"/>
      <c r="W1036" s="109"/>
      <c r="X1036" s="109"/>
      <c r="Y1036" s="109"/>
      <c r="Z1036" s="109"/>
    </row>
    <row r="1037">
      <c r="A1037" s="127"/>
      <c r="B1037" s="127"/>
      <c r="C1037" s="116" t="s">
        <v>752</v>
      </c>
      <c r="D1037" s="127"/>
      <c r="E1037" s="4"/>
      <c r="F1037" s="4"/>
      <c r="G1037" s="109"/>
      <c r="H1037" s="109"/>
      <c r="I1037" s="109"/>
      <c r="J1037" s="109"/>
      <c r="K1037" s="109"/>
      <c r="L1037" s="109"/>
      <c r="M1037" s="109"/>
      <c r="N1037" s="109"/>
      <c r="O1037" s="109"/>
      <c r="P1037" s="109"/>
      <c r="Q1037" s="109"/>
      <c r="R1037" s="109"/>
      <c r="S1037" s="109"/>
      <c r="T1037" s="109"/>
      <c r="U1037" s="109"/>
      <c r="V1037" s="109"/>
      <c r="W1037" s="109"/>
      <c r="X1037" s="109"/>
      <c r="Y1037" s="109"/>
      <c r="Z1037" s="109"/>
    </row>
    <row r="1038">
      <c r="A1038" s="127"/>
      <c r="B1038" s="127"/>
      <c r="C1038" s="127"/>
      <c r="D1038" s="116" t="s">
        <v>469</v>
      </c>
      <c r="E1038" s="4"/>
      <c r="F1038" s="4"/>
      <c r="G1038" s="109"/>
      <c r="H1038" s="109"/>
      <c r="I1038" s="109"/>
      <c r="J1038" s="109"/>
      <c r="K1038" s="109"/>
      <c r="L1038" s="109"/>
      <c r="M1038" s="109"/>
      <c r="N1038" s="109"/>
      <c r="O1038" s="109"/>
      <c r="P1038" s="109"/>
      <c r="Q1038" s="109"/>
      <c r="R1038" s="109"/>
      <c r="S1038" s="109"/>
      <c r="T1038" s="109"/>
      <c r="U1038" s="109"/>
      <c r="V1038" s="109"/>
      <c r="W1038" s="109"/>
      <c r="X1038" s="109"/>
      <c r="Y1038" s="109"/>
      <c r="Z1038" s="109"/>
    </row>
    <row r="1039">
      <c r="A1039" s="127"/>
      <c r="B1039" s="127"/>
      <c r="C1039" s="116" t="s">
        <v>327</v>
      </c>
      <c r="D1039" s="127"/>
      <c r="E1039" s="4"/>
      <c r="F1039" s="4"/>
      <c r="G1039" s="109"/>
      <c r="H1039" s="109"/>
      <c r="I1039" s="109"/>
      <c r="J1039" s="109"/>
      <c r="K1039" s="109"/>
      <c r="L1039" s="109"/>
      <c r="M1039" s="109"/>
      <c r="N1039" s="109"/>
      <c r="O1039" s="109"/>
      <c r="P1039" s="109"/>
      <c r="Q1039" s="109"/>
      <c r="R1039" s="109"/>
      <c r="S1039" s="109"/>
      <c r="T1039" s="109"/>
      <c r="U1039" s="109"/>
      <c r="V1039" s="109"/>
      <c r="W1039" s="109"/>
      <c r="X1039" s="109"/>
      <c r="Y1039" s="109"/>
      <c r="Z1039" s="109"/>
    </row>
    <row r="1040">
      <c r="A1040" s="127"/>
      <c r="B1040" s="127"/>
      <c r="C1040" s="127"/>
      <c r="D1040" s="116" t="s">
        <v>327</v>
      </c>
      <c r="E1040" s="4"/>
      <c r="F1040" s="4"/>
      <c r="G1040" s="109"/>
      <c r="H1040" s="109"/>
      <c r="I1040" s="109"/>
      <c r="J1040" s="109"/>
      <c r="K1040" s="109"/>
      <c r="L1040" s="109"/>
      <c r="M1040" s="109"/>
      <c r="N1040" s="109"/>
      <c r="O1040" s="109"/>
      <c r="P1040" s="109"/>
      <c r="Q1040" s="109"/>
      <c r="R1040" s="109"/>
      <c r="S1040" s="109"/>
      <c r="T1040" s="109"/>
      <c r="U1040" s="109"/>
      <c r="V1040" s="109"/>
      <c r="W1040" s="109"/>
      <c r="X1040" s="109"/>
      <c r="Y1040" s="109"/>
      <c r="Z1040" s="109"/>
    </row>
    <row r="1041">
      <c r="A1041" s="127"/>
      <c r="B1041" s="127"/>
      <c r="C1041" s="127"/>
      <c r="D1041" s="116" t="s">
        <v>504</v>
      </c>
      <c r="E1041" s="4"/>
      <c r="F1041" s="4"/>
      <c r="G1041" s="109"/>
      <c r="H1041" s="109"/>
      <c r="I1041" s="109"/>
      <c r="J1041" s="109"/>
      <c r="K1041" s="109"/>
      <c r="L1041" s="109"/>
      <c r="M1041" s="109"/>
      <c r="N1041" s="109"/>
      <c r="O1041" s="109"/>
      <c r="P1041" s="109"/>
      <c r="Q1041" s="109"/>
      <c r="R1041" s="109"/>
      <c r="S1041" s="109"/>
      <c r="T1041" s="109"/>
      <c r="U1041" s="109"/>
      <c r="V1041" s="109"/>
      <c r="W1041" s="109"/>
      <c r="X1041" s="109"/>
      <c r="Y1041" s="109"/>
      <c r="Z1041" s="109"/>
    </row>
    <row r="1042">
      <c r="A1042" s="127"/>
      <c r="B1042" s="127"/>
      <c r="C1042" s="116" t="s">
        <v>308</v>
      </c>
      <c r="D1042" s="127"/>
      <c r="E1042" s="4"/>
      <c r="F1042" s="4"/>
      <c r="G1042" s="109"/>
      <c r="H1042" s="109"/>
      <c r="I1042" s="109"/>
      <c r="J1042" s="109"/>
      <c r="K1042" s="109"/>
      <c r="L1042" s="109"/>
      <c r="M1042" s="109"/>
      <c r="N1042" s="109"/>
      <c r="O1042" s="109"/>
      <c r="P1042" s="109"/>
      <c r="Q1042" s="109"/>
      <c r="R1042" s="109"/>
      <c r="S1042" s="109"/>
      <c r="T1042" s="109"/>
      <c r="U1042" s="109"/>
      <c r="V1042" s="109"/>
      <c r="W1042" s="109"/>
      <c r="X1042" s="109"/>
      <c r="Y1042" s="109"/>
      <c r="Z1042" s="109"/>
    </row>
    <row r="1043">
      <c r="A1043" s="127"/>
      <c r="B1043" s="127"/>
      <c r="C1043" s="127"/>
      <c r="D1043" s="116" t="s">
        <v>364</v>
      </c>
      <c r="E1043" s="4"/>
      <c r="F1043" s="4"/>
      <c r="G1043" s="109"/>
      <c r="H1043" s="109"/>
      <c r="I1043" s="109"/>
      <c r="J1043" s="109"/>
      <c r="K1043" s="109"/>
      <c r="L1043" s="109"/>
      <c r="M1043" s="109"/>
      <c r="N1043" s="109"/>
      <c r="O1043" s="109"/>
      <c r="P1043" s="109"/>
      <c r="Q1043" s="109"/>
      <c r="R1043" s="109"/>
      <c r="S1043" s="109"/>
      <c r="T1043" s="109"/>
      <c r="U1043" s="109"/>
      <c r="V1043" s="109"/>
      <c r="W1043" s="109"/>
      <c r="X1043" s="109"/>
      <c r="Y1043" s="109"/>
      <c r="Z1043" s="109"/>
    </row>
    <row r="1044">
      <c r="A1044" s="127"/>
      <c r="B1044" s="127"/>
      <c r="C1044" s="127"/>
      <c r="D1044" s="116" t="s">
        <v>315</v>
      </c>
      <c r="E1044" s="4"/>
      <c r="F1044" s="4"/>
      <c r="G1044" s="109"/>
      <c r="H1044" s="109"/>
      <c r="I1044" s="109"/>
      <c r="J1044" s="109"/>
      <c r="K1044" s="109"/>
      <c r="L1044" s="109"/>
      <c r="M1044" s="109"/>
      <c r="N1044" s="109"/>
      <c r="O1044" s="109"/>
      <c r="P1044" s="109"/>
      <c r="Q1044" s="109"/>
      <c r="R1044" s="109"/>
      <c r="S1044" s="109"/>
      <c r="T1044" s="109"/>
      <c r="U1044" s="109"/>
      <c r="V1044" s="109"/>
      <c r="W1044" s="109"/>
      <c r="X1044" s="109"/>
      <c r="Y1044" s="109"/>
      <c r="Z1044" s="109"/>
    </row>
    <row r="1045">
      <c r="A1045" s="127"/>
      <c r="B1045" s="127"/>
      <c r="C1045" s="127"/>
      <c r="D1045" s="116" t="s">
        <v>544</v>
      </c>
      <c r="E1045" s="4"/>
      <c r="F1045" s="4"/>
      <c r="G1045" s="109"/>
      <c r="H1045" s="109"/>
      <c r="I1045" s="109"/>
      <c r="J1045" s="109"/>
      <c r="K1045" s="109"/>
      <c r="L1045" s="109"/>
      <c r="M1045" s="109"/>
      <c r="N1045" s="109"/>
      <c r="O1045" s="109"/>
      <c r="P1045" s="109"/>
      <c r="Q1045" s="109"/>
      <c r="R1045" s="109"/>
      <c r="S1045" s="109"/>
      <c r="T1045" s="109"/>
      <c r="U1045" s="109"/>
      <c r="V1045" s="109"/>
      <c r="W1045" s="109"/>
      <c r="X1045" s="109"/>
      <c r="Y1045" s="109"/>
      <c r="Z1045" s="109"/>
    </row>
    <row r="1046">
      <c r="A1046" s="127"/>
      <c r="B1046" s="127"/>
      <c r="C1046" s="127"/>
      <c r="D1046" s="116" t="s">
        <v>551</v>
      </c>
      <c r="E1046" s="4"/>
      <c r="F1046" s="4"/>
      <c r="G1046" s="109"/>
      <c r="H1046" s="109"/>
      <c r="I1046" s="109"/>
      <c r="J1046" s="109"/>
      <c r="K1046" s="109"/>
      <c r="L1046" s="109"/>
      <c r="M1046" s="109"/>
      <c r="N1046" s="109"/>
      <c r="O1046" s="109"/>
      <c r="P1046" s="109"/>
      <c r="Q1046" s="109"/>
      <c r="R1046" s="109"/>
      <c r="S1046" s="109"/>
      <c r="T1046" s="109"/>
      <c r="U1046" s="109"/>
      <c r="V1046" s="109"/>
      <c r="W1046" s="109"/>
      <c r="X1046" s="109"/>
      <c r="Y1046" s="109"/>
      <c r="Z1046" s="109"/>
    </row>
    <row r="1047">
      <c r="A1047" s="127"/>
      <c r="B1047" s="127"/>
      <c r="C1047" s="127"/>
      <c r="D1047" s="116" t="s">
        <v>558</v>
      </c>
      <c r="E1047" s="4"/>
      <c r="F1047" s="4"/>
      <c r="G1047" s="109"/>
      <c r="H1047" s="109"/>
      <c r="I1047" s="109"/>
      <c r="J1047" s="109"/>
      <c r="K1047" s="109"/>
      <c r="L1047" s="109"/>
      <c r="M1047" s="109"/>
      <c r="N1047" s="109"/>
      <c r="O1047" s="109"/>
      <c r="P1047" s="109"/>
      <c r="Q1047" s="109"/>
      <c r="R1047" s="109"/>
      <c r="S1047" s="109"/>
      <c r="T1047" s="109"/>
      <c r="U1047" s="109"/>
      <c r="V1047" s="109"/>
      <c r="W1047" s="109"/>
      <c r="X1047" s="109"/>
      <c r="Y1047" s="109"/>
      <c r="Z1047" s="109"/>
    </row>
    <row r="1048">
      <c r="A1048" s="127"/>
      <c r="B1048" s="127"/>
      <c r="C1048" s="127"/>
      <c r="D1048" s="116" t="s">
        <v>528</v>
      </c>
      <c r="E1048" s="4"/>
      <c r="F1048" s="4"/>
      <c r="G1048" s="109"/>
      <c r="H1048" s="109"/>
      <c r="I1048" s="109"/>
      <c r="J1048" s="109"/>
      <c r="K1048" s="109"/>
      <c r="L1048" s="109"/>
      <c r="M1048" s="109"/>
      <c r="N1048" s="109"/>
      <c r="O1048" s="109"/>
      <c r="P1048" s="109"/>
      <c r="Q1048" s="109"/>
      <c r="R1048" s="109"/>
      <c r="S1048" s="109"/>
      <c r="T1048" s="109"/>
      <c r="U1048" s="109"/>
      <c r="V1048" s="109"/>
      <c r="W1048" s="109"/>
      <c r="X1048" s="109"/>
      <c r="Y1048" s="109"/>
      <c r="Z1048" s="109"/>
    </row>
    <row r="1049">
      <c r="A1049" s="127"/>
      <c r="B1049" s="127"/>
      <c r="C1049" s="127"/>
      <c r="D1049" s="116" t="s">
        <v>569</v>
      </c>
      <c r="E1049" s="4"/>
      <c r="F1049" s="4"/>
      <c r="G1049" s="109"/>
      <c r="H1049" s="109"/>
      <c r="I1049" s="109"/>
      <c r="J1049" s="109"/>
      <c r="K1049" s="109"/>
      <c r="L1049" s="109"/>
      <c r="M1049" s="109"/>
      <c r="N1049" s="109"/>
      <c r="O1049" s="109"/>
      <c r="P1049" s="109"/>
      <c r="Q1049" s="109"/>
      <c r="R1049" s="109"/>
      <c r="S1049" s="109"/>
      <c r="T1049" s="109"/>
      <c r="U1049" s="109"/>
      <c r="V1049" s="109"/>
      <c r="W1049" s="109"/>
      <c r="X1049" s="109"/>
      <c r="Y1049" s="109"/>
      <c r="Z1049" s="109"/>
    </row>
    <row r="1050">
      <c r="A1050" s="127"/>
      <c r="B1050" s="127"/>
      <c r="C1050" s="127"/>
      <c r="D1050" s="116" t="s">
        <v>571</v>
      </c>
      <c r="E1050" s="4"/>
      <c r="F1050" s="4"/>
      <c r="G1050" s="109"/>
      <c r="H1050" s="109"/>
      <c r="I1050" s="109"/>
      <c r="J1050" s="109"/>
      <c r="K1050" s="109"/>
      <c r="L1050" s="109"/>
      <c r="M1050" s="109"/>
      <c r="N1050" s="109"/>
      <c r="O1050" s="109"/>
      <c r="P1050" s="109"/>
      <c r="Q1050" s="109"/>
      <c r="R1050" s="109"/>
      <c r="S1050" s="109"/>
      <c r="T1050" s="109"/>
      <c r="U1050" s="109"/>
      <c r="V1050" s="109"/>
      <c r="W1050" s="109"/>
      <c r="X1050" s="109"/>
      <c r="Y1050" s="109"/>
      <c r="Z1050" s="109"/>
    </row>
    <row r="1051">
      <c r="A1051" s="127"/>
      <c r="B1051" s="127"/>
      <c r="C1051" s="116" t="s">
        <v>324</v>
      </c>
      <c r="D1051" s="127"/>
      <c r="E1051" s="4"/>
      <c r="F1051" s="4"/>
      <c r="G1051" s="109"/>
      <c r="H1051" s="109"/>
      <c r="I1051" s="109"/>
      <c r="J1051" s="109"/>
      <c r="K1051" s="109"/>
      <c r="L1051" s="109"/>
      <c r="M1051" s="109"/>
      <c r="N1051" s="109"/>
      <c r="O1051" s="109"/>
      <c r="P1051" s="109"/>
      <c r="Q1051" s="109"/>
      <c r="R1051" s="109"/>
      <c r="S1051" s="109"/>
      <c r="T1051" s="109"/>
      <c r="U1051" s="109"/>
      <c r="V1051" s="109"/>
      <c r="W1051" s="109"/>
      <c r="X1051" s="109"/>
      <c r="Y1051" s="109"/>
      <c r="Z1051" s="109"/>
    </row>
    <row r="1052">
      <c r="A1052" s="127"/>
      <c r="B1052" s="127"/>
      <c r="C1052" s="127"/>
      <c r="D1052" s="116" t="s">
        <v>586</v>
      </c>
      <c r="E1052" s="4"/>
      <c r="F1052" s="4"/>
      <c r="G1052" s="109"/>
      <c r="H1052" s="109"/>
      <c r="I1052" s="109"/>
      <c r="J1052" s="109"/>
      <c r="K1052" s="109"/>
      <c r="L1052" s="109"/>
      <c r="M1052" s="109"/>
      <c r="N1052" s="109"/>
      <c r="O1052" s="109"/>
      <c r="P1052" s="109"/>
      <c r="Q1052" s="109"/>
      <c r="R1052" s="109"/>
      <c r="S1052" s="109"/>
      <c r="T1052" s="109"/>
      <c r="U1052" s="109"/>
      <c r="V1052" s="109"/>
      <c r="W1052" s="109"/>
      <c r="X1052" s="109"/>
      <c r="Y1052" s="109"/>
      <c r="Z1052" s="109"/>
    </row>
    <row r="1053">
      <c r="A1053" s="127"/>
      <c r="B1053" s="127"/>
      <c r="C1053" s="116" t="s">
        <v>833</v>
      </c>
      <c r="D1053" s="127"/>
      <c r="E1053" s="4"/>
      <c r="F1053" s="4"/>
      <c r="G1053" s="109"/>
      <c r="H1053" s="109"/>
      <c r="I1053" s="109"/>
      <c r="J1053" s="109"/>
      <c r="K1053" s="109"/>
      <c r="L1053" s="109"/>
      <c r="M1053" s="109"/>
      <c r="N1053" s="109"/>
      <c r="O1053" s="109"/>
      <c r="P1053" s="109"/>
      <c r="Q1053" s="109"/>
      <c r="R1053" s="109"/>
      <c r="S1053" s="109"/>
      <c r="T1053" s="109"/>
      <c r="U1053" s="109"/>
      <c r="V1053" s="109"/>
      <c r="W1053" s="109"/>
      <c r="X1053" s="109"/>
      <c r="Y1053" s="109"/>
      <c r="Z1053" s="109"/>
    </row>
    <row r="1054">
      <c r="A1054" s="127"/>
      <c r="B1054" s="127"/>
      <c r="C1054" s="127"/>
      <c r="D1054" s="116" t="s">
        <v>602</v>
      </c>
      <c r="E1054" s="4"/>
      <c r="F1054" s="4"/>
      <c r="G1054" s="109"/>
      <c r="H1054" s="109"/>
      <c r="I1054" s="109"/>
      <c r="J1054" s="109"/>
      <c r="K1054" s="109"/>
      <c r="L1054" s="109"/>
      <c r="M1054" s="109"/>
      <c r="N1054" s="109"/>
      <c r="O1054" s="109"/>
      <c r="P1054" s="109"/>
      <c r="Q1054" s="109"/>
      <c r="R1054" s="109"/>
      <c r="S1054" s="109"/>
      <c r="T1054" s="109"/>
      <c r="U1054" s="109"/>
      <c r="V1054" s="109"/>
      <c r="W1054" s="109"/>
      <c r="X1054" s="109"/>
      <c r="Y1054" s="109"/>
      <c r="Z1054" s="109"/>
    </row>
    <row r="1055">
      <c r="A1055" s="127"/>
      <c r="B1055" s="127"/>
      <c r="C1055" s="127"/>
      <c r="D1055" s="116" t="s">
        <v>607</v>
      </c>
      <c r="E1055" s="4"/>
      <c r="F1055" s="4"/>
      <c r="G1055" s="109"/>
      <c r="H1055" s="109"/>
      <c r="I1055" s="109"/>
      <c r="J1055" s="109"/>
      <c r="K1055" s="109"/>
      <c r="L1055" s="109"/>
      <c r="M1055" s="109"/>
      <c r="N1055" s="109"/>
      <c r="O1055" s="109"/>
      <c r="P1055" s="109"/>
      <c r="Q1055" s="109"/>
      <c r="R1055" s="109"/>
      <c r="S1055" s="109"/>
      <c r="T1055" s="109"/>
      <c r="U1055" s="109"/>
      <c r="V1055" s="109"/>
      <c r="W1055" s="109"/>
      <c r="X1055" s="109"/>
      <c r="Y1055" s="109"/>
      <c r="Z1055" s="109"/>
    </row>
    <row r="1056">
      <c r="A1056" s="127"/>
      <c r="B1056" s="127"/>
      <c r="C1056" s="127"/>
      <c r="D1056" s="116" t="s">
        <v>612</v>
      </c>
      <c r="E1056" s="4"/>
      <c r="F1056" s="4"/>
      <c r="G1056" s="109"/>
      <c r="H1056" s="109"/>
      <c r="I1056" s="109"/>
      <c r="J1056" s="109"/>
      <c r="K1056" s="109"/>
      <c r="L1056" s="109"/>
      <c r="M1056" s="109"/>
      <c r="N1056" s="109"/>
      <c r="O1056" s="109"/>
      <c r="P1056" s="109"/>
      <c r="Q1056" s="109"/>
      <c r="R1056" s="109"/>
      <c r="S1056" s="109"/>
      <c r="T1056" s="109"/>
      <c r="U1056" s="109"/>
      <c r="V1056" s="109"/>
      <c r="W1056" s="109"/>
      <c r="X1056" s="109"/>
      <c r="Y1056" s="109"/>
      <c r="Z1056" s="109"/>
    </row>
    <row r="1057">
      <c r="A1057" s="127"/>
      <c r="B1057" s="127"/>
      <c r="C1057" s="127"/>
      <c r="D1057" s="116" t="s">
        <v>615</v>
      </c>
      <c r="E1057" s="4"/>
      <c r="F1057" s="4"/>
      <c r="G1057" s="109"/>
      <c r="H1057" s="109"/>
      <c r="I1057" s="109"/>
      <c r="J1057" s="109"/>
      <c r="K1057" s="109"/>
      <c r="L1057" s="109"/>
      <c r="M1057" s="109"/>
      <c r="N1057" s="109"/>
      <c r="O1057" s="109"/>
      <c r="P1057" s="109"/>
      <c r="Q1057" s="109"/>
      <c r="R1057" s="109"/>
      <c r="S1057" s="109"/>
      <c r="T1057" s="109"/>
      <c r="U1057" s="109"/>
      <c r="V1057" s="109"/>
      <c r="W1057" s="109"/>
      <c r="X1057" s="109"/>
      <c r="Y1057" s="109"/>
      <c r="Z1057" s="109"/>
    </row>
    <row r="1058">
      <c r="A1058" s="127"/>
      <c r="B1058" s="127"/>
      <c r="C1058" s="127"/>
      <c r="D1058" s="116" t="s">
        <v>618</v>
      </c>
      <c r="E1058" s="4"/>
      <c r="F1058" s="4"/>
      <c r="G1058" s="109"/>
      <c r="H1058" s="109"/>
      <c r="I1058" s="109"/>
      <c r="J1058" s="109"/>
      <c r="K1058" s="109"/>
      <c r="L1058" s="109"/>
      <c r="M1058" s="109"/>
      <c r="N1058" s="109"/>
      <c r="O1058" s="109"/>
      <c r="P1058" s="109"/>
      <c r="Q1058" s="109"/>
      <c r="R1058" s="109"/>
      <c r="S1058" s="109"/>
      <c r="T1058" s="109"/>
      <c r="U1058" s="109"/>
      <c r="V1058" s="109"/>
      <c r="W1058" s="109"/>
      <c r="X1058" s="109"/>
      <c r="Y1058" s="109"/>
      <c r="Z1058" s="109"/>
    </row>
    <row r="1059">
      <c r="A1059" s="127"/>
      <c r="B1059" s="127"/>
      <c r="C1059" s="116" t="s">
        <v>834</v>
      </c>
      <c r="D1059" s="127"/>
      <c r="E1059" s="4"/>
      <c r="F1059" s="4"/>
      <c r="G1059" s="109"/>
      <c r="H1059" s="109"/>
      <c r="I1059" s="109"/>
      <c r="J1059" s="109"/>
      <c r="K1059" s="109"/>
      <c r="L1059" s="109"/>
      <c r="M1059" s="109"/>
      <c r="N1059" s="109"/>
      <c r="O1059" s="109"/>
      <c r="P1059" s="109"/>
      <c r="Q1059" s="109"/>
      <c r="R1059" s="109"/>
      <c r="S1059" s="109"/>
      <c r="T1059" s="109"/>
      <c r="U1059" s="109"/>
      <c r="V1059" s="109"/>
      <c r="W1059" s="109"/>
      <c r="X1059" s="109"/>
      <c r="Y1059" s="109"/>
      <c r="Z1059" s="109"/>
    </row>
    <row r="1060">
      <c r="A1060" s="127"/>
      <c r="B1060" s="127"/>
      <c r="C1060" s="127"/>
      <c r="D1060" s="116" t="s">
        <v>623</v>
      </c>
      <c r="E1060" s="4"/>
      <c r="F1060" s="4"/>
      <c r="G1060" s="109"/>
      <c r="H1060" s="109"/>
      <c r="I1060" s="109"/>
      <c r="J1060" s="109"/>
      <c r="K1060" s="109"/>
      <c r="L1060" s="109"/>
      <c r="M1060" s="109"/>
      <c r="N1060" s="109"/>
      <c r="O1060" s="109"/>
      <c r="P1060" s="109"/>
      <c r="Q1060" s="109"/>
      <c r="R1060" s="109"/>
      <c r="S1060" s="109"/>
      <c r="T1060" s="109"/>
      <c r="U1060" s="109"/>
      <c r="V1060" s="109"/>
      <c r="W1060" s="109"/>
      <c r="X1060" s="109"/>
      <c r="Y1060" s="109"/>
      <c r="Z1060" s="109"/>
    </row>
    <row r="1061">
      <c r="A1061" s="127"/>
      <c r="B1061" s="127"/>
      <c r="C1061" s="127"/>
      <c r="D1061" s="116" t="s">
        <v>626</v>
      </c>
      <c r="E1061" s="4"/>
      <c r="F1061" s="4"/>
      <c r="G1061" s="109"/>
      <c r="H1061" s="109"/>
      <c r="I1061" s="109"/>
      <c r="J1061" s="109"/>
      <c r="K1061" s="109"/>
      <c r="L1061" s="109"/>
      <c r="M1061" s="109"/>
      <c r="N1061" s="109"/>
      <c r="O1061" s="109"/>
      <c r="P1061" s="109"/>
      <c r="Q1061" s="109"/>
      <c r="R1061" s="109"/>
      <c r="S1061" s="109"/>
      <c r="T1061" s="109"/>
      <c r="U1061" s="109"/>
      <c r="V1061" s="109"/>
      <c r="W1061" s="109"/>
      <c r="X1061" s="109"/>
      <c r="Y1061" s="109"/>
      <c r="Z1061" s="109"/>
    </row>
    <row r="1062">
      <c r="A1062" s="127"/>
      <c r="B1062" s="127"/>
      <c r="C1062" s="116" t="s">
        <v>835</v>
      </c>
      <c r="D1062" s="127"/>
      <c r="E1062" s="4"/>
      <c r="F1062" s="4"/>
      <c r="G1062" s="109"/>
      <c r="H1062" s="109"/>
      <c r="I1062" s="109"/>
      <c r="J1062" s="109"/>
      <c r="K1062" s="109"/>
      <c r="L1062" s="109"/>
      <c r="M1062" s="109"/>
      <c r="N1062" s="109"/>
      <c r="O1062" s="109"/>
      <c r="P1062" s="109"/>
      <c r="Q1062" s="109"/>
      <c r="R1062" s="109"/>
      <c r="S1062" s="109"/>
      <c r="T1062" s="109"/>
      <c r="U1062" s="109"/>
      <c r="V1062" s="109"/>
      <c r="W1062" s="109"/>
      <c r="X1062" s="109"/>
      <c r="Y1062" s="109"/>
      <c r="Z1062" s="109"/>
    </row>
    <row r="1063">
      <c r="A1063" s="127"/>
      <c r="B1063" s="127"/>
      <c r="C1063" s="127"/>
      <c r="D1063" s="116" t="s">
        <v>632</v>
      </c>
      <c r="E1063" s="4"/>
      <c r="F1063" s="4"/>
      <c r="G1063" s="109"/>
      <c r="H1063" s="109"/>
      <c r="I1063" s="109"/>
      <c r="J1063" s="109"/>
      <c r="K1063" s="109"/>
      <c r="L1063" s="109"/>
      <c r="M1063" s="109"/>
      <c r="N1063" s="109"/>
      <c r="O1063" s="109"/>
      <c r="P1063" s="109"/>
      <c r="Q1063" s="109"/>
      <c r="R1063" s="109"/>
      <c r="S1063" s="109"/>
      <c r="T1063" s="109"/>
      <c r="U1063" s="109"/>
      <c r="V1063" s="109"/>
      <c r="W1063" s="109"/>
      <c r="X1063" s="109"/>
      <c r="Y1063" s="109"/>
      <c r="Z1063" s="109"/>
    </row>
    <row r="1064">
      <c r="A1064" s="127"/>
      <c r="B1064" s="127"/>
      <c r="C1064" s="127"/>
      <c r="D1064" s="116" t="s">
        <v>635</v>
      </c>
      <c r="E1064" s="4"/>
      <c r="F1064" s="4"/>
      <c r="G1064" s="109"/>
      <c r="H1064" s="109"/>
      <c r="I1064" s="109"/>
      <c r="J1064" s="109"/>
      <c r="K1064" s="109"/>
      <c r="L1064" s="109"/>
      <c r="M1064" s="109"/>
      <c r="N1064" s="109"/>
      <c r="O1064" s="109"/>
      <c r="P1064" s="109"/>
      <c r="Q1064" s="109"/>
      <c r="R1064" s="109"/>
      <c r="S1064" s="109"/>
      <c r="T1064" s="109"/>
      <c r="U1064" s="109"/>
      <c r="V1064" s="109"/>
      <c r="W1064" s="109"/>
      <c r="X1064" s="109"/>
      <c r="Y1064" s="109"/>
      <c r="Z1064" s="109"/>
    </row>
    <row r="1065">
      <c r="A1065" s="127"/>
      <c r="B1065" s="127"/>
      <c r="C1065" s="127"/>
      <c r="D1065" s="116" t="s">
        <v>639</v>
      </c>
      <c r="E1065" s="4"/>
      <c r="F1065" s="4"/>
      <c r="G1065" s="109"/>
      <c r="H1065" s="109"/>
      <c r="I1065" s="109"/>
      <c r="J1065" s="109"/>
      <c r="K1065" s="109"/>
      <c r="L1065" s="109"/>
      <c r="M1065" s="109"/>
      <c r="N1065" s="109"/>
      <c r="O1065" s="109"/>
      <c r="P1065" s="109"/>
      <c r="Q1065" s="109"/>
      <c r="R1065" s="109"/>
      <c r="S1065" s="109"/>
      <c r="T1065" s="109"/>
      <c r="U1065" s="109"/>
      <c r="V1065" s="109"/>
      <c r="W1065" s="109"/>
      <c r="X1065" s="109"/>
      <c r="Y1065" s="109"/>
      <c r="Z1065" s="109"/>
    </row>
    <row r="1066">
      <c r="A1066" s="127"/>
      <c r="B1066" s="127"/>
      <c r="C1066" s="127"/>
      <c r="D1066" s="116" t="s">
        <v>641</v>
      </c>
      <c r="E1066" s="4"/>
      <c r="F1066" s="4"/>
      <c r="G1066" s="109"/>
      <c r="H1066" s="109"/>
      <c r="I1066" s="109"/>
      <c r="J1066" s="109"/>
      <c r="K1066" s="109"/>
      <c r="L1066" s="109"/>
      <c r="M1066" s="109"/>
      <c r="N1066" s="109"/>
      <c r="O1066" s="109"/>
      <c r="P1066" s="109"/>
      <c r="Q1066" s="109"/>
      <c r="R1066" s="109"/>
      <c r="S1066" s="109"/>
      <c r="T1066" s="109"/>
      <c r="U1066" s="109"/>
      <c r="V1066" s="109"/>
      <c r="W1066" s="109"/>
      <c r="X1066" s="109"/>
      <c r="Y1066" s="109"/>
      <c r="Z1066" s="109"/>
    </row>
    <row r="1067">
      <c r="A1067" s="127"/>
      <c r="B1067" s="127"/>
      <c r="C1067" s="127"/>
      <c r="D1067" s="116" t="s">
        <v>643</v>
      </c>
      <c r="E1067" s="4"/>
      <c r="F1067" s="4"/>
      <c r="G1067" s="109"/>
      <c r="H1067" s="109"/>
      <c r="I1067" s="109"/>
      <c r="J1067" s="109"/>
      <c r="K1067" s="109"/>
      <c r="L1067" s="109"/>
      <c r="M1067" s="109"/>
      <c r="N1067" s="109"/>
      <c r="O1067" s="109"/>
      <c r="P1067" s="109"/>
      <c r="Q1067" s="109"/>
      <c r="R1067" s="109"/>
      <c r="S1067" s="109"/>
      <c r="T1067" s="109"/>
      <c r="U1067" s="109"/>
      <c r="V1067" s="109"/>
      <c r="W1067" s="109"/>
      <c r="X1067" s="109"/>
      <c r="Y1067" s="109"/>
      <c r="Z1067" s="109"/>
    </row>
    <row r="1068">
      <c r="A1068" s="127"/>
      <c r="B1068" s="127"/>
      <c r="C1068" s="127"/>
      <c r="D1068" s="116" t="s">
        <v>646</v>
      </c>
      <c r="E1068" s="4"/>
      <c r="F1068" s="4"/>
      <c r="G1068" s="109"/>
      <c r="H1068" s="109"/>
      <c r="I1068" s="109"/>
      <c r="J1068" s="109"/>
      <c r="K1068" s="109"/>
      <c r="L1068" s="109"/>
      <c r="M1068" s="109"/>
      <c r="N1068" s="109"/>
      <c r="O1068" s="109"/>
      <c r="P1068" s="109"/>
      <c r="Q1068" s="109"/>
      <c r="R1068" s="109"/>
      <c r="S1068" s="109"/>
      <c r="T1068" s="109"/>
      <c r="U1068" s="109"/>
      <c r="V1068" s="109"/>
      <c r="W1068" s="109"/>
      <c r="X1068" s="109"/>
      <c r="Y1068" s="109"/>
      <c r="Z1068" s="109"/>
    </row>
    <row r="1069">
      <c r="A1069" s="127"/>
      <c r="B1069" s="127"/>
      <c r="C1069" s="116" t="s">
        <v>836</v>
      </c>
      <c r="D1069" s="127"/>
      <c r="E1069" s="4"/>
      <c r="F1069" s="4"/>
      <c r="G1069" s="109"/>
      <c r="H1069" s="109"/>
      <c r="I1069" s="109"/>
      <c r="J1069" s="109"/>
      <c r="K1069" s="109"/>
      <c r="L1069" s="109"/>
      <c r="M1069" s="109"/>
      <c r="N1069" s="109"/>
      <c r="O1069" s="109"/>
      <c r="P1069" s="109"/>
      <c r="Q1069" s="109"/>
      <c r="R1069" s="109"/>
      <c r="S1069" s="109"/>
      <c r="T1069" s="109"/>
      <c r="U1069" s="109"/>
      <c r="V1069" s="109"/>
      <c r="W1069" s="109"/>
      <c r="X1069" s="109"/>
      <c r="Y1069" s="109"/>
      <c r="Z1069" s="109"/>
    </row>
    <row r="1070">
      <c r="A1070" s="127"/>
      <c r="B1070" s="127"/>
      <c r="C1070" s="127"/>
      <c r="D1070" s="116" t="s">
        <v>655</v>
      </c>
      <c r="E1070" s="4"/>
      <c r="F1070" s="4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09"/>
      <c r="V1070" s="109"/>
      <c r="W1070" s="109"/>
      <c r="X1070" s="109"/>
      <c r="Y1070" s="109"/>
      <c r="Z1070" s="109"/>
    </row>
    <row r="1071">
      <c r="A1071" s="127"/>
      <c r="B1071" s="127"/>
      <c r="C1071" s="127"/>
      <c r="D1071" s="116" t="s">
        <v>565</v>
      </c>
      <c r="E1071" s="4"/>
      <c r="F1071" s="4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09"/>
      <c r="V1071" s="109"/>
      <c r="W1071" s="109"/>
      <c r="X1071" s="109"/>
      <c r="Y1071" s="109"/>
      <c r="Z1071" s="109"/>
    </row>
    <row r="1072">
      <c r="A1072" s="127"/>
      <c r="B1072" s="127"/>
      <c r="C1072" s="127"/>
      <c r="D1072" s="116" t="s">
        <v>661</v>
      </c>
      <c r="E1072" s="4"/>
      <c r="F1072" s="4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09"/>
      <c r="V1072" s="109"/>
      <c r="W1072" s="109"/>
      <c r="X1072" s="109"/>
      <c r="Y1072" s="109"/>
      <c r="Z1072" s="109"/>
    </row>
    <row r="1073">
      <c r="A1073" s="127"/>
      <c r="B1073" s="127"/>
      <c r="C1073" s="127"/>
      <c r="D1073" s="116" t="s">
        <v>665</v>
      </c>
      <c r="E1073" s="4"/>
      <c r="F1073" s="4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09"/>
      <c r="V1073" s="109"/>
      <c r="W1073" s="109"/>
      <c r="X1073" s="109"/>
      <c r="Y1073" s="109"/>
      <c r="Z1073" s="109"/>
    </row>
    <row r="1074">
      <c r="A1074" s="127"/>
      <c r="B1074" s="127"/>
      <c r="C1074" s="127"/>
      <c r="D1074" s="116" t="s">
        <v>669</v>
      </c>
      <c r="E1074" s="4"/>
      <c r="F1074" s="4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09"/>
      <c r="V1074" s="109"/>
      <c r="W1074" s="109"/>
      <c r="X1074" s="109"/>
      <c r="Y1074" s="109"/>
      <c r="Z1074" s="109"/>
    </row>
    <row r="1075">
      <c r="A1075" s="127"/>
      <c r="B1075" s="127"/>
      <c r="C1075" s="127"/>
      <c r="D1075" s="116" t="s">
        <v>673</v>
      </c>
      <c r="E1075" s="4"/>
      <c r="F1075" s="4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09"/>
      <c r="V1075" s="109"/>
      <c r="W1075" s="109"/>
      <c r="X1075" s="109"/>
      <c r="Y1075" s="109"/>
      <c r="Z1075" s="109"/>
    </row>
    <row r="1076">
      <c r="A1076" s="127"/>
      <c r="B1076" s="127"/>
      <c r="C1076" s="116" t="s">
        <v>837</v>
      </c>
      <c r="D1076" s="127"/>
      <c r="E1076" s="4"/>
      <c r="F1076" s="4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09"/>
      <c r="V1076" s="109"/>
      <c r="W1076" s="109"/>
      <c r="X1076" s="109"/>
      <c r="Y1076" s="109"/>
      <c r="Z1076" s="109"/>
    </row>
    <row r="1077">
      <c r="A1077" s="127"/>
      <c r="B1077" s="127"/>
      <c r="C1077" s="127"/>
      <c r="D1077" s="116" t="s">
        <v>685</v>
      </c>
      <c r="E1077" s="4"/>
      <c r="F1077" s="4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09"/>
      <c r="V1077" s="109"/>
      <c r="W1077" s="109"/>
      <c r="X1077" s="109"/>
      <c r="Y1077" s="109"/>
      <c r="Z1077" s="109"/>
    </row>
    <row r="1078">
      <c r="A1078" s="127"/>
      <c r="B1078" s="127"/>
      <c r="C1078" s="127"/>
      <c r="D1078" s="116" t="s">
        <v>687</v>
      </c>
      <c r="E1078" s="4"/>
      <c r="F1078" s="4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09"/>
      <c r="V1078" s="109"/>
      <c r="W1078" s="109"/>
      <c r="X1078" s="109"/>
      <c r="Y1078" s="109"/>
      <c r="Z1078" s="109"/>
    </row>
    <row r="1079">
      <c r="A1079" s="127"/>
      <c r="B1079" s="127"/>
      <c r="C1079" s="127"/>
      <c r="D1079" s="116" t="s">
        <v>690</v>
      </c>
      <c r="E1079" s="4"/>
      <c r="F1079" s="4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09"/>
      <c r="V1079" s="109"/>
      <c r="W1079" s="109"/>
      <c r="X1079" s="109"/>
      <c r="Y1079" s="109"/>
      <c r="Z1079" s="109"/>
    </row>
    <row r="1080">
      <c r="A1080" s="127"/>
      <c r="B1080" s="127"/>
      <c r="C1080" s="127"/>
      <c r="D1080" s="116" t="s">
        <v>693</v>
      </c>
      <c r="E1080" s="4"/>
      <c r="F1080" s="4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09"/>
      <c r="V1080" s="109"/>
      <c r="W1080" s="109"/>
      <c r="X1080" s="109"/>
      <c r="Y1080" s="109"/>
      <c r="Z1080" s="109"/>
    </row>
    <row r="1081">
      <c r="A1081" s="127"/>
      <c r="B1081" s="127"/>
      <c r="C1081" s="127"/>
      <c r="D1081" s="116" t="s">
        <v>695</v>
      </c>
      <c r="E1081" s="4"/>
      <c r="F1081" s="4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09"/>
      <c r="V1081" s="109"/>
      <c r="W1081" s="109"/>
      <c r="X1081" s="109"/>
      <c r="Y1081" s="109"/>
      <c r="Z1081" s="109"/>
    </row>
    <row r="1082">
      <c r="A1082" s="127"/>
      <c r="B1082" s="127"/>
      <c r="C1082" s="116" t="s">
        <v>838</v>
      </c>
      <c r="D1082" s="127"/>
      <c r="E1082" s="4"/>
      <c r="F1082" s="4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09"/>
      <c r="V1082" s="109"/>
      <c r="W1082" s="109"/>
      <c r="X1082" s="109"/>
      <c r="Y1082" s="109"/>
      <c r="Z1082" s="109"/>
    </row>
    <row r="1083">
      <c r="A1083" s="127"/>
      <c r="B1083" s="127"/>
      <c r="C1083" s="127"/>
      <c r="D1083" s="116" t="s">
        <v>702</v>
      </c>
      <c r="E1083" s="4"/>
      <c r="F1083" s="4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09"/>
      <c r="V1083" s="109"/>
      <c r="W1083" s="109"/>
      <c r="X1083" s="109"/>
      <c r="Y1083" s="109"/>
      <c r="Z1083" s="109"/>
    </row>
    <row r="1084">
      <c r="A1084" s="127"/>
      <c r="B1084" s="127"/>
      <c r="C1084" s="127"/>
      <c r="D1084" s="116" t="s">
        <v>652</v>
      </c>
      <c r="E1084" s="4"/>
      <c r="F1084" s="4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09"/>
      <c r="V1084" s="109"/>
      <c r="W1084" s="109"/>
      <c r="X1084" s="109"/>
      <c r="Y1084" s="109"/>
      <c r="Z1084" s="109"/>
    </row>
    <row r="1085">
      <c r="A1085" s="127"/>
      <c r="B1085" s="127"/>
      <c r="C1085" s="116" t="s">
        <v>347</v>
      </c>
      <c r="D1085" s="127"/>
      <c r="E1085" s="4"/>
      <c r="F1085" s="4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09"/>
      <c r="V1085" s="109"/>
      <c r="W1085" s="109"/>
      <c r="X1085" s="109"/>
      <c r="Y1085" s="109"/>
      <c r="Z1085" s="109"/>
    </row>
    <row r="1086">
      <c r="A1086" s="127"/>
      <c r="B1086" s="127"/>
      <c r="C1086" s="127"/>
      <c r="D1086" s="116" t="s">
        <v>347</v>
      </c>
      <c r="E1086" s="4"/>
      <c r="F1086" s="4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09"/>
      <c r="V1086" s="109"/>
      <c r="W1086" s="109"/>
      <c r="X1086" s="109"/>
      <c r="Y1086" s="109"/>
      <c r="Z1086" s="109"/>
    </row>
    <row r="1087">
      <c r="A1087" s="127"/>
      <c r="B1087" s="127"/>
      <c r="C1087" s="116" t="s">
        <v>435</v>
      </c>
      <c r="D1087" s="127"/>
      <c r="E1087" s="4"/>
      <c r="F1087" s="4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09"/>
      <c r="V1087" s="109"/>
      <c r="W1087" s="109"/>
      <c r="X1087" s="109"/>
      <c r="Y1087" s="109"/>
      <c r="Z1087" s="109"/>
    </row>
    <row r="1088">
      <c r="A1088" s="127"/>
      <c r="B1088" s="127"/>
      <c r="C1088" s="127"/>
      <c r="D1088" s="116" t="s">
        <v>435</v>
      </c>
      <c r="E1088" s="4"/>
      <c r="F1088" s="4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09"/>
      <c r="V1088" s="109"/>
      <c r="W1088" s="109"/>
      <c r="X1088" s="109"/>
      <c r="Y1088" s="109"/>
      <c r="Z1088" s="109"/>
    </row>
    <row r="1089">
      <c r="A1089" s="127"/>
      <c r="B1089" s="127"/>
      <c r="C1089" s="116" t="s">
        <v>443</v>
      </c>
      <c r="D1089" s="127"/>
      <c r="E1089" s="4"/>
      <c r="F1089" s="4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09"/>
      <c r="V1089" s="109"/>
      <c r="W1089" s="109"/>
      <c r="X1089" s="109"/>
      <c r="Y1089" s="109"/>
      <c r="Z1089" s="109"/>
    </row>
    <row r="1090">
      <c r="A1090" s="127"/>
      <c r="B1090" s="127"/>
      <c r="C1090" s="127"/>
      <c r="D1090" s="116" t="s">
        <v>714</v>
      </c>
      <c r="E1090" s="4"/>
      <c r="F1090" s="4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09"/>
      <c r="V1090" s="109"/>
      <c r="W1090" s="109"/>
      <c r="X1090" s="109"/>
      <c r="Y1090" s="109"/>
      <c r="Z1090" s="109"/>
    </row>
    <row r="1091">
      <c r="A1091" s="127"/>
      <c r="B1091" s="127"/>
      <c r="C1091" s="127"/>
      <c r="D1091" s="116" t="s">
        <v>717</v>
      </c>
      <c r="E1091" s="4"/>
      <c r="F1091" s="4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09"/>
      <c r="V1091" s="109"/>
      <c r="W1091" s="109"/>
      <c r="X1091" s="109"/>
      <c r="Y1091" s="109"/>
      <c r="Z1091" s="109"/>
    </row>
    <row r="1092">
      <c r="A1092" s="127"/>
      <c r="B1092" s="127"/>
      <c r="C1092" s="127"/>
      <c r="D1092" s="116" t="s">
        <v>719</v>
      </c>
      <c r="E1092" s="4"/>
      <c r="F1092" s="4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09"/>
      <c r="V1092" s="109"/>
      <c r="W1092" s="109"/>
      <c r="X1092" s="109"/>
      <c r="Y1092" s="109"/>
      <c r="Z1092" s="109"/>
    </row>
    <row r="1093">
      <c r="A1093" s="127"/>
      <c r="B1093" s="127"/>
      <c r="C1093" s="127"/>
      <c r="D1093" s="116" t="s">
        <v>722</v>
      </c>
      <c r="E1093" s="4"/>
      <c r="F1093" s="4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09"/>
      <c r="V1093" s="109"/>
      <c r="W1093" s="109"/>
      <c r="X1093" s="109"/>
      <c r="Y1093" s="109"/>
      <c r="Z1093" s="109"/>
    </row>
    <row r="1094">
      <c r="A1094" s="127"/>
      <c r="B1094" s="127"/>
      <c r="C1094" s="127"/>
      <c r="D1094" s="116" t="s">
        <v>724</v>
      </c>
      <c r="E1094" s="4"/>
      <c r="F1094" s="4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09"/>
      <c r="V1094" s="109"/>
      <c r="W1094" s="109"/>
      <c r="X1094" s="109"/>
      <c r="Y1094" s="109"/>
      <c r="Z1094" s="109"/>
    </row>
    <row r="1095">
      <c r="A1095" s="117" t="s">
        <v>200</v>
      </c>
      <c r="B1095" s="128"/>
      <c r="C1095" s="128"/>
      <c r="D1095" s="128"/>
      <c r="E1095" s="4"/>
      <c r="F1095" s="4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09"/>
      <c r="V1095" s="109"/>
      <c r="W1095" s="109"/>
      <c r="X1095" s="109"/>
      <c r="Y1095" s="109"/>
      <c r="Z1095" s="109"/>
    </row>
    <row r="1096">
      <c r="A1096" s="128"/>
      <c r="B1096" s="117" t="s">
        <v>839</v>
      </c>
      <c r="C1096" s="128"/>
      <c r="D1096" s="128"/>
      <c r="E1096" s="4"/>
      <c r="F1096" s="4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09"/>
      <c r="V1096" s="109"/>
      <c r="W1096" s="109"/>
      <c r="X1096" s="109"/>
      <c r="Y1096" s="109"/>
      <c r="Z1096" s="109"/>
    </row>
    <row r="1097">
      <c r="A1097" s="128"/>
      <c r="B1097" s="128"/>
      <c r="C1097" s="117" t="s">
        <v>301</v>
      </c>
      <c r="D1097" s="128"/>
      <c r="E1097" s="4"/>
      <c r="F1097" s="4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09"/>
      <c r="V1097" s="109"/>
      <c r="W1097" s="109"/>
      <c r="X1097" s="109"/>
      <c r="Y1097" s="109"/>
      <c r="Z1097" s="109"/>
    </row>
    <row r="1098">
      <c r="A1098" s="128"/>
      <c r="B1098" s="128"/>
      <c r="C1098" s="128"/>
      <c r="D1098" s="117" t="s">
        <v>302</v>
      </c>
      <c r="E1098" s="4"/>
      <c r="F1098" s="4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09"/>
      <c r="V1098" s="109"/>
      <c r="W1098" s="109"/>
      <c r="X1098" s="109"/>
      <c r="Y1098" s="109"/>
      <c r="Z1098" s="109"/>
    </row>
    <row r="1099">
      <c r="A1099" s="128"/>
      <c r="B1099" s="128"/>
      <c r="C1099" s="128"/>
      <c r="D1099" s="117" t="s">
        <v>319</v>
      </c>
      <c r="E1099" s="4"/>
      <c r="F1099" s="4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09"/>
      <c r="V1099" s="109"/>
      <c r="W1099" s="109"/>
      <c r="X1099" s="109"/>
      <c r="Y1099" s="109"/>
      <c r="Z1099" s="109"/>
    </row>
    <row r="1100">
      <c r="A1100" s="128"/>
      <c r="B1100" s="128"/>
      <c r="C1100" s="128"/>
      <c r="D1100" s="117" t="s">
        <v>334</v>
      </c>
      <c r="E1100" s="4"/>
      <c r="F1100" s="4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09"/>
      <c r="V1100" s="109"/>
      <c r="W1100" s="109"/>
      <c r="X1100" s="109"/>
      <c r="Y1100" s="109"/>
      <c r="Z1100" s="109"/>
    </row>
    <row r="1101">
      <c r="A1101" s="128"/>
      <c r="B1101" s="128"/>
      <c r="C1101" s="117" t="s">
        <v>751</v>
      </c>
      <c r="D1101" s="128"/>
      <c r="E1101" s="4"/>
      <c r="F1101" s="4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09"/>
      <c r="V1101" s="109"/>
      <c r="W1101" s="109"/>
      <c r="X1101" s="109"/>
      <c r="Y1101" s="109"/>
      <c r="Z1101" s="109"/>
    </row>
    <row r="1102">
      <c r="A1102" s="128"/>
      <c r="B1102" s="128"/>
      <c r="C1102" s="128"/>
      <c r="D1102" s="117" t="s">
        <v>364</v>
      </c>
      <c r="E1102" s="4"/>
      <c r="F1102" s="4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09"/>
      <c r="V1102" s="109"/>
      <c r="W1102" s="109"/>
      <c r="X1102" s="109"/>
      <c r="Y1102" s="109"/>
      <c r="Z1102" s="109"/>
    </row>
    <row r="1103">
      <c r="A1103" s="128"/>
      <c r="B1103" s="128"/>
      <c r="C1103" s="128"/>
      <c r="D1103" s="117" t="s">
        <v>373</v>
      </c>
      <c r="E1103" s="4"/>
      <c r="F1103" s="4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09"/>
      <c r="V1103" s="109"/>
      <c r="W1103" s="109"/>
      <c r="X1103" s="109"/>
      <c r="Y1103" s="109"/>
      <c r="Z1103" s="109"/>
    </row>
    <row r="1104">
      <c r="A1104" s="128"/>
      <c r="B1104" s="128"/>
      <c r="C1104" s="117" t="s">
        <v>311</v>
      </c>
      <c r="D1104" s="128"/>
      <c r="E1104" s="4"/>
      <c r="F1104" s="4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09"/>
      <c r="V1104" s="109"/>
      <c r="W1104" s="109"/>
      <c r="X1104" s="109"/>
      <c r="Y1104" s="109"/>
      <c r="Z1104" s="109"/>
    </row>
    <row r="1105">
      <c r="A1105" s="128"/>
      <c r="B1105" s="128"/>
      <c r="C1105" s="128"/>
      <c r="D1105" s="117" t="s">
        <v>312</v>
      </c>
      <c r="E1105" s="4"/>
      <c r="F1105" s="4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09"/>
      <c r="V1105" s="109"/>
      <c r="W1105" s="109"/>
      <c r="X1105" s="109"/>
      <c r="Y1105" s="109"/>
      <c r="Z1105" s="109"/>
    </row>
    <row r="1106">
      <c r="A1106" s="128"/>
      <c r="B1106" s="128"/>
      <c r="C1106" s="128"/>
      <c r="D1106" s="117" t="s">
        <v>329</v>
      </c>
      <c r="E1106" s="4"/>
      <c r="F1106" s="4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09"/>
      <c r="V1106" s="109"/>
      <c r="W1106" s="109"/>
      <c r="X1106" s="109"/>
      <c r="Y1106" s="109"/>
      <c r="Z1106" s="109"/>
    </row>
    <row r="1107">
      <c r="A1107" s="128"/>
      <c r="B1107" s="128"/>
      <c r="C1107" s="117" t="s">
        <v>327</v>
      </c>
      <c r="D1107" s="128"/>
      <c r="E1107" s="4"/>
      <c r="F1107" s="4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09"/>
      <c r="V1107" s="109"/>
      <c r="W1107" s="109"/>
      <c r="X1107" s="109"/>
      <c r="Y1107" s="109"/>
      <c r="Z1107" s="109"/>
    </row>
    <row r="1108">
      <c r="A1108" s="128"/>
      <c r="B1108" s="128"/>
      <c r="C1108" s="128"/>
      <c r="D1108" s="117" t="s">
        <v>327</v>
      </c>
      <c r="E1108" s="4"/>
      <c r="F1108" s="4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09"/>
      <c r="V1108" s="109"/>
      <c r="W1108" s="109"/>
      <c r="X1108" s="109"/>
      <c r="Y1108" s="109"/>
      <c r="Z1108" s="109"/>
    </row>
    <row r="1109">
      <c r="A1109" s="128"/>
      <c r="B1109" s="128"/>
      <c r="C1109" s="128"/>
      <c r="D1109" s="117" t="s">
        <v>504</v>
      </c>
      <c r="E1109" s="4"/>
      <c r="F1109" s="4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09"/>
      <c r="V1109" s="109"/>
      <c r="W1109" s="109"/>
      <c r="X1109" s="109"/>
      <c r="Y1109" s="109"/>
      <c r="Z1109" s="109"/>
    </row>
    <row r="1110">
      <c r="A1110" s="128"/>
      <c r="B1110" s="128"/>
      <c r="C1110" s="117" t="s">
        <v>753</v>
      </c>
      <c r="D1110" s="128"/>
      <c r="E1110" s="4"/>
      <c r="F1110" s="4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09"/>
      <c r="V1110" s="109"/>
      <c r="W1110" s="109"/>
      <c r="X1110" s="109"/>
      <c r="Y1110" s="109"/>
      <c r="Z1110" s="109"/>
    </row>
    <row r="1111">
      <c r="A1111" s="128"/>
      <c r="B1111" s="128"/>
      <c r="C1111" s="128"/>
      <c r="D1111" s="117" t="s">
        <v>437</v>
      </c>
      <c r="E1111" s="4"/>
      <c r="F1111" s="4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09"/>
      <c r="V1111" s="109"/>
      <c r="W1111" s="109"/>
      <c r="X1111" s="109"/>
      <c r="Y1111" s="109"/>
      <c r="Z1111" s="109"/>
    </row>
    <row r="1112">
      <c r="A1112" s="128"/>
      <c r="B1112" s="128"/>
      <c r="C1112" s="128"/>
      <c r="D1112" s="117" t="s">
        <v>444</v>
      </c>
      <c r="E1112" s="4"/>
      <c r="F1112" s="4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09"/>
      <c r="V1112" s="109"/>
      <c r="W1112" s="109"/>
      <c r="X1112" s="109"/>
      <c r="Y1112" s="109"/>
      <c r="Z1112" s="109"/>
    </row>
    <row r="1113">
      <c r="A1113" s="128"/>
      <c r="B1113" s="128"/>
      <c r="C1113" s="117" t="s">
        <v>347</v>
      </c>
      <c r="D1113" s="128"/>
      <c r="E1113" s="4"/>
      <c r="F1113" s="4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09"/>
      <c r="V1113" s="109"/>
      <c r="W1113" s="109"/>
      <c r="X1113" s="109"/>
      <c r="Y1113" s="109"/>
      <c r="Z1113" s="109"/>
    </row>
    <row r="1114">
      <c r="A1114" s="128"/>
      <c r="B1114" s="128"/>
      <c r="C1114" s="128"/>
      <c r="D1114" s="117" t="s">
        <v>347</v>
      </c>
      <c r="E1114" s="4"/>
      <c r="F1114" s="4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09"/>
      <c r="V1114" s="109"/>
      <c r="W1114" s="109"/>
      <c r="X1114" s="109"/>
      <c r="Y1114" s="109"/>
      <c r="Z1114" s="109"/>
    </row>
    <row r="1115">
      <c r="A1115" s="128"/>
      <c r="B1115" s="117" t="s">
        <v>840</v>
      </c>
      <c r="C1115" s="128"/>
      <c r="D1115" s="128"/>
      <c r="E1115" s="4"/>
      <c r="F1115" s="4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09"/>
      <c r="V1115" s="109"/>
      <c r="W1115" s="109"/>
      <c r="X1115" s="109"/>
      <c r="Y1115" s="109"/>
      <c r="Z1115" s="109"/>
    </row>
    <row r="1116">
      <c r="A1116" s="128"/>
      <c r="B1116" s="128"/>
      <c r="C1116" s="117" t="s">
        <v>301</v>
      </c>
      <c r="D1116" s="128"/>
      <c r="E1116" s="4"/>
      <c r="F1116" s="4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09"/>
      <c r="V1116" s="109"/>
      <c r="W1116" s="109"/>
      <c r="X1116" s="109"/>
      <c r="Y1116" s="109"/>
      <c r="Z1116" s="109"/>
    </row>
    <row r="1117">
      <c r="A1117" s="128"/>
      <c r="B1117" s="128"/>
      <c r="C1117" s="128"/>
      <c r="D1117" s="117" t="s">
        <v>471</v>
      </c>
      <c r="E1117" s="4"/>
      <c r="F1117" s="4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09"/>
      <c r="V1117" s="109"/>
      <c r="W1117" s="109"/>
      <c r="X1117" s="109"/>
      <c r="Y1117" s="109"/>
      <c r="Z1117" s="109"/>
    </row>
    <row r="1118">
      <c r="A1118" s="128"/>
      <c r="B1118" s="128"/>
      <c r="C1118" s="128"/>
      <c r="D1118" s="117" t="s">
        <v>478</v>
      </c>
      <c r="E1118" s="4"/>
      <c r="F1118" s="4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09"/>
      <c r="V1118" s="109"/>
      <c r="W1118" s="109"/>
      <c r="X1118" s="109"/>
      <c r="Y1118" s="109"/>
      <c r="Z1118" s="109"/>
    </row>
    <row r="1119">
      <c r="A1119" s="128"/>
      <c r="B1119" s="128"/>
      <c r="C1119" s="117" t="s">
        <v>751</v>
      </c>
      <c r="D1119" s="128"/>
      <c r="E1119" s="4"/>
      <c r="F1119" s="4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09"/>
      <c r="V1119" s="109"/>
      <c r="W1119" s="109"/>
      <c r="X1119" s="109"/>
      <c r="Y1119" s="109"/>
      <c r="Z1119" s="109"/>
    </row>
    <row r="1120">
      <c r="A1120" s="128"/>
      <c r="B1120" s="128"/>
      <c r="C1120" s="128"/>
      <c r="D1120" s="117" t="s">
        <v>364</v>
      </c>
      <c r="E1120" s="4"/>
      <c r="F1120" s="4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09"/>
      <c r="V1120" s="109"/>
      <c r="W1120" s="109"/>
      <c r="X1120" s="109"/>
      <c r="Y1120" s="109"/>
      <c r="Z1120" s="109"/>
    </row>
    <row r="1121">
      <c r="A1121" s="128"/>
      <c r="B1121" s="128"/>
      <c r="C1121" s="128"/>
      <c r="D1121" s="117" t="s">
        <v>512</v>
      </c>
      <c r="E1121" s="4"/>
      <c r="F1121" s="4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09"/>
      <c r="V1121" s="109"/>
      <c r="W1121" s="109"/>
      <c r="X1121" s="109"/>
      <c r="Y1121" s="109"/>
      <c r="Z1121" s="109"/>
    </row>
    <row r="1122">
      <c r="A1122" s="128"/>
      <c r="B1122" s="128"/>
      <c r="C1122" s="128"/>
      <c r="D1122" s="117" t="s">
        <v>373</v>
      </c>
      <c r="E1122" s="4"/>
      <c r="F1122" s="4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09"/>
      <c r="V1122" s="109"/>
      <c r="W1122" s="109"/>
      <c r="X1122" s="109"/>
      <c r="Y1122" s="109"/>
      <c r="Z1122" s="109"/>
    </row>
    <row r="1123">
      <c r="A1123" s="128"/>
      <c r="B1123" s="128"/>
      <c r="C1123" s="128"/>
      <c r="D1123" s="117" t="s">
        <v>529</v>
      </c>
      <c r="E1123" s="4"/>
      <c r="F1123" s="4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09"/>
      <c r="V1123" s="109"/>
      <c r="W1123" s="109"/>
      <c r="X1123" s="109"/>
      <c r="Y1123" s="109"/>
      <c r="Z1123" s="109"/>
    </row>
    <row r="1124">
      <c r="A1124" s="128"/>
      <c r="B1124" s="128"/>
      <c r="C1124" s="128"/>
      <c r="D1124" s="117" t="s">
        <v>537</v>
      </c>
      <c r="E1124" s="4"/>
      <c r="F1124" s="4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09"/>
      <c r="V1124" s="109"/>
      <c r="W1124" s="109"/>
      <c r="X1124" s="109"/>
      <c r="Y1124" s="109"/>
      <c r="Z1124" s="109"/>
    </row>
    <row r="1125">
      <c r="A1125" s="128"/>
      <c r="B1125" s="128"/>
      <c r="C1125" s="117" t="s">
        <v>311</v>
      </c>
      <c r="D1125" s="128"/>
      <c r="E1125" s="4"/>
      <c r="F1125" s="4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09"/>
      <c r="V1125" s="109"/>
      <c r="W1125" s="109"/>
      <c r="X1125" s="109"/>
      <c r="Y1125" s="109"/>
      <c r="Z1125" s="109"/>
    </row>
    <row r="1126">
      <c r="A1126" s="128"/>
      <c r="B1126" s="128"/>
      <c r="C1126" s="128"/>
      <c r="D1126" s="117" t="s">
        <v>296</v>
      </c>
      <c r="E1126" s="4"/>
      <c r="F1126" s="4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09"/>
      <c r="V1126" s="109"/>
      <c r="W1126" s="109"/>
      <c r="X1126" s="109"/>
      <c r="Y1126" s="109"/>
      <c r="Z1126" s="109"/>
    </row>
    <row r="1127">
      <c r="A1127" s="128"/>
      <c r="B1127" s="128"/>
      <c r="C1127" s="128"/>
      <c r="D1127" s="117" t="s">
        <v>312</v>
      </c>
      <c r="E1127" s="4"/>
      <c r="F1127" s="4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09"/>
      <c r="V1127" s="109"/>
      <c r="W1127" s="109"/>
      <c r="X1127" s="109"/>
      <c r="Y1127" s="109"/>
      <c r="Z1127" s="109"/>
    </row>
    <row r="1128">
      <c r="A1128" s="128"/>
      <c r="B1128" s="128"/>
      <c r="C1128" s="117" t="s">
        <v>327</v>
      </c>
      <c r="D1128" s="128"/>
      <c r="E1128" s="4"/>
      <c r="F1128" s="4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09"/>
      <c r="V1128" s="109"/>
      <c r="W1128" s="109"/>
      <c r="X1128" s="109"/>
      <c r="Y1128" s="109"/>
      <c r="Z1128" s="109"/>
    </row>
    <row r="1129">
      <c r="A1129" s="128"/>
      <c r="B1129" s="128"/>
      <c r="C1129" s="128"/>
      <c r="D1129" s="117" t="s">
        <v>327</v>
      </c>
      <c r="E1129" s="4"/>
      <c r="F1129" s="4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09"/>
      <c r="V1129" s="109"/>
      <c r="W1129" s="109"/>
      <c r="X1129" s="109"/>
      <c r="Y1129" s="109"/>
      <c r="Z1129" s="109"/>
    </row>
    <row r="1130">
      <c r="A1130" s="128"/>
      <c r="B1130" s="128"/>
      <c r="C1130" s="128"/>
      <c r="D1130" s="117" t="s">
        <v>504</v>
      </c>
      <c r="E1130" s="4"/>
      <c r="F1130" s="4"/>
      <c r="G1130" s="109"/>
      <c r="H1130" s="109"/>
      <c r="I1130" s="109"/>
      <c r="J1130" s="109"/>
      <c r="K1130" s="109"/>
      <c r="L1130" s="109"/>
      <c r="M1130" s="109"/>
      <c r="N1130" s="109"/>
      <c r="O1130" s="109"/>
      <c r="P1130" s="109"/>
      <c r="Q1130" s="109"/>
      <c r="R1130" s="109"/>
      <c r="S1130" s="109"/>
      <c r="T1130" s="109"/>
      <c r="U1130" s="109"/>
      <c r="V1130" s="109"/>
      <c r="W1130" s="109"/>
      <c r="X1130" s="109"/>
      <c r="Y1130" s="109"/>
      <c r="Z1130" s="109"/>
    </row>
    <row r="1131">
      <c r="A1131" s="128"/>
      <c r="B1131" s="128"/>
      <c r="C1131" s="117" t="s">
        <v>753</v>
      </c>
      <c r="D1131" s="128"/>
      <c r="E1131" s="4"/>
      <c r="F1131" s="4"/>
      <c r="G1131" s="109"/>
      <c r="H1131" s="109"/>
      <c r="I1131" s="109"/>
      <c r="J1131" s="109"/>
      <c r="K1131" s="109"/>
      <c r="L1131" s="109"/>
      <c r="M1131" s="109"/>
      <c r="N1131" s="109"/>
      <c r="O1131" s="109"/>
      <c r="P1131" s="109"/>
      <c r="Q1131" s="109"/>
      <c r="R1131" s="109"/>
      <c r="S1131" s="109"/>
      <c r="T1131" s="109"/>
      <c r="U1131" s="109"/>
      <c r="V1131" s="109"/>
      <c r="W1131" s="109"/>
      <c r="X1131" s="109"/>
      <c r="Y1131" s="109"/>
      <c r="Z1131" s="109"/>
    </row>
    <row r="1132">
      <c r="A1132" s="128"/>
      <c r="B1132" s="128"/>
      <c r="C1132" s="128"/>
      <c r="D1132" s="117" t="s">
        <v>444</v>
      </c>
      <c r="E1132" s="4"/>
      <c r="F1132" s="4"/>
      <c r="G1132" s="109"/>
      <c r="H1132" s="109"/>
      <c r="I1132" s="109"/>
      <c r="J1132" s="109"/>
      <c r="K1132" s="109"/>
      <c r="L1132" s="109"/>
      <c r="M1132" s="109"/>
      <c r="N1132" s="109"/>
      <c r="O1132" s="109"/>
      <c r="P1132" s="109"/>
      <c r="Q1132" s="109"/>
      <c r="R1132" s="109"/>
      <c r="S1132" s="109"/>
      <c r="T1132" s="109"/>
      <c r="U1132" s="109"/>
      <c r="V1132" s="109"/>
      <c r="W1132" s="109"/>
      <c r="X1132" s="109"/>
      <c r="Y1132" s="109"/>
      <c r="Z1132" s="109"/>
    </row>
    <row r="1133">
      <c r="A1133" s="128"/>
      <c r="B1133" s="128"/>
      <c r="C1133" s="128"/>
      <c r="D1133" s="117" t="s">
        <v>582</v>
      </c>
      <c r="E1133" s="4"/>
      <c r="F1133" s="4"/>
      <c r="G1133" s="109"/>
      <c r="H1133" s="109"/>
      <c r="I1133" s="109"/>
      <c r="J1133" s="109"/>
      <c r="K1133" s="109"/>
      <c r="L1133" s="109"/>
      <c r="M1133" s="109"/>
      <c r="N1133" s="109"/>
      <c r="O1133" s="109"/>
      <c r="P1133" s="109"/>
      <c r="Q1133" s="109"/>
      <c r="R1133" s="109"/>
      <c r="S1133" s="109"/>
      <c r="T1133" s="109"/>
      <c r="U1133" s="109"/>
      <c r="V1133" s="109"/>
      <c r="W1133" s="109"/>
      <c r="X1133" s="109"/>
      <c r="Y1133" s="109"/>
      <c r="Z1133" s="109"/>
    </row>
    <row r="1134">
      <c r="A1134" s="128"/>
      <c r="B1134" s="128"/>
      <c r="C1134" s="128"/>
      <c r="D1134" s="117" t="s">
        <v>587</v>
      </c>
      <c r="E1134" s="4"/>
      <c r="F1134" s="4"/>
      <c r="G1134" s="109"/>
      <c r="H1134" s="109"/>
      <c r="I1134" s="109"/>
      <c r="J1134" s="109"/>
      <c r="K1134" s="109"/>
      <c r="L1134" s="109"/>
      <c r="M1134" s="109"/>
      <c r="N1134" s="109"/>
      <c r="O1134" s="109"/>
      <c r="P1134" s="109"/>
      <c r="Q1134" s="109"/>
      <c r="R1134" s="109"/>
      <c r="S1134" s="109"/>
      <c r="T1134" s="109"/>
      <c r="U1134" s="109"/>
      <c r="V1134" s="109"/>
      <c r="W1134" s="109"/>
      <c r="X1134" s="109"/>
      <c r="Y1134" s="109"/>
      <c r="Z1134" s="109"/>
    </row>
    <row r="1135">
      <c r="A1135" s="128"/>
      <c r="B1135" s="128"/>
      <c r="C1135" s="117" t="s">
        <v>347</v>
      </c>
      <c r="D1135" s="128"/>
      <c r="E1135" s="4"/>
      <c r="F1135" s="4"/>
      <c r="G1135" s="109"/>
      <c r="H1135" s="109"/>
      <c r="I1135" s="109"/>
      <c r="J1135" s="109"/>
      <c r="K1135" s="109"/>
      <c r="L1135" s="109"/>
      <c r="M1135" s="109"/>
      <c r="N1135" s="109"/>
      <c r="O1135" s="109"/>
      <c r="P1135" s="109"/>
      <c r="Q1135" s="109"/>
      <c r="R1135" s="109"/>
      <c r="S1135" s="109"/>
      <c r="T1135" s="109"/>
      <c r="U1135" s="109"/>
      <c r="V1135" s="109"/>
      <c r="W1135" s="109"/>
      <c r="X1135" s="109"/>
      <c r="Y1135" s="109"/>
      <c r="Z1135" s="109"/>
    </row>
    <row r="1136">
      <c r="A1136" s="128"/>
      <c r="B1136" s="128"/>
      <c r="C1136" s="128"/>
      <c r="D1136" s="117" t="s">
        <v>347</v>
      </c>
      <c r="E1136" s="4"/>
      <c r="F1136" s="4"/>
      <c r="G1136" s="109"/>
      <c r="H1136" s="109"/>
      <c r="I1136" s="109"/>
      <c r="J1136" s="109"/>
      <c r="K1136" s="109"/>
      <c r="L1136" s="109"/>
      <c r="M1136" s="109"/>
      <c r="N1136" s="109"/>
      <c r="O1136" s="109"/>
      <c r="P1136" s="109"/>
      <c r="Q1136" s="109"/>
      <c r="R1136" s="109"/>
      <c r="S1136" s="109"/>
      <c r="T1136" s="109"/>
      <c r="U1136" s="109"/>
      <c r="V1136" s="109"/>
      <c r="W1136" s="109"/>
      <c r="X1136" s="109"/>
      <c r="Y1136" s="109"/>
      <c r="Z1136" s="109"/>
    </row>
    <row r="1137">
      <c r="A1137" s="1" t="s">
        <v>841</v>
      </c>
      <c r="B1137" s="4"/>
      <c r="C1137" s="4"/>
      <c r="D1137" s="4"/>
      <c r="E1137" s="4"/>
      <c r="F1137" s="4"/>
      <c r="G1137" s="109"/>
      <c r="H1137" s="109"/>
      <c r="I1137" s="109"/>
      <c r="J1137" s="109"/>
      <c r="K1137" s="109"/>
      <c r="L1137" s="109"/>
      <c r="M1137" s="109"/>
      <c r="N1137" s="109"/>
      <c r="O1137" s="109"/>
      <c r="P1137" s="109"/>
      <c r="Q1137" s="109"/>
      <c r="R1137" s="109"/>
      <c r="S1137" s="109"/>
      <c r="T1137" s="109"/>
      <c r="U1137" s="109"/>
      <c r="V1137" s="109"/>
      <c r="W1137" s="109"/>
      <c r="X1137" s="109"/>
      <c r="Y1137" s="109"/>
      <c r="Z1137" s="109"/>
    </row>
    <row r="1138">
      <c r="A1138" s="1" t="s">
        <v>842</v>
      </c>
      <c r="B1138" s="4"/>
      <c r="C1138" s="4"/>
      <c r="D1138" s="4"/>
      <c r="E1138" s="4"/>
      <c r="F1138" s="4"/>
      <c r="G1138" s="109"/>
      <c r="H1138" s="109"/>
      <c r="I1138" s="109"/>
      <c r="J1138" s="109"/>
      <c r="K1138" s="109"/>
      <c r="L1138" s="109"/>
      <c r="M1138" s="109"/>
      <c r="N1138" s="109"/>
      <c r="O1138" s="109"/>
      <c r="P1138" s="109"/>
      <c r="Q1138" s="109"/>
      <c r="R1138" s="109"/>
      <c r="S1138" s="109"/>
      <c r="T1138" s="109"/>
      <c r="U1138" s="109"/>
      <c r="V1138" s="109"/>
      <c r="W1138" s="109"/>
      <c r="X1138" s="109"/>
      <c r="Y1138" s="109"/>
      <c r="Z1138" s="10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9" t="s">
        <v>843</v>
      </c>
      <c r="B1" s="130" t="s">
        <v>41</v>
      </c>
      <c r="C1" s="130" t="s">
        <v>41</v>
      </c>
      <c r="D1" s="130" t="s">
        <v>41</v>
      </c>
      <c r="E1" s="130" t="s">
        <v>41</v>
      </c>
      <c r="F1" s="130" t="s">
        <v>41</v>
      </c>
      <c r="G1" s="131" t="s">
        <v>43</v>
      </c>
      <c r="H1" s="131" t="s">
        <v>43</v>
      </c>
      <c r="I1" s="130" t="s">
        <v>41</v>
      </c>
      <c r="J1" s="132" t="s">
        <v>42</v>
      </c>
      <c r="K1" s="131" t="s">
        <v>43</v>
      </c>
      <c r="L1" s="131" t="s">
        <v>43</v>
      </c>
      <c r="M1" s="130" t="s">
        <v>41</v>
      </c>
      <c r="N1" s="130" t="s">
        <v>41</v>
      </c>
      <c r="O1" s="130" t="s">
        <v>41</v>
      </c>
      <c r="P1" s="133" t="s">
        <v>44</v>
      </c>
      <c r="Q1" s="133" t="s">
        <v>44</v>
      </c>
      <c r="R1" s="132" t="s">
        <v>42</v>
      </c>
      <c r="S1" s="132" t="s">
        <v>42</v>
      </c>
      <c r="T1" s="131" t="s">
        <v>43</v>
      </c>
      <c r="U1" s="134"/>
      <c r="V1" s="131" t="s">
        <v>43</v>
      </c>
      <c r="W1" s="131" t="s">
        <v>43</v>
      </c>
      <c r="X1" s="131" t="s">
        <v>43</v>
      </c>
      <c r="Y1" s="131" t="s">
        <v>43</v>
      </c>
      <c r="Z1" s="131" t="s">
        <v>43</v>
      </c>
    </row>
    <row r="2">
      <c r="A2" s="129" t="s">
        <v>6</v>
      </c>
      <c r="B2" s="130" t="s">
        <v>10</v>
      </c>
      <c r="C2" s="130" t="s">
        <v>9</v>
      </c>
      <c r="D2" s="130" t="s">
        <v>11</v>
      </c>
      <c r="E2" s="130" t="s">
        <v>14</v>
      </c>
      <c r="F2" s="130" t="s">
        <v>844</v>
      </c>
      <c r="G2" s="135"/>
      <c r="H2" s="131" t="s">
        <v>21</v>
      </c>
      <c r="I2" s="130" t="s">
        <v>845</v>
      </c>
      <c r="J2" s="132" t="s">
        <v>278</v>
      </c>
      <c r="K2" s="131" t="s">
        <v>18</v>
      </c>
      <c r="L2" s="131" t="s">
        <v>846</v>
      </c>
      <c r="M2" s="130" t="s">
        <v>22</v>
      </c>
      <c r="N2" s="130" t="s">
        <v>847</v>
      </c>
      <c r="O2" s="130" t="s">
        <v>848</v>
      </c>
      <c r="P2" s="133" t="s">
        <v>24</v>
      </c>
      <c r="Q2" s="133" t="s">
        <v>849</v>
      </c>
      <c r="R2" s="132" t="s">
        <v>25</v>
      </c>
      <c r="S2" s="132" t="s">
        <v>8</v>
      </c>
      <c r="T2" s="131" t="s">
        <v>26</v>
      </c>
      <c r="U2" s="131" t="s">
        <v>850</v>
      </c>
      <c r="V2" s="131" t="s">
        <v>16</v>
      </c>
      <c r="W2" s="131" t="s">
        <v>17</v>
      </c>
      <c r="X2" s="131" t="s">
        <v>27</v>
      </c>
      <c r="Y2" s="134"/>
      <c r="Z2" s="131" t="s">
        <v>851</v>
      </c>
    </row>
    <row r="3">
      <c r="A3" s="129" t="s">
        <v>852</v>
      </c>
      <c r="B3" s="136" t="s">
        <v>10</v>
      </c>
      <c r="C3" s="136" t="s">
        <v>853</v>
      </c>
      <c r="D3" s="136" t="s">
        <v>854</v>
      </c>
      <c r="E3" s="136" t="s">
        <v>855</v>
      </c>
      <c r="F3" s="136" t="s">
        <v>856</v>
      </c>
      <c r="G3" s="136" t="s">
        <v>857</v>
      </c>
      <c r="H3" s="136" t="s">
        <v>21</v>
      </c>
      <c r="I3" s="136" t="s">
        <v>735</v>
      </c>
      <c r="J3" s="136" t="s">
        <v>858</v>
      </c>
      <c r="K3" s="136" t="s">
        <v>859</v>
      </c>
      <c r="L3" s="136" t="s">
        <v>860</v>
      </c>
      <c r="M3" s="136" t="s">
        <v>22</v>
      </c>
      <c r="N3" s="136" t="s">
        <v>15</v>
      </c>
      <c r="O3" s="136" t="s">
        <v>861</v>
      </c>
      <c r="P3" s="136" t="s">
        <v>24</v>
      </c>
      <c r="Q3" s="136" t="s">
        <v>849</v>
      </c>
      <c r="R3" s="136" t="s">
        <v>25</v>
      </c>
      <c r="S3" s="136" t="s">
        <v>862</v>
      </c>
      <c r="T3" s="136" t="s">
        <v>863</v>
      </c>
      <c r="U3" s="137"/>
      <c r="V3" s="136" t="s">
        <v>16</v>
      </c>
      <c r="W3" s="136" t="s">
        <v>17</v>
      </c>
      <c r="X3" s="136" t="s">
        <v>864</v>
      </c>
      <c r="Y3" s="136" t="s">
        <v>29</v>
      </c>
      <c r="Z3" s="136" t="s">
        <v>33</v>
      </c>
    </row>
    <row r="4">
      <c r="A4" s="129" t="s">
        <v>865</v>
      </c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6" t="s">
        <v>866</v>
      </c>
      <c r="U4" s="137"/>
      <c r="V4" s="137"/>
      <c r="W4" s="137"/>
      <c r="X4" s="137"/>
      <c r="Y4" s="137"/>
      <c r="Z4" s="137"/>
    </row>
    <row r="5">
      <c r="A5" s="129" t="s">
        <v>81</v>
      </c>
      <c r="B5" s="136" t="s">
        <v>79</v>
      </c>
      <c r="C5" s="136" t="s">
        <v>79</v>
      </c>
      <c r="D5" s="136" t="s">
        <v>79</v>
      </c>
      <c r="E5" s="136" t="s">
        <v>79</v>
      </c>
      <c r="F5" s="136" t="s">
        <v>79</v>
      </c>
      <c r="G5" s="137"/>
      <c r="H5" s="136" t="s">
        <v>79</v>
      </c>
      <c r="I5" s="136" t="s">
        <v>83</v>
      </c>
      <c r="J5" s="136" t="s">
        <v>83</v>
      </c>
      <c r="K5" s="137"/>
      <c r="L5" s="137"/>
      <c r="M5" s="136" t="s">
        <v>83</v>
      </c>
      <c r="N5" s="136" t="s">
        <v>79</v>
      </c>
      <c r="O5" s="136" t="s">
        <v>79</v>
      </c>
      <c r="P5" s="136" t="s">
        <v>79</v>
      </c>
      <c r="Q5" s="136" t="s">
        <v>867</v>
      </c>
      <c r="R5" s="136" t="s">
        <v>79</v>
      </c>
      <c r="S5" s="136" t="s">
        <v>868</v>
      </c>
      <c r="T5" s="136" t="s">
        <v>79</v>
      </c>
      <c r="U5" s="136" t="s">
        <v>869</v>
      </c>
      <c r="V5" s="136" t="s">
        <v>83</v>
      </c>
      <c r="W5" s="136" t="s">
        <v>83</v>
      </c>
      <c r="X5" s="136" t="s">
        <v>79</v>
      </c>
      <c r="Y5" s="136" t="s">
        <v>79</v>
      </c>
      <c r="Z5" s="136" t="s">
        <v>870</v>
      </c>
    </row>
    <row r="6">
      <c r="A6" s="129" t="s">
        <v>84</v>
      </c>
      <c r="B6" s="137"/>
      <c r="C6" s="137"/>
      <c r="D6" s="137"/>
      <c r="E6" s="137"/>
      <c r="F6" s="137"/>
      <c r="G6" s="138" t="s">
        <v>871</v>
      </c>
      <c r="H6" s="136" t="s">
        <v>872</v>
      </c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1" t="s">
        <v>153</v>
      </c>
      <c r="I9" s="1" t="s">
        <v>265</v>
      </c>
      <c r="J9" s="1" t="s">
        <v>604</v>
      </c>
      <c r="K9" s="1" t="s">
        <v>743</v>
      </c>
      <c r="L9" s="1" t="s">
        <v>873</v>
      </c>
      <c r="M9" s="4"/>
      <c r="N9" s="4"/>
      <c r="O9" s="1" t="s">
        <v>118</v>
      </c>
      <c r="P9" s="4"/>
      <c r="Q9" s="4"/>
      <c r="R9" s="4"/>
      <c r="S9" s="1" t="s">
        <v>126</v>
      </c>
      <c r="T9" s="1" t="s">
        <v>154</v>
      </c>
      <c r="U9" s="1" t="s">
        <v>874</v>
      </c>
      <c r="V9" s="4"/>
      <c r="W9" s="4"/>
      <c r="X9" s="1" t="s">
        <v>113</v>
      </c>
      <c r="Y9" s="139">
        <v>41275.0</v>
      </c>
      <c r="Z9" s="4"/>
    </row>
    <row r="10">
      <c r="A10" s="4"/>
      <c r="B10" s="4"/>
      <c r="C10" s="4"/>
      <c r="D10" s="4"/>
      <c r="E10" s="4"/>
      <c r="F10" s="4"/>
      <c r="G10" s="4"/>
      <c r="H10" s="1" t="s">
        <v>109</v>
      </c>
      <c r="I10" s="1" t="s">
        <v>269</v>
      </c>
      <c r="J10" s="1" t="s">
        <v>875</v>
      </c>
      <c r="K10" s="1" t="s">
        <v>301</v>
      </c>
      <c r="L10" s="1" t="s">
        <v>479</v>
      </c>
      <c r="M10" s="4"/>
      <c r="N10" s="4"/>
      <c r="O10" s="1" t="s">
        <v>157</v>
      </c>
      <c r="P10" s="4"/>
      <c r="Q10" s="4"/>
      <c r="R10" s="4"/>
      <c r="S10" s="1" t="s">
        <v>121</v>
      </c>
      <c r="T10" s="1" t="s">
        <v>158</v>
      </c>
      <c r="U10" s="1" t="s">
        <v>876</v>
      </c>
      <c r="V10" s="4"/>
      <c r="W10" s="4"/>
      <c r="X10" s="1" t="s">
        <v>228</v>
      </c>
      <c r="Y10" s="139">
        <v>41456.0</v>
      </c>
      <c r="Z10" s="4"/>
    </row>
    <row r="11">
      <c r="A11" s="4"/>
      <c r="B11" s="4"/>
      <c r="C11" s="4"/>
      <c r="D11" s="4"/>
      <c r="E11" s="4"/>
      <c r="F11" s="4"/>
      <c r="G11" s="4"/>
      <c r="H11" s="1" t="s">
        <v>877</v>
      </c>
      <c r="I11" s="1" t="s">
        <v>824</v>
      </c>
      <c r="J11" s="1" t="s">
        <v>878</v>
      </c>
      <c r="K11" s="1" t="s">
        <v>741</v>
      </c>
      <c r="L11" s="1" t="s">
        <v>718</v>
      </c>
      <c r="M11" s="4"/>
      <c r="N11" s="4"/>
      <c r="O11" s="1" t="s">
        <v>171</v>
      </c>
      <c r="P11" s="4"/>
      <c r="Q11" s="4"/>
      <c r="R11" s="4"/>
      <c r="S11" s="1" t="s">
        <v>122</v>
      </c>
      <c r="T11" s="1" t="s">
        <v>166</v>
      </c>
      <c r="U11" s="1" t="s">
        <v>879</v>
      </c>
      <c r="V11" s="4"/>
      <c r="W11" s="4"/>
      <c r="X11" s="1" t="s">
        <v>880</v>
      </c>
      <c r="Y11" s="139">
        <v>41640.0</v>
      </c>
      <c r="Z11" s="4"/>
    </row>
    <row r="12">
      <c r="A12" s="4"/>
      <c r="B12" s="4"/>
      <c r="C12" s="4"/>
      <c r="D12" s="4"/>
      <c r="E12" s="4"/>
      <c r="F12" s="4"/>
      <c r="G12" s="4"/>
      <c r="H12" s="1" t="s">
        <v>881</v>
      </c>
      <c r="I12" s="1" t="s">
        <v>832</v>
      </c>
      <c r="J12" s="1" t="s">
        <v>882</v>
      </c>
      <c r="K12" s="1" t="s">
        <v>749</v>
      </c>
      <c r="L12" s="1" t="s">
        <v>782</v>
      </c>
      <c r="M12" s="4"/>
      <c r="N12" s="4"/>
      <c r="O12" s="1" t="s">
        <v>185</v>
      </c>
      <c r="P12" s="4"/>
      <c r="Q12" s="4"/>
      <c r="R12" s="4"/>
      <c r="S12" s="1" t="s">
        <v>125</v>
      </c>
      <c r="T12" s="1" t="s">
        <v>173</v>
      </c>
      <c r="U12" s="4"/>
      <c r="V12" s="4"/>
      <c r="W12" s="4"/>
      <c r="X12" s="1" t="s">
        <v>182</v>
      </c>
      <c r="Y12" s="4"/>
      <c r="Z12" s="4"/>
    </row>
    <row r="13">
      <c r="A13" s="4"/>
      <c r="B13" s="4"/>
      <c r="C13" s="4"/>
      <c r="D13" s="4"/>
      <c r="E13" s="4"/>
      <c r="F13" s="4"/>
      <c r="G13" s="4"/>
      <c r="H13" s="1" t="s">
        <v>164</v>
      </c>
      <c r="I13" s="1" t="s">
        <v>200</v>
      </c>
      <c r="J13" s="1" t="s">
        <v>883</v>
      </c>
      <c r="K13" s="1" t="s">
        <v>751</v>
      </c>
      <c r="L13" s="1" t="s">
        <v>788</v>
      </c>
      <c r="M13" s="4"/>
      <c r="N13" s="4"/>
      <c r="O13" s="1" t="s">
        <v>192</v>
      </c>
      <c r="P13" s="4"/>
      <c r="Q13" s="4"/>
      <c r="R13" s="4"/>
      <c r="S13" s="1" t="s">
        <v>127</v>
      </c>
      <c r="T13" s="1" t="s">
        <v>180</v>
      </c>
      <c r="U13" s="1" t="s">
        <v>884</v>
      </c>
      <c r="V13" s="4"/>
      <c r="W13" s="4"/>
      <c r="X13" s="1" t="s">
        <v>885</v>
      </c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1" t="s">
        <v>841</v>
      </c>
      <c r="J14" s="1" t="s">
        <v>886</v>
      </c>
      <c r="K14" s="1" t="s">
        <v>761</v>
      </c>
      <c r="L14" s="1" t="s">
        <v>296</v>
      </c>
      <c r="M14" s="4"/>
      <c r="N14" s="4"/>
      <c r="O14" s="4"/>
      <c r="P14" s="4"/>
      <c r="Q14" s="4"/>
      <c r="R14" s="4"/>
      <c r="S14" s="1" t="s">
        <v>887</v>
      </c>
      <c r="T14" s="4"/>
      <c r="U14" s="1" t="s">
        <v>888</v>
      </c>
      <c r="V14" s="4"/>
      <c r="W14" s="4"/>
      <c r="X14" s="1" t="s">
        <v>889</v>
      </c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1" t="s">
        <v>842</v>
      </c>
      <c r="J15" s="1" t="s">
        <v>890</v>
      </c>
      <c r="K15" s="1" t="s">
        <v>803</v>
      </c>
      <c r="L15" s="1" t="s">
        <v>763</v>
      </c>
      <c r="M15" s="4"/>
      <c r="N15" s="4"/>
      <c r="O15" s="4"/>
      <c r="P15" s="4"/>
      <c r="Q15" s="4"/>
      <c r="R15" s="4"/>
      <c r="S15" s="1" t="s">
        <v>133</v>
      </c>
      <c r="T15" s="4"/>
      <c r="U15" s="1" t="s">
        <v>240</v>
      </c>
      <c r="V15" s="4"/>
      <c r="W15" s="4"/>
      <c r="X15" s="1" t="s">
        <v>891</v>
      </c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1" t="s">
        <v>739</v>
      </c>
      <c r="J16" s="1" t="s">
        <v>892</v>
      </c>
      <c r="K16" s="1" t="s">
        <v>816</v>
      </c>
      <c r="L16" s="1" t="s">
        <v>379</v>
      </c>
      <c r="M16" s="4"/>
      <c r="N16" s="4"/>
      <c r="O16" s="4"/>
      <c r="P16" s="4"/>
      <c r="Q16" s="4"/>
      <c r="R16" s="4"/>
      <c r="S16" s="1" t="s">
        <v>104</v>
      </c>
      <c r="T16" s="4"/>
      <c r="U16" s="1" t="s">
        <v>893</v>
      </c>
      <c r="V16" s="4"/>
      <c r="W16" s="4"/>
      <c r="X16" s="1" t="s">
        <v>894</v>
      </c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1" t="s">
        <v>895</v>
      </c>
      <c r="K17" s="1" t="s">
        <v>561</v>
      </c>
      <c r="L17" s="1" t="s">
        <v>721</v>
      </c>
      <c r="M17" s="4"/>
      <c r="N17" s="4"/>
      <c r="O17" s="4"/>
      <c r="P17" s="4"/>
      <c r="Q17" s="4"/>
      <c r="R17" s="4"/>
      <c r="S17" s="1" t="s">
        <v>137</v>
      </c>
      <c r="T17" s="4"/>
      <c r="U17" s="1" t="s">
        <v>896</v>
      </c>
      <c r="V17" s="4"/>
      <c r="W17" s="4"/>
      <c r="X17" s="1" t="s">
        <v>897</v>
      </c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1" t="s">
        <v>898</v>
      </c>
      <c r="K18" s="1" t="s">
        <v>311</v>
      </c>
      <c r="L18" s="1" t="s">
        <v>727</v>
      </c>
      <c r="M18" s="4"/>
      <c r="N18" s="4"/>
      <c r="O18" s="4"/>
      <c r="P18" s="4"/>
      <c r="Q18" s="4"/>
      <c r="R18" s="4"/>
      <c r="S18" s="1" t="s">
        <v>138</v>
      </c>
      <c r="T18" s="4"/>
      <c r="U18" s="1" t="s">
        <v>899</v>
      </c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1" t="s">
        <v>900</v>
      </c>
      <c r="K19" s="1" t="s">
        <v>361</v>
      </c>
      <c r="L19" s="1" t="s">
        <v>811</v>
      </c>
      <c r="M19" s="4"/>
      <c r="N19" s="4"/>
      <c r="O19" s="4"/>
      <c r="P19" s="4"/>
      <c r="Q19" s="4"/>
      <c r="R19" s="4"/>
      <c r="S19" s="1" t="s">
        <v>139</v>
      </c>
      <c r="T19" s="4"/>
      <c r="U19" s="1" t="s">
        <v>901</v>
      </c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1" t="s">
        <v>902</v>
      </c>
      <c r="K20" s="1" t="s">
        <v>335</v>
      </c>
      <c r="L20" s="1" t="s">
        <v>789</v>
      </c>
      <c r="M20" s="4"/>
      <c r="N20" s="4"/>
      <c r="O20" s="4"/>
      <c r="P20" s="4"/>
      <c r="Q20" s="4"/>
      <c r="R20" s="4"/>
      <c r="S20" s="4"/>
      <c r="T20" s="4"/>
      <c r="U20" s="1" t="s">
        <v>903</v>
      </c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1" t="s">
        <v>904</v>
      </c>
      <c r="K21" s="1" t="s">
        <v>752</v>
      </c>
      <c r="L21" s="1" t="s">
        <v>790</v>
      </c>
      <c r="M21" s="4"/>
      <c r="N21" s="4"/>
      <c r="O21" s="4"/>
      <c r="P21" s="4"/>
      <c r="Q21" s="4"/>
      <c r="R21" s="4"/>
      <c r="S21" s="4"/>
      <c r="T21" s="4"/>
      <c r="U21" s="1" t="s">
        <v>905</v>
      </c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1" t="s">
        <v>906</v>
      </c>
      <c r="K22" s="1" t="s">
        <v>327</v>
      </c>
      <c r="L22" s="1" t="s">
        <v>640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1" t="s">
        <v>907</v>
      </c>
      <c r="K23" s="1" t="s">
        <v>308</v>
      </c>
      <c r="L23" s="1" t="s">
        <v>666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1" t="s">
        <v>908</v>
      </c>
      <c r="K24" s="1" t="s">
        <v>355</v>
      </c>
      <c r="L24" s="1" t="s">
        <v>729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1" t="s">
        <v>909</v>
      </c>
      <c r="K25" s="1" t="s">
        <v>510</v>
      </c>
      <c r="L25" s="1" t="s">
        <v>302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1" t="s">
        <v>910</v>
      </c>
      <c r="K26" s="1" t="s">
        <v>753</v>
      </c>
      <c r="L26" s="1" t="s">
        <v>787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1" t="s">
        <v>911</v>
      </c>
      <c r="K27" s="1" t="s">
        <v>324</v>
      </c>
      <c r="L27" s="1" t="s">
        <v>744</v>
      </c>
      <c r="M27" s="4"/>
      <c r="N27" s="4"/>
      <c r="O27" s="4"/>
      <c r="P27" s="4"/>
      <c r="Q27" s="4"/>
      <c r="R27" s="4"/>
      <c r="S27" s="4"/>
      <c r="T27" s="136" t="s">
        <v>912</v>
      </c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1" t="s">
        <v>913</v>
      </c>
      <c r="K28" s="1" t="s">
        <v>754</v>
      </c>
      <c r="L28" s="1" t="s">
        <v>549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1" t="s">
        <v>914</v>
      </c>
      <c r="K29" s="1" t="s">
        <v>128</v>
      </c>
      <c r="L29" s="1" t="s">
        <v>791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1" t="s">
        <v>915</v>
      </c>
      <c r="K30" s="1" t="s">
        <v>822</v>
      </c>
      <c r="L30" s="1" t="s">
        <v>471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1" t="s">
        <v>916</v>
      </c>
      <c r="K31" s="1" t="s">
        <v>833</v>
      </c>
      <c r="L31" s="1" t="s">
        <v>759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1" t="s">
        <v>917</v>
      </c>
      <c r="K32" s="1" t="s">
        <v>834</v>
      </c>
      <c r="L32" s="1" t="s">
        <v>760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1" t="s">
        <v>918</v>
      </c>
      <c r="K33" s="1" t="s">
        <v>835</v>
      </c>
      <c r="L33" s="1" t="s">
        <v>364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1" t="s">
        <v>919</v>
      </c>
      <c r="K34" s="1" t="s">
        <v>767</v>
      </c>
      <c r="L34" s="1" t="s">
        <v>632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1" t="s">
        <v>920</v>
      </c>
      <c r="K35" s="1" t="s">
        <v>777</v>
      </c>
      <c r="L35" s="1" t="s">
        <v>670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1" t="s">
        <v>921</v>
      </c>
      <c r="K36" s="1" t="s">
        <v>836</v>
      </c>
      <c r="L36" s="1" t="s">
        <v>653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1" t="s">
        <v>781</v>
      </c>
      <c r="L37" s="1" t="s">
        <v>656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1" t="s">
        <v>365</v>
      </c>
      <c r="L38" s="1" t="s">
        <v>369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1" t="s">
        <v>837</v>
      </c>
      <c r="L39" s="1" t="s">
        <v>378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1" t="s">
        <v>838</v>
      </c>
      <c r="L40" s="1" t="s">
        <v>411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1" t="s">
        <v>826</v>
      </c>
      <c r="L41" s="1" t="s">
        <v>389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1" t="s">
        <v>347</v>
      </c>
      <c r="L42" s="1" t="s">
        <v>400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1" t="s">
        <v>435</v>
      </c>
      <c r="L43" s="1" t="s">
        <v>410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1" t="s">
        <v>784</v>
      </c>
      <c r="L44" s="1" t="s">
        <v>298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1" t="s">
        <v>443</v>
      </c>
      <c r="L45" s="1" t="s">
        <v>512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1" t="s">
        <v>755</v>
      </c>
      <c r="L46" s="1" t="s">
        <v>445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1" t="s">
        <v>523</v>
      </c>
      <c r="L47" s="1" t="s">
        <v>373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1" t="s">
        <v>455</v>
      </c>
      <c r="L48" s="1" t="s">
        <v>304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1" t="s">
        <v>756</v>
      </c>
      <c r="L49" s="1" t="s">
        <v>801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1" t="s">
        <v>401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1" t="s">
        <v>392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1" t="s">
        <v>295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1" t="s">
        <v>402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1" t="s">
        <v>692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1" t="s">
        <v>297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1" t="s">
        <v>524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1" t="s">
        <v>314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1" t="s">
        <v>480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1" t="s">
        <v>495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" t="s">
        <v>506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" t="s">
        <v>488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" t="s">
        <v>520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" t="s">
        <v>530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" t="s">
        <v>634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" t="s">
        <v>620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" t="s">
        <v>315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" t="s">
        <v>579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" t="s">
        <v>300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" t="s">
        <v>437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" t="s">
        <v>730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" t="s">
        <v>424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" t="s">
        <v>538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" t="s">
        <v>792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" t="s">
        <v>807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" t="s">
        <v>655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" t="s">
        <v>687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" t="s">
        <v>793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" t="s">
        <v>545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" t="s">
        <v>553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" t="s">
        <v>418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" t="s">
        <v>469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" t="s">
        <v>584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" t="s">
        <v>590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" t="s">
        <v>808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" t="s">
        <v>327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1" t="s">
        <v>674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1" t="s">
        <v>544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1" t="s">
        <v>633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1" t="s">
        <v>551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1" t="s">
        <v>558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1" t="s">
        <v>600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" t="s">
        <v>636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1" t="s">
        <v>419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1" t="s">
        <v>611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1" t="s">
        <v>595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1" t="s">
        <v>557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1" t="s">
        <v>564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1" t="s">
        <v>559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1" t="s">
        <v>317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1" t="s">
        <v>768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1" t="s">
        <v>586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1" t="s">
        <v>658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1" t="s">
        <v>496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1" t="s">
        <v>565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1" t="s">
        <v>804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1" t="s">
        <v>805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1" t="s">
        <v>570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1" t="s">
        <v>507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1" t="s">
        <v>745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1" t="s">
        <v>638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1" t="s">
        <v>556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1" t="s">
        <v>404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1" t="s">
        <v>513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1" t="s">
        <v>432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1" t="s">
        <v>577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1" t="s">
        <v>583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1" t="s">
        <v>758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1" t="s">
        <v>764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1" t="s">
        <v>677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1" t="s">
        <v>649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1" t="s">
        <v>661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1" t="s">
        <v>681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1" t="s">
        <v>769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1" t="s">
        <v>426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1" t="s">
        <v>614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1" t="s">
        <v>313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1" t="s">
        <v>434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1" t="s">
        <v>802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1" t="s">
        <v>663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1" t="s">
        <v>697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1" t="s">
        <v>420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1" t="s">
        <v>619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1" t="s">
        <v>606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1" t="s">
        <v>425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1" t="s">
        <v>568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1" t="s">
        <v>433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1" t="s">
        <v>667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1" t="s">
        <v>528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1" t="s">
        <v>750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1" t="s">
        <v>601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1" t="s">
        <v>699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1" t="s">
        <v>588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1" t="s">
        <v>453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1" t="s">
        <v>457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1" t="s">
        <v>427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1" t="s">
        <v>449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1" t="s">
        <v>321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1" t="s">
        <v>459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1" t="s">
        <v>778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1" t="s">
        <v>785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1" t="s">
        <v>786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1" t="s">
        <v>770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1" t="s">
        <v>623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1" t="s">
        <v>779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1" t="s">
        <v>780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1" t="s">
        <v>771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1" t="s">
        <v>723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1" t="s">
        <v>772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1" t="s">
        <v>773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1" t="s">
        <v>809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1" t="s">
        <v>783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1" t="s">
        <v>635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1" t="s">
        <v>746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1" t="s">
        <v>686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1" t="s">
        <v>688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1" t="s">
        <v>691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1" t="s">
        <v>442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1" t="s">
        <v>694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1" t="s">
        <v>696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1" t="s">
        <v>698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1" t="s">
        <v>701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1" t="s">
        <v>448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1" t="s">
        <v>504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1" t="s">
        <v>498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1" t="s">
        <v>319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1" t="s">
        <v>413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1" t="s">
        <v>527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1" t="s">
        <v>731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1" t="s">
        <v>569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1" t="s">
        <v>714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1" t="s">
        <v>703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1" t="s">
        <v>806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1" t="s">
        <v>478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1" t="s">
        <v>334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1" t="s">
        <v>671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1" t="s">
        <v>405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1" t="s">
        <v>415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1" t="s">
        <v>336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1" t="s">
        <v>345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1" t="s">
        <v>644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1" t="s">
        <v>647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1" t="s">
        <v>675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1" t="s">
        <v>747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1" t="s">
        <v>762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1" t="s">
        <v>529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1" t="s">
        <v>542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1" t="s">
        <v>476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1" t="s">
        <v>550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1" t="s">
        <v>454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1" t="s">
        <v>602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1" t="s">
        <v>607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1" t="s">
        <v>458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1" t="s">
        <v>598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1" t="s">
        <v>748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1" t="s">
        <v>665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1" t="s">
        <v>330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1" t="s">
        <v>444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1" t="s">
        <v>705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1" t="s">
        <v>467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1" t="s">
        <v>356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1" t="s">
        <v>594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1" t="s">
        <v>597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1" t="s">
        <v>605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1" t="s">
        <v>810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1" t="s">
        <v>347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1" t="s">
        <v>706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1" t="s">
        <v>328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1" t="s">
        <v>654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1" t="s">
        <v>406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1" t="s">
        <v>332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1" t="s">
        <v>344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1" t="s">
        <v>397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1" t="s">
        <v>603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1" t="s">
        <v>732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1" t="s">
        <v>366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1" t="s">
        <v>475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1" t="s">
        <v>582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1" t="s">
        <v>352</v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1" t="s">
        <v>312</v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1" t="s">
        <v>422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1" t="s">
        <v>774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1" t="s">
        <v>639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1" t="s">
        <v>794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1" t="s">
        <v>626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1" t="s">
        <v>702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1" t="s">
        <v>690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1" t="s">
        <v>693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1" t="s">
        <v>695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1" t="s">
        <v>491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1" t="s">
        <v>500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1" t="s">
        <v>652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1" t="s">
        <v>511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1" t="s">
        <v>641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1" t="s">
        <v>708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1" t="s">
        <v>533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1" t="s">
        <v>678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1" t="s">
        <v>428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1" t="s">
        <v>539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1" t="s">
        <v>563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1" t="s">
        <v>795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1" t="s">
        <v>682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1" t="s">
        <v>468</v>
      </c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1" t="s">
        <v>796</v>
      </c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1" t="s">
        <v>726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1" t="s">
        <v>775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1" t="s">
        <v>416</v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1" t="s">
        <v>709</v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1" t="s">
        <v>733</v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1" t="s">
        <v>734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1" t="s">
        <v>643</v>
      </c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1" t="s">
        <v>765</v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1" t="s">
        <v>435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1" t="s">
        <v>484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1" t="s">
        <v>612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1" t="s">
        <v>615</v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1" t="s">
        <v>797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1" t="s">
        <v>516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1" t="s">
        <v>485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1" t="s">
        <v>625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1" t="s">
        <v>349</v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1" t="s">
        <v>348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1" t="s">
        <v>360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1" t="s">
        <v>608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1" t="s">
        <v>669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1" t="s">
        <v>537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1" t="s">
        <v>711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1" t="s">
        <v>812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1" t="s">
        <v>766</v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1" t="s">
        <v>546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1" t="s">
        <v>362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1" t="s">
        <v>363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1" t="s">
        <v>713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1" t="s">
        <v>613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1" t="s">
        <v>436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1" t="s">
        <v>587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1" t="s">
        <v>616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1" t="s">
        <v>526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1" t="s">
        <v>408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1" t="s">
        <v>717</v>
      </c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1" t="s">
        <v>350</v>
      </c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1" t="s">
        <v>798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1" t="s">
        <v>799</v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1" t="s">
        <v>813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1" t="s">
        <v>719</v>
      </c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1" t="s">
        <v>521</v>
      </c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1" t="s">
        <v>715</v>
      </c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1" t="s">
        <v>618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1" t="s">
        <v>492</v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1" t="s">
        <v>464</v>
      </c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1" t="s">
        <v>329</v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1" t="s">
        <v>571</v>
      </c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1" t="s">
        <v>531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1" t="s">
        <v>370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1" t="s">
        <v>502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1" t="s">
        <v>501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1" t="s">
        <v>646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1" t="s">
        <v>720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1" t="s">
        <v>657</v>
      </c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1" t="s">
        <v>660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1" t="s">
        <v>523</v>
      </c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1" t="s">
        <v>722</v>
      </c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1" t="s">
        <v>724</v>
      </c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1" t="s">
        <v>676</v>
      </c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1" t="s">
        <v>814</v>
      </c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1" t="s">
        <v>728</v>
      </c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1" t="s">
        <v>610</v>
      </c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1" t="s">
        <v>776</v>
      </c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1" t="s">
        <v>342</v>
      </c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1" t="s">
        <v>673</v>
      </c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09"/>
      <c r="B361" s="109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</row>
    <row r="362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</row>
    <row r="363">
      <c r="A363" s="109"/>
      <c r="B363" s="109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</row>
    <row r="364">
      <c r="A364" s="109"/>
      <c r="B364" s="109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</row>
    <row r="365">
      <c r="A365" s="109"/>
      <c r="B365" s="109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</row>
    <row r="366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</row>
    <row r="367">
      <c r="A367" s="109"/>
      <c r="B367" s="109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</row>
    <row r="368">
      <c r="A368" s="109"/>
      <c r="B368" s="109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</row>
    <row r="369">
      <c r="A369" s="109"/>
      <c r="B369" s="109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</row>
    <row r="370">
      <c r="A370" s="109"/>
      <c r="B370" s="109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</row>
    <row r="371">
      <c r="A371" s="109"/>
      <c r="B371" s="109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</row>
    <row r="372">
      <c r="A372" s="109"/>
      <c r="B372" s="109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</row>
    <row r="373">
      <c r="A373" s="109"/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</row>
    <row r="374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</row>
    <row r="375">
      <c r="A375" s="109"/>
      <c r="B375" s="109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</row>
    <row r="376">
      <c r="A376" s="109"/>
      <c r="B376" s="109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</row>
    <row r="377">
      <c r="A377" s="109"/>
      <c r="B377" s="109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</row>
    <row r="378">
      <c r="A378" s="109"/>
      <c r="B378" s="109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</row>
    <row r="379">
      <c r="A379" s="109"/>
      <c r="B379" s="109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</row>
    <row r="380">
      <c r="A380" s="109"/>
      <c r="B380" s="109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</row>
    <row r="381">
      <c r="A381" s="109"/>
      <c r="B381" s="109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</row>
    <row r="382">
      <c r="A382" s="109"/>
      <c r="B382" s="109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</row>
    <row r="383">
      <c r="A383" s="109"/>
      <c r="B383" s="109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</row>
    <row r="384">
      <c r="A384" s="109"/>
      <c r="B384" s="109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</row>
    <row r="385">
      <c r="A385" s="109"/>
      <c r="B385" s="109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</row>
    <row r="386">
      <c r="A386" s="109"/>
      <c r="B386" s="109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</row>
    <row r="387">
      <c r="A387" s="109"/>
      <c r="B387" s="109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</row>
    <row r="388">
      <c r="A388" s="109"/>
      <c r="B388" s="109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</row>
    <row r="389">
      <c r="A389" s="109"/>
      <c r="B389" s="109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</row>
    <row r="390">
      <c r="A390" s="109"/>
      <c r="B390" s="109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</row>
    <row r="391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</row>
    <row r="392">
      <c r="A392" s="109"/>
      <c r="B392" s="109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</row>
    <row r="393">
      <c r="A393" s="109"/>
      <c r="B393" s="109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</row>
    <row r="394">
      <c r="A394" s="109"/>
      <c r="B394" s="109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</row>
    <row r="395">
      <c r="A395" s="109"/>
      <c r="B395" s="109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</row>
    <row r="396">
      <c r="A396" s="109"/>
      <c r="B396" s="109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</row>
    <row r="397">
      <c r="A397" s="109"/>
      <c r="B397" s="109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</row>
    <row r="398">
      <c r="A398" s="109"/>
      <c r="B398" s="109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</row>
    <row r="399">
      <c r="A399" s="109"/>
      <c r="B399" s="109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</row>
    <row r="400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</row>
    <row r="401">
      <c r="A401" s="109"/>
      <c r="B401" s="109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</row>
    <row r="402">
      <c r="A402" s="109"/>
      <c r="B402" s="109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</row>
    <row r="403">
      <c r="A403" s="109"/>
      <c r="B403" s="109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</row>
    <row r="404">
      <c r="A404" s="109"/>
      <c r="B404" s="109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</row>
    <row r="405">
      <c r="A405" s="109"/>
      <c r="B405" s="109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</row>
    <row r="406">
      <c r="A406" s="109"/>
      <c r="B406" s="109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</row>
    <row r="407">
      <c r="A407" s="109"/>
      <c r="B407" s="109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</row>
    <row r="408">
      <c r="A408" s="109"/>
      <c r="B408" s="109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</row>
    <row r="409">
      <c r="A409" s="109"/>
      <c r="B409" s="109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</row>
    <row r="410">
      <c r="A410" s="109"/>
      <c r="B410" s="109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</row>
    <row r="411">
      <c r="A411" s="109"/>
      <c r="B411" s="109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</row>
    <row r="412">
      <c r="A412" s="109"/>
      <c r="B412" s="109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</row>
    <row r="413">
      <c r="A413" s="109"/>
      <c r="B413" s="109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</row>
    <row r="414">
      <c r="A414" s="109"/>
      <c r="B414" s="109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</row>
    <row r="415">
      <c r="A415" s="109"/>
      <c r="B415" s="109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</row>
    <row r="416">
      <c r="A416" s="109"/>
      <c r="B416" s="109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</row>
    <row r="417">
      <c r="A417" s="109"/>
      <c r="B417" s="109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</row>
    <row r="418">
      <c r="A418" s="109"/>
      <c r="B418" s="109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</row>
    <row r="419">
      <c r="A419" s="109"/>
      <c r="B419" s="109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</row>
    <row r="420">
      <c r="A420" s="109"/>
      <c r="B420" s="109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</row>
    <row r="421">
      <c r="A421" s="109"/>
      <c r="B421" s="109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</row>
    <row r="422">
      <c r="A422" s="109"/>
      <c r="B422" s="109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</row>
    <row r="423">
      <c r="A423" s="109"/>
      <c r="B423" s="109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</row>
    <row r="424">
      <c r="A424" s="109"/>
      <c r="B424" s="109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</row>
    <row r="425">
      <c r="A425" s="109"/>
      <c r="B425" s="109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</row>
    <row r="426">
      <c r="A426" s="109"/>
      <c r="B426" s="109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</row>
    <row r="427">
      <c r="A427" s="109"/>
      <c r="B427" s="109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</row>
    <row r="428">
      <c r="A428" s="109"/>
      <c r="B428" s="109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</row>
    <row r="429">
      <c r="A429" s="109"/>
      <c r="B429" s="109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</row>
    <row r="430">
      <c r="A430" s="109"/>
      <c r="B430" s="109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</row>
    <row r="431">
      <c r="A431" s="109"/>
      <c r="B431" s="109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</row>
    <row r="432">
      <c r="A432" s="109"/>
      <c r="B432" s="109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</row>
    <row r="433">
      <c r="A433" s="109"/>
      <c r="B433" s="109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</row>
    <row r="434">
      <c r="A434" s="109"/>
      <c r="B434" s="109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</row>
    <row r="435">
      <c r="A435" s="109"/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</row>
    <row r="436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</row>
    <row r="437">
      <c r="A437" s="109"/>
      <c r="B437" s="109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</row>
    <row r="438">
      <c r="A438" s="109"/>
      <c r="B438" s="109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</row>
    <row r="439">
      <c r="A439" s="109"/>
      <c r="B439" s="109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</row>
    <row r="440">
      <c r="A440" s="109"/>
      <c r="B440" s="109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</row>
    <row r="441">
      <c r="A441" s="109"/>
      <c r="B441" s="109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</row>
    <row r="442">
      <c r="A442" s="109"/>
      <c r="B442" s="109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</row>
    <row r="443">
      <c r="A443" s="109"/>
      <c r="B443" s="109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</row>
    <row r="444">
      <c r="A444" s="109"/>
      <c r="B444" s="109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</row>
    <row r="445">
      <c r="A445" s="109"/>
      <c r="B445" s="109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</row>
    <row r="446">
      <c r="A446" s="109"/>
      <c r="B446" s="109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</row>
    <row r="447">
      <c r="A447" s="109"/>
      <c r="B447" s="109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</row>
    <row r="448">
      <c r="A448" s="109"/>
      <c r="B448" s="109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</row>
    <row r="449">
      <c r="A449" s="109"/>
      <c r="B449" s="109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</row>
    <row r="450">
      <c r="A450" s="109"/>
      <c r="B450" s="109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</row>
    <row r="451">
      <c r="A451" s="109"/>
      <c r="B451" s="109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</row>
    <row r="452">
      <c r="A452" s="109"/>
      <c r="B452" s="109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</row>
    <row r="453">
      <c r="A453" s="109"/>
      <c r="B453" s="109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</row>
    <row r="454">
      <c r="A454" s="109"/>
      <c r="B454" s="109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</row>
    <row r="455">
      <c r="A455" s="109"/>
      <c r="B455" s="109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</row>
    <row r="456">
      <c r="A456" s="109"/>
      <c r="B456" s="109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</row>
    <row r="457">
      <c r="A457" s="109"/>
      <c r="B457" s="109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</row>
    <row r="458">
      <c r="A458" s="109"/>
      <c r="B458" s="109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</row>
    <row r="459">
      <c r="A459" s="109"/>
      <c r="B459" s="109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</row>
    <row r="460">
      <c r="A460" s="109"/>
      <c r="B460" s="109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</row>
    <row r="461">
      <c r="A461" s="109"/>
      <c r="B461" s="109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</row>
    <row r="462">
      <c r="A462" s="109"/>
      <c r="B462" s="109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</row>
    <row r="463">
      <c r="A463" s="109"/>
      <c r="B463" s="109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</row>
    <row r="464">
      <c r="A464" s="109"/>
      <c r="B464" s="109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</row>
    <row r="465">
      <c r="A465" s="109"/>
      <c r="B465" s="109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</row>
    <row r="466">
      <c r="A466" s="109"/>
      <c r="B466" s="109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</row>
    <row r="467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</row>
    <row r="468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</row>
    <row r="469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</row>
    <row r="470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</row>
    <row r="47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</row>
    <row r="472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</row>
    <row r="473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</row>
    <row r="474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</row>
    <row r="475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</row>
    <row r="476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</row>
    <row r="477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</row>
    <row r="478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</row>
    <row r="479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</row>
    <row r="480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</row>
    <row r="48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</row>
    <row r="482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</row>
    <row r="483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</row>
    <row r="484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</row>
    <row r="485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</row>
    <row r="486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</row>
    <row r="487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</row>
    <row r="488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</row>
    <row r="489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</row>
    <row r="490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</row>
    <row r="49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</row>
    <row r="492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</row>
    <row r="493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</row>
    <row r="494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</row>
    <row r="495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</row>
    <row r="496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</row>
    <row r="497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</row>
    <row r="498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</row>
    <row r="499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</row>
    <row r="500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</row>
    <row r="50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</row>
    <row r="502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</row>
    <row r="503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</row>
    <row r="504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</row>
    <row r="505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</row>
    <row r="506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</row>
    <row r="507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</row>
    <row r="508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</row>
    <row r="509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</row>
    <row r="510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</row>
    <row r="51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</row>
    <row r="512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</row>
    <row r="513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</row>
    <row r="514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</row>
    <row r="515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</row>
    <row r="516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</row>
    <row r="517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</row>
    <row r="518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</row>
    <row r="519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</row>
    <row r="520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</row>
    <row r="52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</row>
    <row r="522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</row>
    <row r="523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</row>
    <row r="524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</row>
    <row r="525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</row>
    <row r="526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</row>
    <row r="527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</row>
    <row r="528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</row>
    <row r="529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</row>
    <row r="530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</row>
    <row r="53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</row>
    <row r="532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</row>
    <row r="533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</row>
    <row r="534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</row>
    <row r="535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</row>
    <row r="536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</row>
    <row r="537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</row>
    <row r="538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</row>
    <row r="539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</row>
    <row r="540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</row>
    <row r="54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</row>
    <row r="542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</row>
    <row r="543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</row>
    <row r="544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</row>
    <row r="545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</row>
    <row r="546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</row>
    <row r="547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</row>
    <row r="548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</row>
    <row r="549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</row>
    <row r="550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</row>
    <row r="55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</row>
    <row r="552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</row>
    <row r="553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</row>
    <row r="554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</row>
    <row r="555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</row>
    <row r="556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</row>
    <row r="557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</row>
    <row r="558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</row>
    <row r="559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</row>
    <row r="560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</row>
    <row r="56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</row>
    <row r="562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</row>
    <row r="563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</row>
    <row r="564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</row>
    <row r="565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</row>
    <row r="566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</row>
    <row r="567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</row>
    <row r="568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</row>
    <row r="569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</row>
    <row r="570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</row>
    <row r="57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</row>
    <row r="572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</row>
    <row r="573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</row>
    <row r="574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</row>
    <row r="575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</row>
    <row r="576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</row>
    <row r="577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</row>
    <row r="578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</row>
    <row r="579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</row>
    <row r="580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</row>
    <row r="58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</row>
    <row r="582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</row>
    <row r="583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</row>
    <row r="584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</row>
    <row r="585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</row>
    <row r="586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</row>
    <row r="587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</row>
    <row r="588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</row>
    <row r="589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</row>
    <row r="590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</row>
    <row r="59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</row>
    <row r="592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</row>
    <row r="593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</row>
    <row r="594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</row>
    <row r="595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</row>
    <row r="596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</row>
    <row r="597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</row>
    <row r="598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</row>
    <row r="599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</row>
    <row r="600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</row>
    <row r="60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</row>
    <row r="602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</row>
    <row r="603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</row>
    <row r="604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</row>
    <row r="605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</row>
    <row r="606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</row>
    <row r="607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</row>
    <row r="608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</row>
    <row r="609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</row>
    <row r="610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</row>
    <row r="61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</row>
    <row r="612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</row>
    <row r="613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</row>
    <row r="614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</row>
    <row r="615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</row>
    <row r="616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</row>
    <row r="617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</row>
    <row r="618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</row>
    <row r="619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</row>
    <row r="620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</row>
    <row r="62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</row>
    <row r="622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</row>
    <row r="623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</row>
    <row r="624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</row>
    <row r="625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</row>
    <row r="626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</row>
    <row r="627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</row>
    <row r="628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</row>
    <row r="629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</row>
    <row r="630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</row>
    <row r="63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</row>
    <row r="632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</row>
    <row r="633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</row>
    <row r="634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</row>
    <row r="635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</row>
    <row r="636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</row>
    <row r="637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</row>
    <row r="638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</row>
    <row r="639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</row>
    <row r="640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</row>
    <row r="64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</row>
    <row r="642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</row>
    <row r="643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</row>
    <row r="644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</row>
    <row r="645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</row>
    <row r="646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</row>
    <row r="647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</row>
    <row r="648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</row>
    <row r="649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</row>
    <row r="650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</row>
    <row r="65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</row>
    <row r="652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</row>
    <row r="653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</row>
    <row r="654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</row>
    <row r="655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</row>
    <row r="656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</row>
    <row r="657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</row>
    <row r="658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</row>
    <row r="659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</row>
    <row r="660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</row>
    <row r="66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</row>
    <row r="662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</row>
    <row r="663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</row>
    <row r="664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</row>
    <row r="665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</row>
    <row r="666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</row>
    <row r="667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</row>
    <row r="668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</row>
    <row r="669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</row>
    <row r="670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</row>
    <row r="67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</row>
    <row r="672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</row>
    <row r="673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</row>
    <row r="674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</row>
    <row r="675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</row>
    <row r="676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</row>
    <row r="677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</row>
    <row r="678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</row>
    <row r="679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</row>
    <row r="680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</row>
    <row r="68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</row>
    <row r="682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</row>
    <row r="683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</row>
    <row r="684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</row>
    <row r="685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</row>
    <row r="686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</row>
    <row r="687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</row>
    <row r="688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</row>
    <row r="689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</row>
    <row r="690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</row>
    <row r="69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</row>
    <row r="692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</row>
    <row r="693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</row>
    <row r="694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</row>
    <row r="695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</row>
    <row r="696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</row>
    <row r="697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</row>
    <row r="698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</row>
    <row r="699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</row>
    <row r="700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</row>
    <row r="70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</row>
    <row r="702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</row>
    <row r="703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</row>
    <row r="704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</row>
    <row r="705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</row>
    <row r="706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</row>
    <row r="707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</row>
    <row r="708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</row>
    <row r="709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</row>
    <row r="710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</row>
    <row r="71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</row>
    <row r="712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</row>
    <row r="713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</row>
    <row r="714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</row>
    <row r="715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</row>
    <row r="716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</row>
    <row r="717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</row>
    <row r="718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</row>
    <row r="719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</row>
    <row r="720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</row>
    <row r="72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</row>
    <row r="722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</row>
    <row r="723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</row>
    <row r="724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</row>
    <row r="725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</row>
    <row r="726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</row>
    <row r="727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</row>
    <row r="728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</row>
    <row r="729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</row>
    <row r="730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</row>
    <row r="73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</row>
    <row r="732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</row>
    <row r="733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</row>
    <row r="734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</row>
    <row r="735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</row>
    <row r="736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</row>
    <row r="737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</row>
    <row r="738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</row>
    <row r="739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</row>
    <row r="740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</row>
    <row r="74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</row>
    <row r="742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</row>
    <row r="743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</row>
    <row r="744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</row>
    <row r="745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</row>
    <row r="746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</row>
    <row r="747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</row>
    <row r="748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</row>
    <row r="749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</row>
    <row r="750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</row>
    <row r="75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</row>
    <row r="752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</row>
    <row r="753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</row>
    <row r="754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</row>
    <row r="755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</row>
    <row r="756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</row>
    <row r="757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</row>
    <row r="758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</row>
    <row r="759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</row>
    <row r="760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</row>
    <row r="76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</row>
    <row r="762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</row>
    <row r="763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</row>
    <row r="764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</row>
    <row r="765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</row>
    <row r="766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</row>
    <row r="767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</row>
    <row r="768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</row>
    <row r="769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</row>
    <row r="770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</row>
    <row r="77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</row>
    <row r="772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</row>
    <row r="773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</row>
    <row r="774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</row>
    <row r="775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</row>
    <row r="776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</row>
    <row r="777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</row>
    <row r="778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</row>
    <row r="779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</row>
    <row r="780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</row>
    <row r="78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</row>
    <row r="782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</row>
    <row r="783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</row>
    <row r="784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</row>
    <row r="785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</row>
    <row r="786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</row>
    <row r="787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</row>
    <row r="788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</row>
    <row r="789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</row>
    <row r="790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</row>
    <row r="79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</row>
    <row r="792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</row>
    <row r="793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</row>
    <row r="794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</row>
    <row r="795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</row>
    <row r="796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</row>
    <row r="797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</row>
    <row r="798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</row>
    <row r="799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</row>
    <row r="800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</row>
    <row r="80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</row>
    <row r="802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</row>
    <row r="803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</row>
    <row r="804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</row>
    <row r="805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</row>
    <row r="806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</row>
    <row r="807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</row>
    <row r="808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</row>
    <row r="809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</row>
    <row r="810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</row>
    <row r="81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</row>
    <row r="812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</row>
    <row r="813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</row>
    <row r="814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</row>
    <row r="815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</row>
    <row r="816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</row>
    <row r="817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</row>
    <row r="818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</row>
    <row r="819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</row>
    <row r="820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</row>
    <row r="82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</row>
    <row r="822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</row>
    <row r="823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</row>
    <row r="824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</row>
    <row r="825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</row>
    <row r="826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</row>
    <row r="827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</row>
    <row r="828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</row>
    <row r="829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</row>
    <row r="830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</row>
    <row r="83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</row>
    <row r="832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</row>
    <row r="833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</row>
    <row r="834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</row>
    <row r="835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</row>
    <row r="836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</row>
    <row r="837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</row>
    <row r="838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</row>
    <row r="839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</row>
    <row r="840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</row>
    <row r="84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</row>
    <row r="842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</row>
    <row r="843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</row>
    <row r="844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</row>
    <row r="845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</row>
    <row r="846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</row>
    <row r="847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</row>
    <row r="848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</row>
    <row r="849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</row>
    <row r="850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</row>
    <row r="85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</row>
    <row r="852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</row>
    <row r="853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</row>
    <row r="854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</row>
    <row r="855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</row>
    <row r="856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</row>
    <row r="857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</row>
    <row r="858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</row>
    <row r="859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</row>
    <row r="860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</row>
    <row r="86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</row>
    <row r="862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</row>
    <row r="863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</row>
    <row r="864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</row>
    <row r="865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</row>
    <row r="866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</row>
    <row r="867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</row>
    <row r="868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</row>
    <row r="869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</row>
    <row r="870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</row>
    <row r="87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</row>
    <row r="872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</row>
    <row r="873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</row>
    <row r="874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</row>
    <row r="875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</row>
    <row r="876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</row>
    <row r="877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</row>
    <row r="878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</row>
    <row r="879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</row>
    <row r="880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</row>
    <row r="88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</row>
    <row r="882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</row>
    <row r="883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</row>
    <row r="884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</row>
    <row r="885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</row>
    <row r="886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</row>
    <row r="887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</row>
    <row r="888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</row>
    <row r="889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</row>
    <row r="890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</row>
    <row r="89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</row>
    <row r="892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</row>
    <row r="893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</row>
    <row r="894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</row>
    <row r="895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</row>
    <row r="896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</row>
    <row r="897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</row>
    <row r="898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</row>
    <row r="899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</row>
    <row r="900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</row>
    <row r="90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</row>
    <row r="902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</row>
    <row r="903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</row>
    <row r="904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</row>
    <row r="905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</row>
    <row r="906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</row>
    <row r="907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</row>
    <row r="908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</row>
    <row r="909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</row>
    <row r="910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</row>
    <row r="91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</row>
    <row r="912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</row>
    <row r="913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</row>
    <row r="914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</row>
    <row r="915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</row>
    <row r="916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</row>
    <row r="917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</row>
    <row r="918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</row>
    <row r="919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</row>
    <row r="920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</row>
    <row r="92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</row>
    <row r="922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</row>
    <row r="923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</row>
    <row r="924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</row>
    <row r="925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</row>
    <row r="926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</row>
    <row r="927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</row>
    <row r="928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</row>
    <row r="929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</row>
    <row r="930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</row>
    <row r="93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</row>
    <row r="932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</row>
    <row r="933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</row>
    <row r="934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</row>
    <row r="935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</row>
    <row r="936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</row>
    <row r="937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</row>
    <row r="938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</row>
    <row r="939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</row>
    <row r="940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</row>
    <row r="94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</row>
    <row r="942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</row>
    <row r="943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</row>
    <row r="944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</row>
    <row r="945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</row>
    <row r="946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</row>
    <row r="947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</row>
    <row r="948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</row>
    <row r="949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</row>
    <row r="950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</row>
    <row r="95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</row>
    <row r="952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</row>
    <row r="953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</row>
    <row r="954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</row>
    <row r="955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</row>
    <row r="956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</row>
    <row r="957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</row>
    <row r="958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</row>
    <row r="959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</row>
    <row r="960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</row>
    <row r="96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</row>
    <row r="962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</row>
    <row r="963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</row>
    <row r="964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</row>
    <row r="965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</row>
    <row r="966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</row>
    <row r="967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</row>
    <row r="968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</row>
    <row r="969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</row>
    <row r="970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</row>
    <row r="97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</row>
    <row r="972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</row>
    <row r="973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</row>
    <row r="974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</row>
    <row r="975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</row>
    <row r="976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</row>
    <row r="977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</row>
    <row r="978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</row>
    <row r="979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</row>
    <row r="980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</row>
    <row r="981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</row>
    <row r="982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</row>
    <row r="983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</row>
    <row r="984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</row>
    <row r="985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</row>
    <row r="986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</row>
    <row r="987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</row>
    <row r="988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</row>
    <row r="989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</row>
    <row r="990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</row>
    <row r="991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</row>
    <row r="992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</row>
    <row r="993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</row>
    <row r="994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</row>
    <row r="995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</row>
    <row r="996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</row>
    <row r="997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</row>
    <row r="998">
      <c r="A998" s="109"/>
      <c r="B998" s="109"/>
      <c r="C998" s="109"/>
      <c r="D998" s="109"/>
      <c r="E998" s="109"/>
      <c r="F998" s="109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</row>
    <row r="999">
      <c r="A999" s="109"/>
      <c r="B999" s="109"/>
      <c r="C999" s="109"/>
      <c r="D999" s="109"/>
      <c r="E999" s="109"/>
      <c r="F999" s="109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</row>
    <row r="1000">
      <c r="A1000" s="109"/>
      <c r="B1000" s="109"/>
      <c r="C1000" s="109"/>
      <c r="D1000" s="109"/>
      <c r="E1000" s="109"/>
      <c r="F1000" s="109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</row>
  </sheetData>
  <mergeCells count="1">
    <mergeCell ref="T27:U27"/>
  </mergeCells>
  <hyperlinks>
    <hyperlink r:id="rId1" ref="G6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38"/>
  </cols>
  <sheetData>
    <row r="1">
      <c r="A1" s="140" t="s">
        <v>922</v>
      </c>
      <c r="B1" s="141" t="s">
        <v>23</v>
      </c>
      <c r="C1" s="142" t="s">
        <v>923</v>
      </c>
    </row>
    <row r="2">
      <c r="A2" s="143" t="s">
        <v>924</v>
      </c>
      <c r="B2" s="144">
        <v>43259.0</v>
      </c>
      <c r="C2" s="99" t="s">
        <v>925</v>
      </c>
    </row>
    <row r="3">
      <c r="A3" s="143" t="s">
        <v>926</v>
      </c>
      <c r="B3" s="145">
        <v>43262.0</v>
      </c>
      <c r="C3" s="99" t="s">
        <v>925</v>
      </c>
    </row>
    <row r="4">
      <c r="A4" s="143" t="s">
        <v>927</v>
      </c>
    </row>
    <row r="5">
      <c r="A5" s="143" t="s">
        <v>928</v>
      </c>
    </row>
    <row r="6">
      <c r="A6" s="143" t="s">
        <v>929</v>
      </c>
      <c r="B6" s="144">
        <v>43266.0</v>
      </c>
      <c r="C6" s="99" t="s">
        <v>925</v>
      </c>
    </row>
    <row r="7">
      <c r="A7" s="143" t="s">
        <v>930</v>
      </c>
      <c r="B7" s="144">
        <v>43272.0</v>
      </c>
      <c r="C7" s="99" t="s">
        <v>925</v>
      </c>
    </row>
    <row r="8">
      <c r="A8" s="143" t="s">
        <v>931</v>
      </c>
    </row>
    <row r="9">
      <c r="A9" s="143" t="s">
        <v>932</v>
      </c>
      <c r="B9" s="144">
        <v>43273.0</v>
      </c>
      <c r="C9" s="99" t="s">
        <v>925</v>
      </c>
    </row>
    <row r="10">
      <c r="A10" s="143" t="s">
        <v>933</v>
      </c>
    </row>
    <row r="11">
      <c r="A11" s="143" t="s">
        <v>934</v>
      </c>
      <c r="B11" s="144">
        <v>43278.0</v>
      </c>
      <c r="C11" s="99" t="s">
        <v>925</v>
      </c>
    </row>
    <row r="12">
      <c r="A12" s="143" t="s">
        <v>935</v>
      </c>
      <c r="B12" s="144">
        <v>43291.0</v>
      </c>
      <c r="C12" s="99" t="s">
        <v>925</v>
      </c>
    </row>
    <row r="13">
      <c r="A13" s="143" t="s">
        <v>936</v>
      </c>
      <c r="B13" s="144">
        <v>43292.0</v>
      </c>
      <c r="C13" s="99" t="s">
        <v>925</v>
      </c>
    </row>
    <row r="14">
      <c r="A14" s="143" t="s">
        <v>937</v>
      </c>
      <c r="B14" s="144">
        <v>43356.0</v>
      </c>
      <c r="C14" s="99" t="s">
        <v>938</v>
      </c>
    </row>
    <row r="15">
      <c r="A15" s="143" t="s">
        <v>939</v>
      </c>
      <c r="B15" s="144">
        <v>43367.0</v>
      </c>
      <c r="C15" s="99" t="s">
        <v>938</v>
      </c>
    </row>
    <row r="16">
      <c r="A16" s="143" t="s">
        <v>940</v>
      </c>
      <c r="B16" s="144">
        <v>43438.0</v>
      </c>
      <c r="C16" s="99" t="s">
        <v>925</v>
      </c>
    </row>
    <row r="17">
      <c r="A17" s="143" t="s">
        <v>941</v>
      </c>
      <c r="B17" s="144">
        <v>43691.0</v>
      </c>
      <c r="C17" s="99" t="s">
        <v>925</v>
      </c>
    </row>
    <row r="18">
      <c r="A18" s="143" t="s">
        <v>942</v>
      </c>
      <c r="B18" s="144">
        <v>43864.0</v>
      </c>
      <c r="C18" s="99" t="s">
        <v>943</v>
      </c>
    </row>
    <row r="19">
      <c r="A19" s="146"/>
      <c r="B19" s="147"/>
    </row>
    <row r="20">
      <c r="A20" s="146"/>
      <c r="B20" s="147"/>
    </row>
    <row r="21">
      <c r="A21" s="146"/>
      <c r="B21" s="147"/>
    </row>
    <row r="22">
      <c r="A22" s="146"/>
      <c r="B22" s="147"/>
    </row>
    <row r="23">
      <c r="A23" s="146"/>
      <c r="B23" s="147"/>
    </row>
    <row r="24">
      <c r="A24" s="146"/>
      <c r="B24" s="147"/>
    </row>
    <row r="25">
      <c r="A25" s="146"/>
      <c r="B25" s="147"/>
    </row>
    <row r="26">
      <c r="A26" s="146"/>
      <c r="B26" s="147"/>
    </row>
    <row r="27">
      <c r="A27" s="146"/>
      <c r="B27" s="147"/>
    </row>
    <row r="28">
      <c r="A28" s="146"/>
      <c r="B28" s="147"/>
    </row>
    <row r="29">
      <c r="A29" s="146"/>
      <c r="B29" s="147"/>
    </row>
    <row r="30">
      <c r="A30" s="146"/>
      <c r="B30" s="147"/>
    </row>
    <row r="31">
      <c r="A31" s="146"/>
      <c r="B31" s="147"/>
    </row>
    <row r="32">
      <c r="A32" s="146"/>
      <c r="B32" s="147"/>
    </row>
    <row r="33">
      <c r="A33" s="146"/>
      <c r="B33" s="147"/>
    </row>
    <row r="34">
      <c r="A34" s="146"/>
      <c r="B34" s="147"/>
    </row>
    <row r="35">
      <c r="A35" s="146"/>
      <c r="B35" s="147"/>
    </row>
    <row r="36">
      <c r="A36" s="146"/>
      <c r="B36" s="147"/>
    </row>
    <row r="37">
      <c r="A37" s="146"/>
      <c r="B37" s="147"/>
    </row>
    <row r="38">
      <c r="A38" s="146"/>
      <c r="B38" s="147"/>
    </row>
    <row r="39">
      <c r="A39" s="146"/>
      <c r="B39" s="147"/>
    </row>
    <row r="40">
      <c r="A40" s="146"/>
      <c r="B40" s="147"/>
    </row>
    <row r="41">
      <c r="A41" s="146"/>
      <c r="B41" s="147"/>
    </row>
    <row r="42">
      <c r="A42" s="146"/>
      <c r="B42" s="147"/>
    </row>
    <row r="43">
      <c r="A43" s="146"/>
      <c r="B43" s="147"/>
    </row>
    <row r="44">
      <c r="A44" s="146"/>
      <c r="B44" s="147"/>
    </row>
    <row r="45">
      <c r="A45" s="146"/>
      <c r="B45" s="147"/>
    </row>
    <row r="46">
      <c r="A46" s="146"/>
      <c r="B46" s="147"/>
    </row>
    <row r="47">
      <c r="A47" s="146"/>
      <c r="B47" s="147"/>
    </row>
    <row r="48">
      <c r="A48" s="146"/>
      <c r="B48" s="147"/>
    </row>
    <row r="49">
      <c r="A49" s="146"/>
      <c r="B49" s="147"/>
    </row>
    <row r="50">
      <c r="A50" s="146"/>
      <c r="B50" s="147"/>
    </row>
    <row r="51">
      <c r="A51" s="146"/>
      <c r="B51" s="147"/>
    </row>
    <row r="52">
      <c r="A52" s="146"/>
      <c r="B52" s="147"/>
    </row>
    <row r="53">
      <c r="A53" s="146"/>
      <c r="B53" s="147"/>
    </row>
    <row r="54">
      <c r="A54" s="146"/>
      <c r="B54" s="147"/>
    </row>
    <row r="55">
      <c r="A55" s="146"/>
      <c r="B55" s="147"/>
    </row>
    <row r="56">
      <c r="A56" s="146"/>
      <c r="B56" s="147"/>
    </row>
    <row r="57">
      <c r="A57" s="146"/>
      <c r="B57" s="147"/>
    </row>
    <row r="58">
      <c r="A58" s="146"/>
      <c r="B58" s="147"/>
    </row>
    <row r="59">
      <c r="A59" s="146"/>
      <c r="B59" s="147"/>
    </row>
    <row r="60">
      <c r="A60" s="146"/>
      <c r="B60" s="147"/>
    </row>
    <row r="61">
      <c r="A61" s="146"/>
      <c r="B61" s="147"/>
    </row>
    <row r="62">
      <c r="A62" s="146"/>
      <c r="B62" s="147"/>
    </row>
    <row r="63">
      <c r="A63" s="146"/>
      <c r="B63" s="147"/>
    </row>
    <row r="64">
      <c r="A64" s="146"/>
      <c r="B64" s="147"/>
    </row>
    <row r="65">
      <c r="A65" s="146"/>
      <c r="B65" s="147"/>
    </row>
    <row r="66">
      <c r="A66" s="146"/>
      <c r="B66" s="147"/>
    </row>
    <row r="67">
      <c r="A67" s="146"/>
      <c r="B67" s="147"/>
    </row>
    <row r="68">
      <c r="A68" s="146"/>
      <c r="B68" s="147"/>
    </row>
    <row r="69">
      <c r="A69" s="146"/>
      <c r="B69" s="147"/>
    </row>
    <row r="70">
      <c r="A70" s="146"/>
      <c r="B70" s="147"/>
    </row>
    <row r="71">
      <c r="A71" s="146"/>
      <c r="B71" s="147"/>
    </row>
    <row r="72">
      <c r="A72" s="146"/>
      <c r="B72" s="147"/>
    </row>
    <row r="73">
      <c r="A73" s="146"/>
      <c r="B73" s="147"/>
    </row>
    <row r="74">
      <c r="A74" s="146"/>
      <c r="B74" s="147"/>
    </row>
    <row r="75">
      <c r="A75" s="146"/>
      <c r="B75" s="147"/>
    </row>
    <row r="76">
      <c r="A76" s="146"/>
      <c r="B76" s="147"/>
    </row>
    <row r="77">
      <c r="A77" s="146"/>
      <c r="B77" s="147"/>
    </row>
    <row r="78">
      <c r="A78" s="146"/>
      <c r="B78" s="147"/>
    </row>
    <row r="79">
      <c r="A79" s="146"/>
      <c r="B79" s="147"/>
    </row>
    <row r="80">
      <c r="A80" s="146"/>
      <c r="B80" s="147"/>
    </row>
    <row r="81">
      <c r="A81" s="146"/>
      <c r="B81" s="147"/>
    </row>
    <row r="82">
      <c r="A82" s="146"/>
      <c r="B82" s="147"/>
    </row>
    <row r="83">
      <c r="A83" s="146"/>
      <c r="B83" s="147"/>
    </row>
    <row r="84">
      <c r="A84" s="146"/>
      <c r="B84" s="147"/>
    </row>
    <row r="85">
      <c r="A85" s="146"/>
      <c r="B85" s="147"/>
    </row>
    <row r="86">
      <c r="A86" s="146"/>
      <c r="B86" s="147"/>
    </row>
    <row r="87">
      <c r="A87" s="146"/>
      <c r="B87" s="147"/>
    </row>
    <row r="88">
      <c r="A88" s="146"/>
      <c r="B88" s="147"/>
    </row>
    <row r="89">
      <c r="A89" s="146"/>
      <c r="B89" s="147"/>
    </row>
    <row r="90">
      <c r="A90" s="146"/>
      <c r="B90" s="147"/>
    </row>
    <row r="91">
      <c r="A91" s="146"/>
      <c r="B91" s="147"/>
    </row>
    <row r="92">
      <c r="A92" s="146"/>
      <c r="B92" s="147"/>
    </row>
    <row r="93">
      <c r="A93" s="146"/>
      <c r="B93" s="147"/>
    </row>
    <row r="94">
      <c r="A94" s="146"/>
      <c r="B94" s="147"/>
    </row>
    <row r="95">
      <c r="A95" s="146"/>
      <c r="B95" s="147"/>
    </row>
    <row r="96">
      <c r="A96" s="146"/>
      <c r="B96" s="147"/>
    </row>
    <row r="97">
      <c r="A97" s="146"/>
      <c r="B97" s="147"/>
    </row>
    <row r="98">
      <c r="A98" s="146"/>
      <c r="B98" s="147"/>
    </row>
    <row r="99">
      <c r="A99" s="146"/>
      <c r="B99" s="147"/>
    </row>
    <row r="100">
      <c r="A100" s="146"/>
      <c r="B100" s="147"/>
    </row>
    <row r="101">
      <c r="A101" s="146"/>
      <c r="B101" s="147"/>
    </row>
    <row r="102">
      <c r="A102" s="146"/>
      <c r="B102" s="147"/>
    </row>
    <row r="103">
      <c r="A103" s="146"/>
      <c r="B103" s="147"/>
    </row>
    <row r="104">
      <c r="A104" s="146"/>
      <c r="B104" s="147"/>
    </row>
    <row r="105">
      <c r="A105" s="146"/>
      <c r="B105" s="147"/>
    </row>
    <row r="106">
      <c r="A106" s="146"/>
      <c r="B106" s="147"/>
    </row>
    <row r="107">
      <c r="A107" s="146"/>
      <c r="B107" s="147"/>
    </row>
    <row r="108">
      <c r="A108" s="146"/>
      <c r="B108" s="147"/>
    </row>
    <row r="109">
      <c r="A109" s="146"/>
      <c r="B109" s="147"/>
    </row>
    <row r="110">
      <c r="A110" s="146"/>
      <c r="B110" s="147"/>
    </row>
    <row r="111">
      <c r="A111" s="146"/>
      <c r="B111" s="147"/>
    </row>
    <row r="112">
      <c r="A112" s="146"/>
      <c r="B112" s="147"/>
    </row>
    <row r="113">
      <c r="A113" s="146"/>
      <c r="B113" s="147"/>
    </row>
    <row r="114">
      <c r="A114" s="146"/>
      <c r="B114" s="147"/>
    </row>
    <row r="115">
      <c r="A115" s="146"/>
      <c r="B115" s="147"/>
    </row>
    <row r="116">
      <c r="A116" s="146"/>
      <c r="B116" s="147"/>
    </row>
    <row r="117">
      <c r="A117" s="146"/>
      <c r="B117" s="147"/>
    </row>
    <row r="118">
      <c r="A118" s="146"/>
      <c r="B118" s="147"/>
    </row>
    <row r="119">
      <c r="A119" s="146"/>
      <c r="B119" s="147"/>
    </row>
    <row r="120">
      <c r="A120" s="146"/>
      <c r="B120" s="147"/>
    </row>
    <row r="121">
      <c r="A121" s="146"/>
      <c r="B121" s="147"/>
    </row>
    <row r="122">
      <c r="A122" s="146"/>
      <c r="B122" s="147"/>
    </row>
    <row r="123">
      <c r="A123" s="146"/>
      <c r="B123" s="147"/>
    </row>
    <row r="124">
      <c r="A124" s="146"/>
      <c r="B124" s="147"/>
    </row>
    <row r="125">
      <c r="A125" s="146"/>
      <c r="B125" s="147"/>
    </row>
    <row r="126">
      <c r="A126" s="146"/>
      <c r="B126" s="147"/>
    </row>
    <row r="127">
      <c r="A127" s="146"/>
      <c r="B127" s="147"/>
    </row>
    <row r="128">
      <c r="A128" s="146"/>
      <c r="B128" s="147"/>
    </row>
    <row r="129">
      <c r="A129" s="146"/>
      <c r="B129" s="147"/>
    </row>
    <row r="130">
      <c r="A130" s="146"/>
      <c r="B130" s="147"/>
    </row>
    <row r="131">
      <c r="A131" s="146"/>
      <c r="B131" s="147"/>
    </row>
    <row r="132">
      <c r="A132" s="146"/>
      <c r="B132" s="147"/>
    </row>
    <row r="133">
      <c r="A133" s="146"/>
      <c r="B133" s="147"/>
    </row>
    <row r="134">
      <c r="A134" s="146"/>
      <c r="B134" s="147"/>
    </row>
    <row r="135">
      <c r="A135" s="146"/>
      <c r="B135" s="147"/>
    </row>
    <row r="136">
      <c r="A136" s="146"/>
      <c r="B136" s="147"/>
    </row>
    <row r="137">
      <c r="A137" s="146"/>
      <c r="B137" s="147"/>
    </row>
    <row r="138">
      <c r="A138" s="146"/>
      <c r="B138" s="147"/>
    </row>
    <row r="139">
      <c r="A139" s="146"/>
      <c r="B139" s="147"/>
    </row>
    <row r="140">
      <c r="A140" s="146"/>
      <c r="B140" s="147"/>
    </row>
    <row r="141">
      <c r="A141" s="146"/>
      <c r="B141" s="147"/>
    </row>
    <row r="142">
      <c r="A142" s="146"/>
      <c r="B142" s="147"/>
    </row>
    <row r="143">
      <c r="A143" s="146"/>
      <c r="B143" s="147"/>
    </row>
    <row r="144">
      <c r="A144" s="146"/>
      <c r="B144" s="147"/>
    </row>
    <row r="145">
      <c r="A145" s="146"/>
      <c r="B145" s="147"/>
    </row>
    <row r="146">
      <c r="A146" s="146"/>
      <c r="B146" s="147"/>
    </row>
    <row r="147">
      <c r="A147" s="146"/>
      <c r="B147" s="147"/>
    </row>
    <row r="148">
      <c r="A148" s="146"/>
      <c r="B148" s="147"/>
    </row>
    <row r="149">
      <c r="A149" s="146"/>
      <c r="B149" s="147"/>
    </row>
    <row r="150">
      <c r="A150" s="146"/>
      <c r="B150" s="147"/>
    </row>
    <row r="151">
      <c r="A151" s="146"/>
      <c r="B151" s="147"/>
    </row>
    <row r="152">
      <c r="A152" s="146"/>
      <c r="B152" s="147"/>
    </row>
    <row r="153">
      <c r="A153" s="146"/>
      <c r="B153" s="147"/>
    </row>
    <row r="154">
      <c r="A154" s="146"/>
      <c r="B154" s="147"/>
    </row>
    <row r="155">
      <c r="A155" s="146"/>
      <c r="B155" s="147"/>
    </row>
    <row r="156">
      <c r="A156" s="146"/>
      <c r="B156" s="147"/>
    </row>
    <row r="157">
      <c r="A157" s="146"/>
      <c r="B157" s="147"/>
    </row>
    <row r="158">
      <c r="A158" s="146"/>
      <c r="B158" s="147"/>
    </row>
    <row r="159">
      <c r="A159" s="146"/>
      <c r="B159" s="147"/>
    </row>
    <row r="160">
      <c r="A160" s="146"/>
      <c r="B160" s="147"/>
    </row>
    <row r="161">
      <c r="A161" s="146"/>
      <c r="B161" s="147"/>
    </row>
    <row r="162">
      <c r="A162" s="146"/>
      <c r="B162" s="147"/>
    </row>
    <row r="163">
      <c r="A163" s="146"/>
      <c r="B163" s="147"/>
    </row>
    <row r="164">
      <c r="A164" s="146"/>
      <c r="B164" s="147"/>
    </row>
    <row r="165">
      <c r="A165" s="146"/>
      <c r="B165" s="147"/>
    </row>
    <row r="166">
      <c r="A166" s="146"/>
      <c r="B166" s="147"/>
    </row>
    <row r="167">
      <c r="A167" s="146"/>
      <c r="B167" s="147"/>
    </row>
    <row r="168">
      <c r="A168" s="146"/>
      <c r="B168" s="147"/>
    </row>
    <row r="169">
      <c r="A169" s="146"/>
      <c r="B169" s="147"/>
    </row>
    <row r="170">
      <c r="A170" s="146"/>
      <c r="B170" s="147"/>
    </row>
    <row r="171">
      <c r="A171" s="146"/>
      <c r="B171" s="147"/>
    </row>
    <row r="172">
      <c r="A172" s="146"/>
      <c r="B172" s="147"/>
    </row>
    <row r="173">
      <c r="A173" s="146"/>
      <c r="B173" s="147"/>
    </row>
    <row r="174">
      <c r="A174" s="146"/>
      <c r="B174" s="147"/>
    </row>
    <row r="175">
      <c r="A175" s="146"/>
      <c r="B175" s="147"/>
    </row>
    <row r="176">
      <c r="A176" s="146"/>
      <c r="B176" s="147"/>
    </row>
    <row r="177">
      <c r="A177" s="146"/>
      <c r="B177" s="147"/>
    </row>
    <row r="178">
      <c r="A178" s="146"/>
      <c r="B178" s="147"/>
    </row>
    <row r="179">
      <c r="A179" s="146"/>
      <c r="B179" s="147"/>
    </row>
    <row r="180">
      <c r="A180" s="146"/>
      <c r="B180" s="147"/>
    </row>
    <row r="181">
      <c r="A181" s="146"/>
      <c r="B181" s="147"/>
    </row>
    <row r="182">
      <c r="A182" s="146"/>
      <c r="B182" s="147"/>
    </row>
    <row r="183">
      <c r="A183" s="146"/>
      <c r="B183" s="147"/>
    </row>
    <row r="184">
      <c r="A184" s="146"/>
      <c r="B184" s="147"/>
    </row>
    <row r="185">
      <c r="A185" s="146"/>
      <c r="B185" s="147"/>
    </row>
    <row r="186">
      <c r="A186" s="146"/>
      <c r="B186" s="147"/>
    </row>
    <row r="187">
      <c r="A187" s="146"/>
      <c r="B187" s="147"/>
    </row>
    <row r="188">
      <c r="A188" s="146"/>
      <c r="B188" s="147"/>
    </row>
    <row r="189">
      <c r="A189" s="146"/>
      <c r="B189" s="147"/>
    </row>
    <row r="190">
      <c r="A190" s="146"/>
      <c r="B190" s="147"/>
    </row>
    <row r="191">
      <c r="A191" s="146"/>
      <c r="B191" s="147"/>
    </row>
    <row r="192">
      <c r="A192" s="146"/>
      <c r="B192" s="147"/>
    </row>
    <row r="193">
      <c r="A193" s="146"/>
      <c r="B193" s="147"/>
    </row>
    <row r="194">
      <c r="A194" s="146"/>
      <c r="B194" s="147"/>
    </row>
    <row r="195">
      <c r="A195" s="146"/>
      <c r="B195" s="147"/>
    </row>
    <row r="196">
      <c r="A196" s="146"/>
      <c r="B196" s="147"/>
    </row>
    <row r="197">
      <c r="A197" s="146"/>
      <c r="B197" s="147"/>
    </row>
    <row r="198">
      <c r="A198" s="146"/>
      <c r="B198" s="147"/>
    </row>
    <row r="199">
      <c r="A199" s="146"/>
      <c r="B199" s="147"/>
    </row>
    <row r="200">
      <c r="A200" s="146"/>
      <c r="B200" s="147"/>
    </row>
    <row r="201">
      <c r="A201" s="146"/>
      <c r="B201" s="147"/>
    </row>
    <row r="202">
      <c r="A202" s="146"/>
      <c r="B202" s="147"/>
    </row>
    <row r="203">
      <c r="A203" s="146"/>
      <c r="B203" s="147"/>
    </row>
    <row r="204">
      <c r="A204" s="146"/>
      <c r="B204" s="147"/>
    </row>
    <row r="205">
      <c r="A205" s="146"/>
      <c r="B205" s="147"/>
    </row>
    <row r="206">
      <c r="A206" s="146"/>
      <c r="B206" s="147"/>
    </row>
    <row r="207">
      <c r="A207" s="146"/>
      <c r="B207" s="147"/>
    </row>
    <row r="208">
      <c r="A208" s="146"/>
      <c r="B208" s="147"/>
    </row>
    <row r="209">
      <c r="A209" s="146"/>
      <c r="B209" s="147"/>
    </row>
    <row r="210">
      <c r="A210" s="146"/>
      <c r="B210" s="147"/>
    </row>
    <row r="211">
      <c r="A211" s="146"/>
      <c r="B211" s="147"/>
    </row>
    <row r="212">
      <c r="A212" s="146"/>
      <c r="B212" s="147"/>
    </row>
    <row r="213">
      <c r="A213" s="146"/>
      <c r="B213" s="147"/>
    </row>
    <row r="214">
      <c r="A214" s="146"/>
      <c r="B214" s="147"/>
    </row>
    <row r="215">
      <c r="A215" s="146"/>
      <c r="B215" s="147"/>
    </row>
    <row r="216">
      <c r="A216" s="146"/>
      <c r="B216" s="147"/>
    </row>
    <row r="217">
      <c r="A217" s="146"/>
      <c r="B217" s="147"/>
    </row>
    <row r="218">
      <c r="A218" s="146"/>
      <c r="B218" s="147"/>
    </row>
    <row r="219">
      <c r="A219" s="146"/>
      <c r="B219" s="147"/>
    </row>
    <row r="220">
      <c r="A220" s="146"/>
      <c r="B220" s="147"/>
    </row>
    <row r="221">
      <c r="A221" s="146"/>
      <c r="B221" s="147"/>
    </row>
    <row r="222">
      <c r="A222" s="146"/>
      <c r="B222" s="147"/>
    </row>
    <row r="223">
      <c r="A223" s="146"/>
      <c r="B223" s="147"/>
    </row>
    <row r="224">
      <c r="A224" s="146"/>
      <c r="B224" s="147"/>
    </row>
    <row r="225">
      <c r="A225" s="146"/>
      <c r="B225" s="147"/>
    </row>
    <row r="226">
      <c r="A226" s="146"/>
      <c r="B226" s="147"/>
    </row>
    <row r="227">
      <c r="A227" s="146"/>
      <c r="B227" s="147"/>
    </row>
    <row r="228">
      <c r="A228" s="146"/>
      <c r="B228" s="147"/>
    </row>
    <row r="229">
      <c r="A229" s="146"/>
      <c r="B229" s="147"/>
    </row>
    <row r="230">
      <c r="A230" s="146"/>
      <c r="B230" s="147"/>
    </row>
    <row r="231">
      <c r="A231" s="146"/>
      <c r="B231" s="147"/>
    </row>
    <row r="232">
      <c r="A232" s="146"/>
      <c r="B232" s="147"/>
    </row>
    <row r="233">
      <c r="A233" s="146"/>
      <c r="B233" s="147"/>
    </row>
    <row r="234">
      <c r="A234" s="146"/>
      <c r="B234" s="147"/>
    </row>
    <row r="235">
      <c r="A235" s="146"/>
      <c r="B235" s="147"/>
    </row>
    <row r="236">
      <c r="A236" s="146"/>
      <c r="B236" s="147"/>
    </row>
    <row r="237">
      <c r="A237" s="146"/>
      <c r="B237" s="147"/>
    </row>
    <row r="238">
      <c r="A238" s="146"/>
      <c r="B238" s="147"/>
    </row>
    <row r="239">
      <c r="A239" s="146"/>
      <c r="B239" s="147"/>
    </row>
    <row r="240">
      <c r="A240" s="146"/>
      <c r="B240" s="147"/>
    </row>
    <row r="241">
      <c r="A241" s="146"/>
      <c r="B241" s="147"/>
    </row>
    <row r="242">
      <c r="A242" s="146"/>
      <c r="B242" s="147"/>
    </row>
    <row r="243">
      <c r="A243" s="146"/>
      <c r="B243" s="147"/>
    </row>
    <row r="244">
      <c r="A244" s="146"/>
      <c r="B244" s="147"/>
    </row>
    <row r="245">
      <c r="A245" s="146"/>
      <c r="B245" s="147"/>
    </row>
    <row r="246">
      <c r="A246" s="146"/>
      <c r="B246" s="147"/>
    </row>
    <row r="247">
      <c r="A247" s="146"/>
      <c r="B247" s="147"/>
    </row>
    <row r="248">
      <c r="A248" s="146"/>
      <c r="B248" s="147"/>
    </row>
    <row r="249">
      <c r="A249" s="146"/>
      <c r="B249" s="147"/>
    </row>
    <row r="250">
      <c r="A250" s="146"/>
      <c r="B250" s="147"/>
    </row>
    <row r="251">
      <c r="A251" s="146"/>
      <c r="B251" s="147"/>
    </row>
    <row r="252">
      <c r="A252" s="146"/>
      <c r="B252" s="147"/>
    </row>
    <row r="253">
      <c r="A253" s="146"/>
      <c r="B253" s="147"/>
    </row>
    <row r="254">
      <c r="A254" s="146"/>
      <c r="B254" s="147"/>
    </row>
    <row r="255">
      <c r="A255" s="146"/>
      <c r="B255" s="147"/>
    </row>
    <row r="256">
      <c r="A256" s="146"/>
      <c r="B256" s="147"/>
    </row>
    <row r="257">
      <c r="A257" s="146"/>
      <c r="B257" s="147"/>
    </row>
    <row r="258">
      <c r="A258" s="146"/>
      <c r="B258" s="147"/>
    </row>
    <row r="259">
      <c r="A259" s="146"/>
      <c r="B259" s="147"/>
    </row>
    <row r="260">
      <c r="A260" s="146"/>
      <c r="B260" s="147"/>
    </row>
    <row r="261">
      <c r="A261" s="146"/>
      <c r="B261" s="147"/>
    </row>
    <row r="262">
      <c r="A262" s="146"/>
      <c r="B262" s="147"/>
    </row>
    <row r="263">
      <c r="A263" s="146"/>
      <c r="B263" s="147"/>
    </row>
    <row r="264">
      <c r="A264" s="146"/>
      <c r="B264" s="147"/>
    </row>
    <row r="265">
      <c r="A265" s="146"/>
      <c r="B265" s="147"/>
    </row>
    <row r="266">
      <c r="A266" s="146"/>
      <c r="B266" s="147"/>
    </row>
    <row r="267">
      <c r="A267" s="146"/>
      <c r="B267" s="147"/>
    </row>
    <row r="268">
      <c r="A268" s="146"/>
      <c r="B268" s="147"/>
    </row>
    <row r="269">
      <c r="A269" s="146"/>
      <c r="B269" s="147"/>
    </row>
    <row r="270">
      <c r="A270" s="146"/>
      <c r="B270" s="147"/>
    </row>
    <row r="271">
      <c r="A271" s="146"/>
      <c r="B271" s="147"/>
    </row>
    <row r="272">
      <c r="A272" s="146"/>
      <c r="B272" s="147"/>
    </row>
    <row r="273">
      <c r="A273" s="146"/>
      <c r="B273" s="147"/>
    </row>
    <row r="274">
      <c r="A274" s="146"/>
      <c r="B274" s="147"/>
    </row>
    <row r="275">
      <c r="A275" s="146"/>
      <c r="B275" s="147"/>
    </row>
    <row r="276">
      <c r="A276" s="146"/>
      <c r="B276" s="147"/>
    </row>
    <row r="277">
      <c r="A277" s="146"/>
      <c r="B277" s="147"/>
    </row>
    <row r="278">
      <c r="A278" s="146"/>
      <c r="B278" s="147"/>
    </row>
    <row r="279">
      <c r="A279" s="146"/>
      <c r="B279" s="147"/>
    </row>
    <row r="280">
      <c r="A280" s="146"/>
      <c r="B280" s="147"/>
    </row>
    <row r="281">
      <c r="A281" s="146"/>
      <c r="B281" s="147"/>
    </row>
    <row r="282">
      <c r="A282" s="146"/>
      <c r="B282" s="147"/>
    </row>
    <row r="283">
      <c r="A283" s="146"/>
      <c r="B283" s="147"/>
    </row>
    <row r="284">
      <c r="A284" s="146"/>
      <c r="B284" s="147"/>
    </row>
    <row r="285">
      <c r="A285" s="146"/>
      <c r="B285" s="147"/>
    </row>
    <row r="286">
      <c r="A286" s="146"/>
      <c r="B286" s="147"/>
    </row>
    <row r="287">
      <c r="A287" s="146"/>
      <c r="B287" s="147"/>
    </row>
    <row r="288">
      <c r="A288" s="146"/>
      <c r="B288" s="147"/>
    </row>
    <row r="289">
      <c r="A289" s="146"/>
      <c r="B289" s="147"/>
    </row>
    <row r="290">
      <c r="A290" s="146"/>
      <c r="B290" s="147"/>
    </row>
    <row r="291">
      <c r="A291" s="146"/>
      <c r="B291" s="147"/>
    </row>
    <row r="292">
      <c r="A292" s="146"/>
      <c r="B292" s="147"/>
    </row>
    <row r="293">
      <c r="A293" s="146"/>
      <c r="B293" s="147"/>
    </row>
    <row r="294">
      <c r="A294" s="146"/>
      <c r="B294" s="147"/>
    </row>
    <row r="295">
      <c r="A295" s="146"/>
      <c r="B295" s="147"/>
    </row>
    <row r="296">
      <c r="A296" s="146"/>
      <c r="B296" s="147"/>
    </row>
    <row r="297">
      <c r="A297" s="146"/>
      <c r="B297" s="147"/>
    </row>
    <row r="298">
      <c r="A298" s="146"/>
      <c r="B298" s="147"/>
    </row>
    <row r="299">
      <c r="A299" s="146"/>
      <c r="B299" s="147"/>
    </row>
    <row r="300">
      <c r="A300" s="146"/>
      <c r="B300" s="147"/>
    </row>
    <row r="301">
      <c r="A301" s="146"/>
      <c r="B301" s="147"/>
    </row>
    <row r="302">
      <c r="A302" s="146"/>
      <c r="B302" s="147"/>
    </row>
    <row r="303">
      <c r="A303" s="146"/>
      <c r="B303" s="147"/>
    </row>
    <row r="304">
      <c r="A304" s="146"/>
      <c r="B304" s="147"/>
    </row>
    <row r="305">
      <c r="A305" s="146"/>
      <c r="B305" s="147"/>
    </row>
    <row r="306">
      <c r="A306" s="146"/>
      <c r="B306" s="147"/>
    </row>
    <row r="307">
      <c r="A307" s="146"/>
      <c r="B307" s="147"/>
    </row>
    <row r="308">
      <c r="A308" s="146"/>
      <c r="B308" s="147"/>
    </row>
    <row r="309">
      <c r="A309" s="146"/>
      <c r="B309" s="147"/>
    </row>
    <row r="310">
      <c r="A310" s="146"/>
      <c r="B310" s="147"/>
    </row>
    <row r="311">
      <c r="A311" s="146"/>
      <c r="B311" s="147"/>
    </row>
    <row r="312">
      <c r="A312" s="146"/>
      <c r="B312" s="147"/>
    </row>
    <row r="313">
      <c r="A313" s="146"/>
      <c r="B313" s="147"/>
    </row>
    <row r="314">
      <c r="A314" s="146"/>
      <c r="B314" s="147"/>
    </row>
    <row r="315">
      <c r="A315" s="146"/>
      <c r="B315" s="147"/>
    </row>
    <row r="316">
      <c r="A316" s="146"/>
      <c r="B316" s="147"/>
    </row>
    <row r="317">
      <c r="A317" s="146"/>
      <c r="B317" s="147"/>
    </row>
    <row r="318">
      <c r="A318" s="146"/>
      <c r="B318" s="147"/>
    </row>
    <row r="319">
      <c r="A319" s="146"/>
      <c r="B319" s="147"/>
    </row>
    <row r="320">
      <c r="A320" s="146"/>
      <c r="B320" s="147"/>
    </row>
    <row r="321">
      <c r="A321" s="146"/>
      <c r="B321" s="147"/>
    </row>
    <row r="322">
      <c r="A322" s="146"/>
      <c r="B322" s="147"/>
    </row>
    <row r="323">
      <c r="A323" s="146"/>
      <c r="B323" s="147"/>
    </row>
    <row r="324">
      <c r="A324" s="146"/>
      <c r="B324" s="147"/>
    </row>
    <row r="325">
      <c r="A325" s="146"/>
      <c r="B325" s="147"/>
    </row>
    <row r="326">
      <c r="A326" s="146"/>
      <c r="B326" s="147"/>
    </row>
    <row r="327">
      <c r="A327" s="146"/>
      <c r="B327" s="147"/>
    </row>
    <row r="328">
      <c r="A328" s="146"/>
      <c r="B328" s="147"/>
    </row>
    <row r="329">
      <c r="A329" s="146"/>
      <c r="B329" s="147"/>
    </row>
    <row r="330">
      <c r="A330" s="146"/>
      <c r="B330" s="147"/>
    </row>
    <row r="331">
      <c r="A331" s="146"/>
      <c r="B331" s="147"/>
    </row>
    <row r="332">
      <c r="A332" s="146"/>
      <c r="B332" s="147"/>
    </row>
    <row r="333">
      <c r="A333" s="146"/>
      <c r="B333" s="147"/>
    </row>
    <row r="334">
      <c r="A334" s="146"/>
      <c r="B334" s="147"/>
    </row>
    <row r="335">
      <c r="A335" s="146"/>
      <c r="B335" s="147"/>
    </row>
    <row r="336">
      <c r="A336" s="146"/>
      <c r="B336" s="147"/>
    </row>
    <row r="337">
      <c r="A337" s="146"/>
      <c r="B337" s="147"/>
    </row>
    <row r="338">
      <c r="A338" s="146"/>
      <c r="B338" s="147"/>
    </row>
    <row r="339">
      <c r="A339" s="146"/>
      <c r="B339" s="147"/>
    </row>
    <row r="340">
      <c r="A340" s="146"/>
      <c r="B340" s="147"/>
    </row>
    <row r="341">
      <c r="A341" s="146"/>
      <c r="B341" s="147"/>
    </row>
    <row r="342">
      <c r="A342" s="146"/>
      <c r="B342" s="147"/>
    </row>
    <row r="343">
      <c r="A343" s="146"/>
      <c r="B343" s="147"/>
    </row>
    <row r="344">
      <c r="A344" s="146"/>
      <c r="B344" s="147"/>
    </row>
    <row r="345">
      <c r="A345" s="146"/>
      <c r="B345" s="147"/>
    </row>
    <row r="346">
      <c r="A346" s="146"/>
      <c r="B346" s="147"/>
    </row>
    <row r="347">
      <c r="A347" s="146"/>
      <c r="B347" s="147"/>
    </row>
    <row r="348">
      <c r="A348" s="146"/>
      <c r="B348" s="147"/>
    </row>
    <row r="349">
      <c r="A349" s="146"/>
      <c r="B349" s="147"/>
    </row>
    <row r="350">
      <c r="A350" s="146"/>
      <c r="B350" s="147"/>
    </row>
    <row r="351">
      <c r="A351" s="146"/>
      <c r="B351" s="147"/>
    </row>
    <row r="352">
      <c r="A352" s="146"/>
      <c r="B352" s="147"/>
    </row>
    <row r="353">
      <c r="A353" s="146"/>
      <c r="B353" s="147"/>
    </row>
    <row r="354">
      <c r="A354" s="146"/>
      <c r="B354" s="147"/>
    </row>
    <row r="355">
      <c r="A355" s="146"/>
      <c r="B355" s="147"/>
    </row>
    <row r="356">
      <c r="A356" s="146"/>
      <c r="B356" s="147"/>
    </row>
    <row r="357">
      <c r="A357" s="146"/>
      <c r="B357" s="147"/>
    </row>
    <row r="358">
      <c r="A358" s="146"/>
      <c r="B358" s="147"/>
    </row>
    <row r="359">
      <c r="A359" s="146"/>
      <c r="B359" s="147"/>
    </row>
    <row r="360">
      <c r="A360" s="146"/>
      <c r="B360" s="147"/>
    </row>
    <row r="361">
      <c r="A361" s="146"/>
      <c r="B361" s="147"/>
    </row>
    <row r="362">
      <c r="A362" s="146"/>
      <c r="B362" s="147"/>
    </row>
    <row r="363">
      <c r="A363" s="146"/>
      <c r="B363" s="147"/>
    </row>
    <row r="364">
      <c r="A364" s="146"/>
      <c r="B364" s="147"/>
    </row>
    <row r="365">
      <c r="A365" s="146"/>
      <c r="B365" s="147"/>
    </row>
    <row r="366">
      <c r="A366" s="146"/>
      <c r="B366" s="147"/>
    </row>
    <row r="367">
      <c r="A367" s="146"/>
      <c r="B367" s="147"/>
    </row>
    <row r="368">
      <c r="A368" s="146"/>
      <c r="B368" s="147"/>
    </row>
    <row r="369">
      <c r="A369" s="146"/>
      <c r="B369" s="147"/>
    </row>
    <row r="370">
      <c r="A370" s="146"/>
      <c r="B370" s="147"/>
    </row>
    <row r="371">
      <c r="A371" s="146"/>
      <c r="B371" s="147"/>
    </row>
    <row r="372">
      <c r="A372" s="146"/>
      <c r="B372" s="147"/>
    </row>
    <row r="373">
      <c r="A373" s="146"/>
      <c r="B373" s="147"/>
    </row>
    <row r="374">
      <c r="A374" s="146"/>
      <c r="B374" s="147"/>
    </row>
    <row r="375">
      <c r="A375" s="146"/>
      <c r="B375" s="147"/>
    </row>
    <row r="376">
      <c r="A376" s="146"/>
      <c r="B376" s="147"/>
    </row>
    <row r="377">
      <c r="A377" s="146"/>
      <c r="B377" s="147"/>
    </row>
    <row r="378">
      <c r="A378" s="146"/>
      <c r="B378" s="147"/>
    </row>
    <row r="379">
      <c r="A379" s="146"/>
      <c r="B379" s="147"/>
    </row>
    <row r="380">
      <c r="A380" s="146"/>
      <c r="B380" s="147"/>
    </row>
    <row r="381">
      <c r="A381" s="146"/>
      <c r="B381" s="147"/>
    </row>
    <row r="382">
      <c r="A382" s="146"/>
      <c r="B382" s="147"/>
    </row>
    <row r="383">
      <c r="A383" s="146"/>
      <c r="B383" s="147"/>
    </row>
    <row r="384">
      <c r="A384" s="146"/>
      <c r="B384" s="147"/>
    </row>
    <row r="385">
      <c r="A385" s="146"/>
      <c r="B385" s="147"/>
    </row>
    <row r="386">
      <c r="A386" s="146"/>
      <c r="B386" s="147"/>
    </row>
    <row r="387">
      <c r="A387" s="146"/>
      <c r="B387" s="147"/>
    </row>
    <row r="388">
      <c r="A388" s="146"/>
      <c r="B388" s="147"/>
    </row>
    <row r="389">
      <c r="A389" s="146"/>
      <c r="B389" s="147"/>
    </row>
    <row r="390">
      <c r="A390" s="146"/>
      <c r="B390" s="147"/>
    </row>
    <row r="391">
      <c r="A391" s="146"/>
      <c r="B391" s="147"/>
    </row>
    <row r="392">
      <c r="A392" s="146"/>
      <c r="B392" s="147"/>
    </row>
    <row r="393">
      <c r="A393" s="146"/>
      <c r="B393" s="147"/>
    </row>
    <row r="394">
      <c r="A394" s="146"/>
      <c r="B394" s="147"/>
    </row>
    <row r="395">
      <c r="A395" s="146"/>
      <c r="B395" s="147"/>
    </row>
    <row r="396">
      <c r="A396" s="146"/>
      <c r="B396" s="147"/>
    </row>
    <row r="397">
      <c r="A397" s="146"/>
      <c r="B397" s="147"/>
    </row>
    <row r="398">
      <c r="A398" s="146"/>
      <c r="B398" s="147"/>
    </row>
    <row r="399">
      <c r="A399" s="146"/>
      <c r="B399" s="147"/>
    </row>
    <row r="400">
      <c r="A400" s="146"/>
      <c r="B400" s="147"/>
    </row>
    <row r="401">
      <c r="A401" s="146"/>
      <c r="B401" s="147"/>
    </row>
    <row r="402">
      <c r="A402" s="146"/>
      <c r="B402" s="147"/>
    </row>
    <row r="403">
      <c r="A403" s="146"/>
      <c r="B403" s="147"/>
    </row>
    <row r="404">
      <c r="A404" s="146"/>
      <c r="B404" s="147"/>
    </row>
    <row r="405">
      <c r="A405" s="146"/>
      <c r="B405" s="147"/>
    </row>
    <row r="406">
      <c r="A406" s="146"/>
      <c r="B406" s="147"/>
    </row>
    <row r="407">
      <c r="A407" s="146"/>
      <c r="B407" s="147"/>
    </row>
    <row r="408">
      <c r="A408" s="146"/>
      <c r="B408" s="147"/>
    </row>
    <row r="409">
      <c r="A409" s="146"/>
      <c r="B409" s="147"/>
    </row>
    <row r="410">
      <c r="A410" s="146"/>
      <c r="B410" s="147"/>
    </row>
    <row r="411">
      <c r="A411" s="146"/>
      <c r="B411" s="147"/>
    </row>
    <row r="412">
      <c r="A412" s="146"/>
      <c r="B412" s="147"/>
    </row>
    <row r="413">
      <c r="A413" s="146"/>
      <c r="B413" s="147"/>
    </row>
    <row r="414">
      <c r="A414" s="146"/>
      <c r="B414" s="147"/>
    </row>
    <row r="415">
      <c r="A415" s="146"/>
      <c r="B415" s="147"/>
    </row>
    <row r="416">
      <c r="A416" s="146"/>
      <c r="B416" s="147"/>
    </row>
    <row r="417">
      <c r="A417" s="146"/>
      <c r="B417" s="147"/>
    </row>
    <row r="418">
      <c r="A418" s="146"/>
      <c r="B418" s="147"/>
    </row>
    <row r="419">
      <c r="A419" s="146"/>
      <c r="B419" s="147"/>
    </row>
    <row r="420">
      <c r="A420" s="146"/>
      <c r="B420" s="147"/>
    </row>
    <row r="421">
      <c r="A421" s="146"/>
      <c r="B421" s="147"/>
    </row>
    <row r="422">
      <c r="A422" s="146"/>
      <c r="B422" s="147"/>
    </row>
    <row r="423">
      <c r="A423" s="146"/>
      <c r="B423" s="147"/>
    </row>
    <row r="424">
      <c r="A424" s="146"/>
      <c r="B424" s="147"/>
    </row>
    <row r="425">
      <c r="A425" s="146"/>
      <c r="B425" s="147"/>
    </row>
    <row r="426">
      <c r="A426" s="146"/>
      <c r="B426" s="147"/>
    </row>
    <row r="427">
      <c r="A427" s="146"/>
      <c r="B427" s="147"/>
    </row>
    <row r="428">
      <c r="A428" s="146"/>
      <c r="B428" s="147"/>
    </row>
    <row r="429">
      <c r="A429" s="146"/>
      <c r="B429" s="147"/>
    </row>
    <row r="430">
      <c r="A430" s="146"/>
      <c r="B430" s="147"/>
    </row>
    <row r="431">
      <c r="A431" s="146"/>
      <c r="B431" s="147"/>
    </row>
    <row r="432">
      <c r="A432" s="146"/>
      <c r="B432" s="147"/>
    </row>
    <row r="433">
      <c r="A433" s="146"/>
      <c r="B433" s="147"/>
    </row>
    <row r="434">
      <c r="A434" s="146"/>
      <c r="B434" s="147"/>
    </row>
    <row r="435">
      <c r="A435" s="146"/>
      <c r="B435" s="147"/>
    </row>
    <row r="436">
      <c r="A436" s="146"/>
      <c r="B436" s="147"/>
    </row>
    <row r="437">
      <c r="A437" s="146"/>
      <c r="B437" s="147"/>
    </row>
    <row r="438">
      <c r="A438" s="146"/>
      <c r="B438" s="147"/>
    </row>
    <row r="439">
      <c r="A439" s="146"/>
      <c r="B439" s="147"/>
    </row>
    <row r="440">
      <c r="A440" s="146"/>
      <c r="B440" s="147"/>
    </row>
    <row r="441">
      <c r="A441" s="146"/>
      <c r="B441" s="147"/>
    </row>
    <row r="442">
      <c r="A442" s="146"/>
      <c r="B442" s="147"/>
    </row>
    <row r="443">
      <c r="A443" s="146"/>
      <c r="B443" s="147"/>
    </row>
    <row r="444">
      <c r="A444" s="146"/>
      <c r="B444" s="147"/>
    </row>
    <row r="445">
      <c r="A445" s="146"/>
      <c r="B445" s="147"/>
    </row>
    <row r="446">
      <c r="A446" s="146"/>
      <c r="B446" s="147"/>
    </row>
    <row r="447">
      <c r="A447" s="146"/>
      <c r="B447" s="147"/>
    </row>
    <row r="448">
      <c r="A448" s="146"/>
      <c r="B448" s="147"/>
    </row>
    <row r="449">
      <c r="A449" s="146"/>
      <c r="B449" s="147"/>
    </row>
    <row r="450">
      <c r="A450" s="146"/>
      <c r="B450" s="147"/>
    </row>
    <row r="451">
      <c r="A451" s="146"/>
      <c r="B451" s="147"/>
    </row>
    <row r="452">
      <c r="A452" s="146"/>
      <c r="B452" s="147"/>
    </row>
    <row r="453">
      <c r="A453" s="146"/>
      <c r="B453" s="147"/>
    </row>
    <row r="454">
      <c r="A454" s="146"/>
      <c r="B454" s="147"/>
    </row>
    <row r="455">
      <c r="A455" s="146"/>
      <c r="B455" s="147"/>
    </row>
    <row r="456">
      <c r="A456" s="146"/>
      <c r="B456" s="147"/>
    </row>
    <row r="457">
      <c r="A457" s="146"/>
      <c r="B457" s="147"/>
    </row>
    <row r="458">
      <c r="A458" s="146"/>
      <c r="B458" s="147"/>
    </row>
    <row r="459">
      <c r="A459" s="146"/>
      <c r="B459" s="147"/>
    </row>
    <row r="460">
      <c r="A460" s="146"/>
      <c r="B460" s="147"/>
    </row>
    <row r="461">
      <c r="A461" s="146"/>
      <c r="B461" s="147"/>
    </row>
    <row r="462">
      <c r="A462" s="146"/>
      <c r="B462" s="147"/>
    </row>
    <row r="463">
      <c r="A463" s="146"/>
      <c r="B463" s="147"/>
    </row>
    <row r="464">
      <c r="A464" s="146"/>
      <c r="B464" s="147"/>
    </row>
    <row r="465">
      <c r="A465" s="146"/>
      <c r="B465" s="147"/>
    </row>
    <row r="466">
      <c r="A466" s="146"/>
      <c r="B466" s="147"/>
    </row>
    <row r="467">
      <c r="A467" s="146"/>
      <c r="B467" s="147"/>
    </row>
    <row r="468">
      <c r="A468" s="146"/>
      <c r="B468" s="147"/>
    </row>
    <row r="469">
      <c r="A469" s="146"/>
      <c r="B469" s="147"/>
    </row>
    <row r="470">
      <c r="A470" s="146"/>
      <c r="B470" s="147"/>
    </row>
    <row r="471">
      <c r="A471" s="146"/>
      <c r="B471" s="147"/>
    </row>
    <row r="472">
      <c r="A472" s="146"/>
      <c r="B472" s="147"/>
    </row>
    <row r="473">
      <c r="A473" s="146"/>
      <c r="B473" s="147"/>
    </row>
    <row r="474">
      <c r="A474" s="146"/>
      <c r="B474" s="147"/>
    </row>
    <row r="475">
      <c r="A475" s="146"/>
      <c r="B475" s="147"/>
    </row>
    <row r="476">
      <c r="A476" s="146"/>
      <c r="B476" s="147"/>
    </row>
    <row r="477">
      <c r="A477" s="146"/>
      <c r="B477" s="147"/>
    </row>
    <row r="478">
      <c r="A478" s="146"/>
      <c r="B478" s="147"/>
    </row>
    <row r="479">
      <c r="A479" s="146"/>
      <c r="B479" s="147"/>
    </row>
    <row r="480">
      <c r="A480" s="146"/>
      <c r="B480" s="147"/>
    </row>
    <row r="481">
      <c r="A481" s="146"/>
      <c r="B481" s="147"/>
    </row>
    <row r="482">
      <c r="A482" s="146"/>
      <c r="B482" s="147"/>
    </row>
    <row r="483">
      <c r="A483" s="146"/>
      <c r="B483" s="147"/>
    </row>
    <row r="484">
      <c r="A484" s="146"/>
      <c r="B484" s="147"/>
    </row>
    <row r="485">
      <c r="A485" s="146"/>
      <c r="B485" s="147"/>
    </row>
    <row r="486">
      <c r="A486" s="146"/>
      <c r="B486" s="147"/>
    </row>
    <row r="487">
      <c r="A487" s="146"/>
      <c r="B487" s="147"/>
    </row>
    <row r="488">
      <c r="A488" s="146"/>
      <c r="B488" s="147"/>
    </row>
    <row r="489">
      <c r="A489" s="146"/>
      <c r="B489" s="147"/>
    </row>
    <row r="490">
      <c r="A490" s="146"/>
      <c r="B490" s="147"/>
    </row>
    <row r="491">
      <c r="A491" s="146"/>
      <c r="B491" s="147"/>
    </row>
    <row r="492">
      <c r="A492" s="146"/>
      <c r="B492" s="147"/>
    </row>
    <row r="493">
      <c r="A493" s="146"/>
      <c r="B493" s="147"/>
    </row>
    <row r="494">
      <c r="A494" s="146"/>
      <c r="B494" s="147"/>
    </row>
    <row r="495">
      <c r="A495" s="146"/>
      <c r="B495" s="147"/>
    </row>
    <row r="496">
      <c r="A496" s="146"/>
      <c r="B496" s="147"/>
    </row>
    <row r="497">
      <c r="A497" s="146"/>
      <c r="B497" s="147"/>
    </row>
    <row r="498">
      <c r="A498" s="146"/>
      <c r="B498" s="147"/>
    </row>
    <row r="499">
      <c r="A499" s="146"/>
      <c r="B499" s="147"/>
    </row>
    <row r="500">
      <c r="A500" s="146"/>
      <c r="B500" s="147"/>
    </row>
    <row r="501">
      <c r="A501" s="146"/>
      <c r="B501" s="147"/>
    </row>
    <row r="502">
      <c r="A502" s="146"/>
      <c r="B502" s="147"/>
    </row>
    <row r="503">
      <c r="A503" s="146"/>
      <c r="B503" s="147"/>
    </row>
    <row r="504">
      <c r="A504" s="146"/>
      <c r="B504" s="147"/>
    </row>
    <row r="505">
      <c r="A505" s="146"/>
      <c r="B505" s="147"/>
    </row>
    <row r="506">
      <c r="A506" s="146"/>
      <c r="B506" s="147"/>
    </row>
    <row r="507">
      <c r="A507" s="146"/>
      <c r="B507" s="147"/>
    </row>
    <row r="508">
      <c r="A508" s="146"/>
      <c r="B508" s="147"/>
    </row>
    <row r="509">
      <c r="A509" s="146"/>
      <c r="B509" s="147"/>
    </row>
    <row r="510">
      <c r="A510" s="146"/>
      <c r="B510" s="147"/>
    </row>
    <row r="511">
      <c r="A511" s="146"/>
      <c r="B511" s="147"/>
    </row>
    <row r="512">
      <c r="A512" s="146"/>
      <c r="B512" s="147"/>
    </row>
    <row r="513">
      <c r="A513" s="146"/>
      <c r="B513" s="147"/>
    </row>
    <row r="514">
      <c r="A514" s="146"/>
      <c r="B514" s="147"/>
    </row>
    <row r="515">
      <c r="A515" s="146"/>
      <c r="B515" s="147"/>
    </row>
    <row r="516">
      <c r="A516" s="146"/>
      <c r="B516" s="147"/>
    </row>
    <row r="517">
      <c r="A517" s="146"/>
      <c r="B517" s="147"/>
    </row>
    <row r="518">
      <c r="A518" s="146"/>
      <c r="B518" s="147"/>
    </row>
    <row r="519">
      <c r="A519" s="146"/>
      <c r="B519" s="147"/>
    </row>
    <row r="520">
      <c r="A520" s="146"/>
      <c r="B520" s="147"/>
    </row>
    <row r="521">
      <c r="A521" s="146"/>
      <c r="B521" s="147"/>
    </row>
    <row r="522">
      <c r="A522" s="146"/>
      <c r="B522" s="147"/>
    </row>
    <row r="523">
      <c r="A523" s="146"/>
      <c r="B523" s="147"/>
    </row>
    <row r="524">
      <c r="A524" s="146"/>
      <c r="B524" s="147"/>
    </row>
    <row r="525">
      <c r="A525" s="146"/>
      <c r="B525" s="147"/>
    </row>
    <row r="526">
      <c r="A526" s="146"/>
      <c r="B526" s="147"/>
    </row>
    <row r="527">
      <c r="A527" s="146"/>
      <c r="B527" s="147"/>
    </row>
    <row r="528">
      <c r="A528" s="146"/>
      <c r="B528" s="147"/>
    </row>
    <row r="529">
      <c r="A529" s="146"/>
      <c r="B529" s="147"/>
    </row>
    <row r="530">
      <c r="A530" s="146"/>
      <c r="B530" s="147"/>
    </row>
    <row r="531">
      <c r="A531" s="146"/>
      <c r="B531" s="147"/>
    </row>
    <row r="532">
      <c r="A532" s="146"/>
      <c r="B532" s="147"/>
    </row>
    <row r="533">
      <c r="A533" s="146"/>
      <c r="B533" s="147"/>
    </row>
    <row r="534">
      <c r="A534" s="146"/>
      <c r="B534" s="147"/>
    </row>
    <row r="535">
      <c r="A535" s="146"/>
      <c r="B535" s="147"/>
    </row>
    <row r="536">
      <c r="A536" s="146"/>
      <c r="B536" s="147"/>
    </row>
    <row r="537">
      <c r="A537" s="146"/>
      <c r="B537" s="147"/>
    </row>
    <row r="538">
      <c r="A538" s="146"/>
      <c r="B538" s="147"/>
    </row>
    <row r="539">
      <c r="A539" s="146"/>
      <c r="B539" s="147"/>
    </row>
    <row r="540">
      <c r="A540" s="146"/>
      <c r="B540" s="147"/>
    </row>
    <row r="541">
      <c r="A541" s="146"/>
      <c r="B541" s="147"/>
    </row>
    <row r="542">
      <c r="A542" s="146"/>
      <c r="B542" s="147"/>
    </row>
    <row r="543">
      <c r="A543" s="146"/>
      <c r="B543" s="147"/>
    </row>
    <row r="544">
      <c r="A544" s="146"/>
      <c r="B544" s="147"/>
    </row>
    <row r="545">
      <c r="A545" s="146"/>
      <c r="B545" s="147"/>
    </row>
    <row r="546">
      <c r="A546" s="146"/>
      <c r="B546" s="147"/>
    </row>
    <row r="547">
      <c r="A547" s="146"/>
      <c r="B547" s="147"/>
    </row>
    <row r="548">
      <c r="A548" s="146"/>
      <c r="B548" s="147"/>
    </row>
    <row r="549">
      <c r="A549" s="146"/>
      <c r="B549" s="147"/>
    </row>
    <row r="550">
      <c r="A550" s="146"/>
      <c r="B550" s="147"/>
    </row>
    <row r="551">
      <c r="A551" s="146"/>
      <c r="B551" s="147"/>
    </row>
    <row r="552">
      <c r="A552" s="146"/>
      <c r="B552" s="147"/>
    </row>
    <row r="553">
      <c r="A553" s="146"/>
      <c r="B553" s="147"/>
    </row>
    <row r="554">
      <c r="A554" s="146"/>
      <c r="B554" s="147"/>
    </row>
    <row r="555">
      <c r="A555" s="146"/>
      <c r="B555" s="147"/>
    </row>
    <row r="556">
      <c r="A556" s="146"/>
      <c r="B556" s="147"/>
    </row>
    <row r="557">
      <c r="A557" s="146"/>
      <c r="B557" s="147"/>
    </row>
    <row r="558">
      <c r="A558" s="146"/>
      <c r="B558" s="147"/>
    </row>
    <row r="559">
      <c r="A559" s="146"/>
      <c r="B559" s="147"/>
    </row>
    <row r="560">
      <c r="A560" s="146"/>
      <c r="B560" s="147"/>
    </row>
    <row r="561">
      <c r="A561" s="146"/>
      <c r="B561" s="147"/>
    </row>
    <row r="562">
      <c r="A562" s="146"/>
      <c r="B562" s="147"/>
    </row>
    <row r="563">
      <c r="A563" s="146"/>
      <c r="B563" s="147"/>
    </row>
    <row r="564">
      <c r="A564" s="146"/>
      <c r="B564" s="147"/>
    </row>
    <row r="565">
      <c r="A565" s="146"/>
      <c r="B565" s="147"/>
    </row>
    <row r="566">
      <c r="A566" s="146"/>
      <c r="B566" s="147"/>
    </row>
    <row r="567">
      <c r="A567" s="146"/>
      <c r="B567" s="147"/>
    </row>
    <row r="568">
      <c r="A568" s="146"/>
      <c r="B568" s="147"/>
    </row>
    <row r="569">
      <c r="A569" s="146"/>
      <c r="B569" s="147"/>
    </row>
    <row r="570">
      <c r="A570" s="146"/>
      <c r="B570" s="147"/>
    </row>
    <row r="571">
      <c r="A571" s="146"/>
      <c r="B571" s="147"/>
    </row>
    <row r="572">
      <c r="A572" s="146"/>
      <c r="B572" s="147"/>
    </row>
    <row r="573">
      <c r="A573" s="146"/>
      <c r="B573" s="147"/>
    </row>
    <row r="574">
      <c r="A574" s="146"/>
      <c r="B574" s="147"/>
    </row>
    <row r="575">
      <c r="A575" s="146"/>
      <c r="B575" s="147"/>
    </row>
    <row r="576">
      <c r="A576" s="146"/>
      <c r="B576" s="147"/>
    </row>
    <row r="577">
      <c r="A577" s="146"/>
      <c r="B577" s="147"/>
    </row>
    <row r="578">
      <c r="A578" s="146"/>
      <c r="B578" s="147"/>
    </row>
    <row r="579">
      <c r="A579" s="146"/>
      <c r="B579" s="147"/>
    </row>
    <row r="580">
      <c r="A580" s="146"/>
      <c r="B580" s="147"/>
    </row>
    <row r="581">
      <c r="A581" s="146"/>
      <c r="B581" s="147"/>
    </row>
    <row r="582">
      <c r="A582" s="146"/>
      <c r="B582" s="147"/>
    </row>
    <row r="583">
      <c r="A583" s="146"/>
      <c r="B583" s="147"/>
    </row>
    <row r="584">
      <c r="A584" s="146"/>
      <c r="B584" s="147"/>
    </row>
    <row r="585">
      <c r="A585" s="146"/>
      <c r="B585" s="147"/>
    </row>
    <row r="586">
      <c r="A586" s="146"/>
      <c r="B586" s="147"/>
    </row>
    <row r="587">
      <c r="A587" s="146"/>
      <c r="B587" s="147"/>
    </row>
    <row r="588">
      <c r="A588" s="146"/>
      <c r="B588" s="147"/>
    </row>
    <row r="589">
      <c r="A589" s="146"/>
      <c r="B589" s="147"/>
    </row>
    <row r="590">
      <c r="A590" s="146"/>
      <c r="B590" s="147"/>
    </row>
    <row r="591">
      <c r="A591" s="146"/>
      <c r="B591" s="147"/>
    </row>
    <row r="592">
      <c r="A592" s="146"/>
      <c r="B592" s="147"/>
    </row>
    <row r="593">
      <c r="A593" s="146"/>
      <c r="B593" s="147"/>
    </row>
    <row r="594">
      <c r="A594" s="146"/>
      <c r="B594" s="147"/>
    </row>
    <row r="595">
      <c r="A595" s="146"/>
      <c r="B595" s="147"/>
    </row>
    <row r="596">
      <c r="A596" s="146"/>
      <c r="B596" s="147"/>
    </row>
    <row r="597">
      <c r="A597" s="146"/>
      <c r="B597" s="147"/>
    </row>
    <row r="598">
      <c r="A598" s="146"/>
      <c r="B598" s="147"/>
    </row>
    <row r="599">
      <c r="A599" s="146"/>
      <c r="B599" s="147"/>
    </row>
    <row r="600">
      <c r="A600" s="146"/>
      <c r="B600" s="147"/>
    </row>
    <row r="601">
      <c r="A601" s="146"/>
      <c r="B601" s="147"/>
    </row>
    <row r="602">
      <c r="A602" s="146"/>
      <c r="B602" s="147"/>
    </row>
    <row r="603">
      <c r="A603" s="146"/>
      <c r="B603" s="147"/>
    </row>
    <row r="604">
      <c r="A604" s="146"/>
      <c r="B604" s="147"/>
    </row>
    <row r="605">
      <c r="A605" s="146"/>
      <c r="B605" s="147"/>
    </row>
    <row r="606">
      <c r="A606" s="146"/>
      <c r="B606" s="147"/>
    </row>
    <row r="607">
      <c r="A607" s="146"/>
      <c r="B607" s="147"/>
    </row>
    <row r="608">
      <c r="A608" s="146"/>
      <c r="B608" s="147"/>
    </row>
    <row r="609">
      <c r="A609" s="146"/>
      <c r="B609" s="147"/>
    </row>
    <row r="610">
      <c r="A610" s="146"/>
      <c r="B610" s="147"/>
    </row>
    <row r="611">
      <c r="A611" s="146"/>
      <c r="B611" s="147"/>
    </row>
    <row r="612">
      <c r="A612" s="146"/>
      <c r="B612" s="147"/>
    </row>
    <row r="613">
      <c r="A613" s="146"/>
      <c r="B613" s="147"/>
    </row>
    <row r="614">
      <c r="A614" s="146"/>
      <c r="B614" s="147"/>
    </row>
    <row r="615">
      <c r="A615" s="146"/>
      <c r="B615" s="147"/>
    </row>
    <row r="616">
      <c r="A616" s="146"/>
      <c r="B616" s="147"/>
    </row>
    <row r="617">
      <c r="A617" s="146"/>
      <c r="B617" s="147"/>
    </row>
    <row r="618">
      <c r="A618" s="146"/>
      <c r="B618" s="147"/>
    </row>
    <row r="619">
      <c r="A619" s="146"/>
      <c r="B619" s="147"/>
    </row>
    <row r="620">
      <c r="A620" s="146"/>
      <c r="B620" s="147"/>
    </row>
    <row r="621">
      <c r="A621" s="146"/>
      <c r="B621" s="147"/>
    </row>
    <row r="622">
      <c r="A622" s="146"/>
      <c r="B622" s="147"/>
    </row>
    <row r="623">
      <c r="A623" s="146"/>
      <c r="B623" s="147"/>
    </row>
    <row r="624">
      <c r="A624" s="146"/>
      <c r="B624" s="147"/>
    </row>
    <row r="625">
      <c r="A625" s="146"/>
      <c r="B625" s="147"/>
    </row>
    <row r="626">
      <c r="A626" s="146"/>
      <c r="B626" s="147"/>
    </row>
    <row r="627">
      <c r="A627" s="146"/>
      <c r="B627" s="147"/>
    </row>
    <row r="628">
      <c r="A628" s="146"/>
      <c r="B628" s="147"/>
    </row>
    <row r="629">
      <c r="A629" s="146"/>
      <c r="B629" s="147"/>
    </row>
    <row r="630">
      <c r="A630" s="146"/>
      <c r="B630" s="147"/>
    </row>
    <row r="631">
      <c r="A631" s="146"/>
      <c r="B631" s="147"/>
    </row>
    <row r="632">
      <c r="A632" s="146"/>
      <c r="B632" s="147"/>
    </row>
    <row r="633">
      <c r="A633" s="146"/>
      <c r="B633" s="147"/>
    </row>
    <row r="634">
      <c r="A634" s="146"/>
      <c r="B634" s="147"/>
    </row>
    <row r="635">
      <c r="A635" s="146"/>
      <c r="B635" s="147"/>
    </row>
    <row r="636">
      <c r="A636" s="146"/>
      <c r="B636" s="147"/>
    </row>
    <row r="637">
      <c r="A637" s="146"/>
      <c r="B637" s="147"/>
    </row>
    <row r="638">
      <c r="A638" s="146"/>
      <c r="B638" s="147"/>
    </row>
    <row r="639">
      <c r="A639" s="146"/>
      <c r="B639" s="147"/>
    </row>
    <row r="640">
      <c r="A640" s="146"/>
      <c r="B640" s="147"/>
    </row>
    <row r="641">
      <c r="A641" s="146"/>
      <c r="B641" s="147"/>
    </row>
    <row r="642">
      <c r="A642" s="146"/>
      <c r="B642" s="147"/>
    </row>
    <row r="643">
      <c r="A643" s="146"/>
      <c r="B643" s="147"/>
    </row>
    <row r="644">
      <c r="A644" s="146"/>
      <c r="B644" s="147"/>
    </row>
    <row r="645">
      <c r="A645" s="146"/>
      <c r="B645" s="147"/>
    </row>
    <row r="646">
      <c r="A646" s="146"/>
      <c r="B646" s="147"/>
    </row>
    <row r="647">
      <c r="A647" s="146"/>
      <c r="B647" s="147"/>
    </row>
    <row r="648">
      <c r="A648" s="146"/>
      <c r="B648" s="147"/>
    </row>
    <row r="649">
      <c r="A649" s="146"/>
      <c r="B649" s="147"/>
    </row>
    <row r="650">
      <c r="A650" s="146"/>
      <c r="B650" s="147"/>
    </row>
    <row r="651">
      <c r="A651" s="146"/>
      <c r="B651" s="147"/>
    </row>
    <row r="652">
      <c r="A652" s="146"/>
      <c r="B652" s="147"/>
    </row>
    <row r="653">
      <c r="A653" s="146"/>
      <c r="B653" s="147"/>
    </row>
    <row r="654">
      <c r="A654" s="146"/>
      <c r="B654" s="147"/>
    </row>
    <row r="655">
      <c r="A655" s="146"/>
      <c r="B655" s="147"/>
    </row>
    <row r="656">
      <c r="A656" s="146"/>
      <c r="B656" s="147"/>
    </row>
    <row r="657">
      <c r="A657" s="146"/>
      <c r="B657" s="147"/>
    </row>
    <row r="658">
      <c r="A658" s="146"/>
      <c r="B658" s="147"/>
    </row>
    <row r="659">
      <c r="A659" s="146"/>
      <c r="B659" s="147"/>
    </row>
    <row r="660">
      <c r="A660" s="146"/>
      <c r="B660" s="147"/>
    </row>
    <row r="661">
      <c r="A661" s="146"/>
      <c r="B661" s="147"/>
    </row>
    <row r="662">
      <c r="A662" s="146"/>
      <c r="B662" s="147"/>
    </row>
    <row r="663">
      <c r="A663" s="146"/>
      <c r="B663" s="147"/>
    </row>
    <row r="664">
      <c r="A664" s="146"/>
      <c r="B664" s="147"/>
    </row>
    <row r="665">
      <c r="A665" s="146"/>
      <c r="B665" s="147"/>
    </row>
    <row r="666">
      <c r="A666" s="146"/>
      <c r="B666" s="147"/>
    </row>
    <row r="667">
      <c r="A667" s="146"/>
      <c r="B667" s="147"/>
    </row>
    <row r="668">
      <c r="A668" s="146"/>
      <c r="B668" s="147"/>
    </row>
    <row r="669">
      <c r="A669" s="146"/>
      <c r="B669" s="147"/>
    </row>
    <row r="670">
      <c r="A670" s="146"/>
      <c r="B670" s="147"/>
    </row>
    <row r="671">
      <c r="A671" s="146"/>
      <c r="B671" s="147"/>
    </row>
    <row r="672">
      <c r="A672" s="146"/>
      <c r="B672" s="147"/>
    </row>
    <row r="673">
      <c r="A673" s="146"/>
      <c r="B673" s="147"/>
    </row>
    <row r="674">
      <c r="A674" s="146"/>
      <c r="B674" s="147"/>
    </row>
    <row r="675">
      <c r="A675" s="146"/>
      <c r="B675" s="147"/>
    </row>
    <row r="676">
      <c r="A676" s="146"/>
      <c r="B676" s="147"/>
    </row>
    <row r="677">
      <c r="A677" s="146"/>
      <c r="B677" s="147"/>
    </row>
    <row r="678">
      <c r="A678" s="146"/>
      <c r="B678" s="147"/>
    </row>
    <row r="679">
      <c r="A679" s="146"/>
      <c r="B679" s="147"/>
    </row>
    <row r="680">
      <c r="A680" s="146"/>
      <c r="B680" s="147"/>
    </row>
    <row r="681">
      <c r="A681" s="146"/>
      <c r="B681" s="147"/>
    </row>
    <row r="682">
      <c r="A682" s="146"/>
      <c r="B682" s="147"/>
    </row>
    <row r="683">
      <c r="A683" s="146"/>
      <c r="B683" s="147"/>
    </row>
    <row r="684">
      <c r="A684" s="146"/>
      <c r="B684" s="147"/>
    </row>
    <row r="685">
      <c r="A685" s="146"/>
      <c r="B685" s="147"/>
    </row>
    <row r="686">
      <c r="A686" s="146"/>
      <c r="B686" s="147"/>
    </row>
    <row r="687">
      <c r="A687" s="146"/>
      <c r="B687" s="147"/>
    </row>
    <row r="688">
      <c r="A688" s="146"/>
      <c r="B688" s="147"/>
    </row>
    <row r="689">
      <c r="A689" s="146"/>
      <c r="B689" s="147"/>
    </row>
    <row r="690">
      <c r="A690" s="146"/>
      <c r="B690" s="147"/>
    </row>
    <row r="691">
      <c r="A691" s="146"/>
      <c r="B691" s="147"/>
    </row>
    <row r="692">
      <c r="A692" s="146"/>
      <c r="B692" s="147"/>
    </row>
    <row r="693">
      <c r="A693" s="146"/>
      <c r="B693" s="147"/>
    </row>
    <row r="694">
      <c r="A694" s="146"/>
      <c r="B694" s="147"/>
    </row>
    <row r="695">
      <c r="A695" s="146"/>
      <c r="B695" s="147"/>
    </row>
    <row r="696">
      <c r="A696" s="146"/>
      <c r="B696" s="147"/>
    </row>
    <row r="697">
      <c r="A697" s="146"/>
      <c r="B697" s="147"/>
    </row>
    <row r="698">
      <c r="A698" s="146"/>
      <c r="B698" s="147"/>
    </row>
    <row r="699">
      <c r="A699" s="146"/>
      <c r="B699" s="147"/>
    </row>
    <row r="700">
      <c r="A700" s="146"/>
      <c r="B700" s="147"/>
    </row>
    <row r="701">
      <c r="A701" s="146"/>
      <c r="B701" s="147"/>
    </row>
    <row r="702">
      <c r="A702" s="146"/>
      <c r="B702" s="147"/>
    </row>
    <row r="703">
      <c r="A703" s="146"/>
      <c r="B703" s="147"/>
    </row>
    <row r="704">
      <c r="A704" s="146"/>
      <c r="B704" s="147"/>
    </row>
    <row r="705">
      <c r="A705" s="146"/>
      <c r="B705" s="147"/>
    </row>
    <row r="706">
      <c r="A706" s="146"/>
      <c r="B706" s="147"/>
    </row>
    <row r="707">
      <c r="A707" s="146"/>
      <c r="B707" s="147"/>
    </row>
    <row r="708">
      <c r="A708" s="146"/>
      <c r="B708" s="147"/>
    </row>
    <row r="709">
      <c r="A709" s="146"/>
      <c r="B709" s="147"/>
    </row>
    <row r="710">
      <c r="A710" s="146"/>
      <c r="B710" s="147"/>
    </row>
    <row r="711">
      <c r="A711" s="146"/>
      <c r="B711" s="147"/>
    </row>
    <row r="712">
      <c r="A712" s="146"/>
      <c r="B712" s="147"/>
    </row>
    <row r="713">
      <c r="A713" s="146"/>
      <c r="B713" s="147"/>
    </row>
    <row r="714">
      <c r="A714" s="146"/>
      <c r="B714" s="147"/>
    </row>
    <row r="715">
      <c r="A715" s="146"/>
      <c r="B715" s="147"/>
    </row>
    <row r="716">
      <c r="A716" s="146"/>
      <c r="B716" s="147"/>
    </row>
    <row r="717">
      <c r="A717" s="146"/>
      <c r="B717" s="147"/>
    </row>
    <row r="718">
      <c r="A718" s="146"/>
      <c r="B718" s="147"/>
    </row>
    <row r="719">
      <c r="A719" s="146"/>
      <c r="B719" s="147"/>
    </row>
    <row r="720">
      <c r="A720" s="146"/>
      <c r="B720" s="147"/>
    </row>
    <row r="721">
      <c r="A721" s="146"/>
      <c r="B721" s="147"/>
    </row>
    <row r="722">
      <c r="A722" s="146"/>
      <c r="B722" s="147"/>
    </row>
    <row r="723">
      <c r="A723" s="146"/>
      <c r="B723" s="147"/>
    </row>
    <row r="724">
      <c r="A724" s="146"/>
      <c r="B724" s="147"/>
    </row>
    <row r="725">
      <c r="A725" s="146"/>
      <c r="B725" s="147"/>
    </row>
    <row r="726">
      <c r="A726" s="146"/>
      <c r="B726" s="147"/>
    </row>
    <row r="727">
      <c r="A727" s="146"/>
      <c r="B727" s="147"/>
    </row>
    <row r="728">
      <c r="A728" s="146"/>
      <c r="B728" s="147"/>
    </row>
    <row r="729">
      <c r="A729" s="146"/>
      <c r="B729" s="147"/>
    </row>
    <row r="730">
      <c r="A730" s="146"/>
      <c r="B730" s="147"/>
    </row>
    <row r="731">
      <c r="A731" s="146"/>
      <c r="B731" s="147"/>
    </row>
    <row r="732">
      <c r="A732" s="146"/>
      <c r="B732" s="147"/>
    </row>
    <row r="733">
      <c r="A733" s="146"/>
      <c r="B733" s="147"/>
    </row>
    <row r="734">
      <c r="A734" s="146"/>
      <c r="B734" s="147"/>
    </row>
    <row r="735">
      <c r="A735" s="146"/>
      <c r="B735" s="147"/>
    </row>
    <row r="736">
      <c r="A736" s="146"/>
      <c r="B736" s="147"/>
    </row>
    <row r="737">
      <c r="A737" s="146"/>
      <c r="B737" s="147"/>
    </row>
    <row r="738">
      <c r="A738" s="146"/>
      <c r="B738" s="147"/>
    </row>
    <row r="739">
      <c r="A739" s="146"/>
      <c r="B739" s="147"/>
    </row>
    <row r="740">
      <c r="A740" s="146"/>
      <c r="B740" s="147"/>
    </row>
    <row r="741">
      <c r="A741" s="146"/>
      <c r="B741" s="147"/>
    </row>
    <row r="742">
      <c r="A742" s="146"/>
      <c r="B742" s="147"/>
    </row>
    <row r="743">
      <c r="A743" s="146"/>
      <c r="B743" s="147"/>
    </row>
    <row r="744">
      <c r="A744" s="146"/>
      <c r="B744" s="147"/>
    </row>
    <row r="745">
      <c r="A745" s="146"/>
      <c r="B745" s="147"/>
    </row>
    <row r="746">
      <c r="A746" s="146"/>
      <c r="B746" s="147"/>
    </row>
    <row r="747">
      <c r="A747" s="146"/>
      <c r="B747" s="147"/>
    </row>
    <row r="748">
      <c r="A748" s="146"/>
      <c r="B748" s="147"/>
    </row>
    <row r="749">
      <c r="A749" s="146"/>
      <c r="B749" s="147"/>
    </row>
    <row r="750">
      <c r="A750" s="146"/>
      <c r="B750" s="147"/>
    </row>
    <row r="751">
      <c r="A751" s="146"/>
      <c r="B751" s="147"/>
    </row>
    <row r="752">
      <c r="A752" s="146"/>
      <c r="B752" s="147"/>
    </row>
    <row r="753">
      <c r="A753" s="146"/>
      <c r="B753" s="147"/>
    </row>
    <row r="754">
      <c r="A754" s="146"/>
      <c r="B754" s="147"/>
    </row>
    <row r="755">
      <c r="A755" s="146"/>
      <c r="B755" s="147"/>
    </row>
    <row r="756">
      <c r="A756" s="146"/>
      <c r="B756" s="147"/>
    </row>
    <row r="757">
      <c r="A757" s="146"/>
      <c r="B757" s="147"/>
    </row>
    <row r="758">
      <c r="A758" s="146"/>
      <c r="B758" s="147"/>
    </row>
    <row r="759">
      <c r="A759" s="146"/>
      <c r="B759" s="147"/>
    </row>
    <row r="760">
      <c r="A760" s="146"/>
      <c r="B760" s="147"/>
    </row>
    <row r="761">
      <c r="A761" s="146"/>
      <c r="B761" s="147"/>
    </row>
    <row r="762">
      <c r="A762" s="146"/>
      <c r="B762" s="147"/>
    </row>
    <row r="763">
      <c r="A763" s="146"/>
      <c r="B763" s="147"/>
    </row>
    <row r="764">
      <c r="A764" s="146"/>
      <c r="B764" s="147"/>
    </row>
    <row r="765">
      <c r="A765" s="146"/>
      <c r="B765" s="147"/>
    </row>
    <row r="766">
      <c r="A766" s="146"/>
      <c r="B766" s="147"/>
    </row>
    <row r="767">
      <c r="A767" s="146"/>
      <c r="B767" s="147"/>
    </row>
    <row r="768">
      <c r="A768" s="146"/>
      <c r="B768" s="147"/>
    </row>
    <row r="769">
      <c r="A769" s="146"/>
      <c r="B769" s="147"/>
    </row>
    <row r="770">
      <c r="A770" s="146"/>
      <c r="B770" s="147"/>
    </row>
    <row r="771">
      <c r="A771" s="146"/>
      <c r="B771" s="147"/>
    </row>
    <row r="772">
      <c r="A772" s="146"/>
      <c r="B772" s="147"/>
    </row>
    <row r="773">
      <c r="A773" s="146"/>
      <c r="B773" s="147"/>
    </row>
    <row r="774">
      <c r="A774" s="146"/>
      <c r="B774" s="147"/>
    </row>
    <row r="775">
      <c r="A775" s="146"/>
      <c r="B775" s="147"/>
    </row>
    <row r="776">
      <c r="A776" s="146"/>
      <c r="B776" s="147"/>
    </row>
    <row r="777">
      <c r="A777" s="146"/>
      <c r="B777" s="147"/>
    </row>
    <row r="778">
      <c r="A778" s="146"/>
      <c r="B778" s="147"/>
    </row>
    <row r="779">
      <c r="A779" s="146"/>
      <c r="B779" s="147"/>
    </row>
    <row r="780">
      <c r="A780" s="146"/>
      <c r="B780" s="147"/>
    </row>
    <row r="781">
      <c r="A781" s="146"/>
      <c r="B781" s="147"/>
    </row>
    <row r="782">
      <c r="A782" s="146"/>
      <c r="B782" s="147"/>
    </row>
    <row r="783">
      <c r="A783" s="146"/>
      <c r="B783" s="147"/>
    </row>
    <row r="784">
      <c r="A784" s="146"/>
      <c r="B784" s="147"/>
    </row>
    <row r="785">
      <c r="A785" s="146"/>
      <c r="B785" s="147"/>
    </row>
    <row r="786">
      <c r="A786" s="146"/>
      <c r="B786" s="147"/>
    </row>
    <row r="787">
      <c r="A787" s="146"/>
      <c r="B787" s="147"/>
    </row>
    <row r="788">
      <c r="A788" s="146"/>
      <c r="B788" s="147"/>
    </row>
    <row r="789">
      <c r="A789" s="146"/>
      <c r="B789" s="147"/>
    </row>
    <row r="790">
      <c r="A790" s="146"/>
      <c r="B790" s="147"/>
    </row>
    <row r="791">
      <c r="A791" s="146"/>
      <c r="B791" s="147"/>
    </row>
    <row r="792">
      <c r="A792" s="146"/>
      <c r="B792" s="147"/>
    </row>
    <row r="793">
      <c r="A793" s="146"/>
      <c r="B793" s="147"/>
    </row>
    <row r="794">
      <c r="A794" s="146"/>
      <c r="B794" s="147"/>
    </row>
    <row r="795">
      <c r="A795" s="146"/>
      <c r="B795" s="147"/>
    </row>
    <row r="796">
      <c r="A796" s="146"/>
      <c r="B796" s="147"/>
    </row>
    <row r="797">
      <c r="A797" s="146"/>
      <c r="B797" s="147"/>
    </row>
    <row r="798">
      <c r="A798" s="146"/>
      <c r="B798" s="147"/>
    </row>
    <row r="799">
      <c r="A799" s="146"/>
      <c r="B799" s="147"/>
    </row>
    <row r="800">
      <c r="A800" s="146"/>
      <c r="B800" s="147"/>
    </row>
    <row r="801">
      <c r="A801" s="146"/>
      <c r="B801" s="147"/>
    </row>
    <row r="802">
      <c r="A802" s="146"/>
      <c r="B802" s="147"/>
    </row>
    <row r="803">
      <c r="A803" s="146"/>
      <c r="B803" s="147"/>
    </row>
    <row r="804">
      <c r="A804" s="146"/>
      <c r="B804" s="147"/>
    </row>
    <row r="805">
      <c r="A805" s="146"/>
      <c r="B805" s="147"/>
    </row>
    <row r="806">
      <c r="A806" s="146"/>
      <c r="B806" s="147"/>
    </row>
    <row r="807">
      <c r="A807" s="146"/>
      <c r="B807" s="147"/>
    </row>
    <row r="808">
      <c r="A808" s="146"/>
      <c r="B808" s="147"/>
    </row>
    <row r="809">
      <c r="A809" s="146"/>
      <c r="B809" s="147"/>
    </row>
    <row r="810">
      <c r="A810" s="146"/>
      <c r="B810" s="147"/>
    </row>
    <row r="811">
      <c r="A811" s="146"/>
      <c r="B811" s="147"/>
    </row>
    <row r="812">
      <c r="A812" s="146"/>
      <c r="B812" s="147"/>
    </row>
    <row r="813">
      <c r="A813" s="146"/>
      <c r="B813" s="147"/>
    </row>
    <row r="814">
      <c r="A814" s="146"/>
      <c r="B814" s="147"/>
    </row>
    <row r="815">
      <c r="A815" s="146"/>
      <c r="B815" s="147"/>
    </row>
    <row r="816">
      <c r="A816" s="146"/>
      <c r="B816" s="147"/>
    </row>
    <row r="817">
      <c r="A817" s="146"/>
      <c r="B817" s="147"/>
    </row>
    <row r="818">
      <c r="A818" s="146"/>
      <c r="B818" s="147"/>
    </row>
    <row r="819">
      <c r="A819" s="146"/>
      <c r="B819" s="147"/>
    </row>
    <row r="820">
      <c r="A820" s="146"/>
      <c r="B820" s="147"/>
    </row>
    <row r="821">
      <c r="A821" s="146"/>
      <c r="B821" s="147"/>
    </row>
    <row r="822">
      <c r="A822" s="146"/>
      <c r="B822" s="147"/>
    </row>
    <row r="823">
      <c r="A823" s="146"/>
      <c r="B823" s="147"/>
    </row>
    <row r="824">
      <c r="A824" s="146"/>
      <c r="B824" s="147"/>
    </row>
    <row r="825">
      <c r="A825" s="146"/>
      <c r="B825" s="147"/>
    </row>
    <row r="826">
      <c r="A826" s="146"/>
      <c r="B826" s="147"/>
    </row>
    <row r="827">
      <c r="A827" s="146"/>
      <c r="B827" s="147"/>
    </row>
    <row r="828">
      <c r="A828" s="146"/>
      <c r="B828" s="147"/>
    </row>
    <row r="829">
      <c r="A829" s="146"/>
      <c r="B829" s="147"/>
    </row>
    <row r="830">
      <c r="A830" s="146"/>
      <c r="B830" s="147"/>
    </row>
    <row r="831">
      <c r="A831" s="146"/>
      <c r="B831" s="147"/>
    </row>
    <row r="832">
      <c r="A832" s="146"/>
      <c r="B832" s="147"/>
    </row>
    <row r="833">
      <c r="A833" s="146"/>
      <c r="B833" s="147"/>
    </row>
    <row r="834">
      <c r="A834" s="146"/>
      <c r="B834" s="147"/>
    </row>
    <row r="835">
      <c r="A835" s="146"/>
      <c r="B835" s="147"/>
    </row>
    <row r="836">
      <c r="A836" s="146"/>
      <c r="B836" s="147"/>
    </row>
    <row r="837">
      <c r="A837" s="146"/>
      <c r="B837" s="147"/>
    </row>
    <row r="838">
      <c r="A838" s="146"/>
      <c r="B838" s="147"/>
    </row>
    <row r="839">
      <c r="A839" s="146"/>
      <c r="B839" s="147"/>
    </row>
    <row r="840">
      <c r="A840" s="146"/>
      <c r="B840" s="147"/>
    </row>
    <row r="841">
      <c r="A841" s="146"/>
      <c r="B841" s="147"/>
    </row>
    <row r="842">
      <c r="A842" s="146"/>
      <c r="B842" s="147"/>
    </row>
    <row r="843">
      <c r="A843" s="146"/>
      <c r="B843" s="147"/>
    </row>
    <row r="844">
      <c r="A844" s="146"/>
      <c r="B844" s="147"/>
    </row>
    <row r="845">
      <c r="A845" s="146"/>
      <c r="B845" s="147"/>
    </row>
    <row r="846">
      <c r="A846" s="146"/>
      <c r="B846" s="147"/>
    </row>
    <row r="847">
      <c r="A847" s="146"/>
      <c r="B847" s="147"/>
    </row>
    <row r="848">
      <c r="A848" s="146"/>
      <c r="B848" s="147"/>
    </row>
    <row r="849">
      <c r="A849" s="146"/>
      <c r="B849" s="147"/>
    </row>
    <row r="850">
      <c r="A850" s="146"/>
      <c r="B850" s="147"/>
    </row>
    <row r="851">
      <c r="A851" s="146"/>
      <c r="B851" s="147"/>
    </row>
    <row r="852">
      <c r="A852" s="146"/>
      <c r="B852" s="147"/>
    </row>
    <row r="853">
      <c r="A853" s="146"/>
      <c r="B853" s="147"/>
    </row>
    <row r="854">
      <c r="A854" s="146"/>
      <c r="B854" s="147"/>
    </row>
    <row r="855">
      <c r="A855" s="146"/>
      <c r="B855" s="147"/>
    </row>
    <row r="856">
      <c r="A856" s="146"/>
      <c r="B856" s="147"/>
    </row>
    <row r="857">
      <c r="A857" s="146"/>
      <c r="B857" s="147"/>
    </row>
    <row r="858">
      <c r="A858" s="146"/>
      <c r="B858" s="147"/>
    </row>
    <row r="859">
      <c r="A859" s="146"/>
      <c r="B859" s="147"/>
    </row>
    <row r="860">
      <c r="A860" s="146"/>
      <c r="B860" s="147"/>
    </row>
    <row r="861">
      <c r="A861" s="146"/>
      <c r="B861" s="147"/>
    </row>
    <row r="862">
      <c r="A862" s="146"/>
      <c r="B862" s="147"/>
    </row>
    <row r="863">
      <c r="A863" s="146"/>
      <c r="B863" s="147"/>
    </row>
    <row r="864">
      <c r="A864" s="146"/>
      <c r="B864" s="147"/>
    </row>
    <row r="865">
      <c r="A865" s="146"/>
      <c r="B865" s="147"/>
    </row>
    <row r="866">
      <c r="A866" s="146"/>
      <c r="B866" s="147"/>
    </row>
    <row r="867">
      <c r="A867" s="146"/>
      <c r="B867" s="147"/>
    </row>
    <row r="868">
      <c r="A868" s="146"/>
      <c r="B868" s="147"/>
    </row>
    <row r="869">
      <c r="A869" s="146"/>
      <c r="B869" s="147"/>
    </row>
    <row r="870">
      <c r="A870" s="146"/>
      <c r="B870" s="147"/>
    </row>
    <row r="871">
      <c r="A871" s="146"/>
      <c r="B871" s="147"/>
    </row>
    <row r="872">
      <c r="A872" s="146"/>
      <c r="B872" s="147"/>
    </row>
    <row r="873">
      <c r="A873" s="146"/>
      <c r="B873" s="147"/>
    </row>
    <row r="874">
      <c r="A874" s="146"/>
      <c r="B874" s="147"/>
    </row>
    <row r="875">
      <c r="A875" s="146"/>
      <c r="B875" s="147"/>
    </row>
    <row r="876">
      <c r="A876" s="146"/>
      <c r="B876" s="147"/>
    </row>
    <row r="877">
      <c r="A877" s="146"/>
      <c r="B877" s="147"/>
    </row>
    <row r="878">
      <c r="A878" s="146"/>
      <c r="B878" s="147"/>
    </row>
    <row r="879">
      <c r="A879" s="146"/>
      <c r="B879" s="147"/>
    </row>
    <row r="880">
      <c r="A880" s="146"/>
      <c r="B880" s="147"/>
    </row>
    <row r="881">
      <c r="A881" s="146"/>
      <c r="B881" s="147"/>
    </row>
    <row r="882">
      <c r="A882" s="146"/>
      <c r="B882" s="147"/>
    </row>
    <row r="883">
      <c r="A883" s="146"/>
      <c r="B883" s="147"/>
    </row>
    <row r="884">
      <c r="A884" s="146"/>
      <c r="B884" s="147"/>
    </row>
    <row r="885">
      <c r="A885" s="146"/>
      <c r="B885" s="147"/>
    </row>
    <row r="886">
      <c r="A886" s="146"/>
      <c r="B886" s="147"/>
    </row>
    <row r="887">
      <c r="A887" s="146"/>
      <c r="B887" s="147"/>
    </row>
    <row r="888">
      <c r="A888" s="146"/>
      <c r="B888" s="147"/>
    </row>
    <row r="889">
      <c r="A889" s="146"/>
      <c r="B889" s="147"/>
    </row>
    <row r="890">
      <c r="A890" s="146"/>
      <c r="B890" s="147"/>
    </row>
    <row r="891">
      <c r="A891" s="146"/>
      <c r="B891" s="147"/>
    </row>
    <row r="892">
      <c r="A892" s="146"/>
      <c r="B892" s="147"/>
    </row>
    <row r="893">
      <c r="A893" s="146"/>
      <c r="B893" s="147"/>
    </row>
    <row r="894">
      <c r="A894" s="146"/>
      <c r="B894" s="147"/>
    </row>
    <row r="895">
      <c r="A895" s="146"/>
      <c r="B895" s="147"/>
    </row>
    <row r="896">
      <c r="A896" s="146"/>
      <c r="B896" s="147"/>
    </row>
    <row r="897">
      <c r="A897" s="146"/>
      <c r="B897" s="147"/>
    </row>
    <row r="898">
      <c r="A898" s="146"/>
      <c r="B898" s="147"/>
    </row>
    <row r="899">
      <c r="A899" s="146"/>
      <c r="B899" s="147"/>
    </row>
    <row r="900">
      <c r="A900" s="146"/>
      <c r="B900" s="147"/>
    </row>
    <row r="901">
      <c r="A901" s="146"/>
      <c r="B901" s="147"/>
    </row>
    <row r="902">
      <c r="A902" s="146"/>
      <c r="B902" s="147"/>
    </row>
    <row r="903">
      <c r="A903" s="146"/>
      <c r="B903" s="147"/>
    </row>
    <row r="904">
      <c r="A904" s="146"/>
      <c r="B904" s="147"/>
    </row>
    <row r="905">
      <c r="A905" s="146"/>
      <c r="B905" s="147"/>
    </row>
    <row r="906">
      <c r="A906" s="146"/>
      <c r="B906" s="147"/>
    </row>
    <row r="907">
      <c r="A907" s="146"/>
      <c r="B907" s="147"/>
    </row>
    <row r="908">
      <c r="A908" s="146"/>
      <c r="B908" s="147"/>
    </row>
    <row r="909">
      <c r="A909" s="146"/>
      <c r="B909" s="147"/>
    </row>
    <row r="910">
      <c r="A910" s="146"/>
      <c r="B910" s="147"/>
    </row>
    <row r="911">
      <c r="A911" s="146"/>
      <c r="B911" s="147"/>
    </row>
    <row r="912">
      <c r="A912" s="146"/>
      <c r="B912" s="147"/>
    </row>
    <row r="913">
      <c r="A913" s="146"/>
      <c r="B913" s="147"/>
    </row>
    <row r="914">
      <c r="A914" s="146"/>
      <c r="B914" s="147"/>
    </row>
    <row r="915">
      <c r="A915" s="146"/>
      <c r="B915" s="147"/>
    </row>
    <row r="916">
      <c r="A916" s="146"/>
      <c r="B916" s="147"/>
    </row>
    <row r="917">
      <c r="A917" s="146"/>
      <c r="B917" s="147"/>
    </row>
    <row r="918">
      <c r="A918" s="146"/>
      <c r="B918" s="147"/>
    </row>
    <row r="919">
      <c r="A919" s="146"/>
      <c r="B919" s="147"/>
    </row>
    <row r="920">
      <c r="A920" s="146"/>
      <c r="B920" s="147"/>
    </row>
    <row r="921">
      <c r="A921" s="146"/>
      <c r="B921" s="147"/>
    </row>
    <row r="922">
      <c r="A922" s="146"/>
      <c r="B922" s="147"/>
    </row>
    <row r="923">
      <c r="A923" s="146"/>
      <c r="B923" s="147"/>
    </row>
    <row r="924">
      <c r="A924" s="146"/>
      <c r="B924" s="147"/>
    </row>
    <row r="925">
      <c r="A925" s="146"/>
      <c r="B925" s="147"/>
    </row>
    <row r="926">
      <c r="A926" s="146"/>
      <c r="B926" s="147"/>
    </row>
    <row r="927">
      <c r="A927" s="146"/>
      <c r="B927" s="147"/>
    </row>
    <row r="928">
      <c r="A928" s="146"/>
      <c r="B928" s="147"/>
    </row>
    <row r="929">
      <c r="A929" s="146"/>
      <c r="B929" s="147"/>
    </row>
    <row r="930">
      <c r="A930" s="146"/>
      <c r="B930" s="147"/>
    </row>
    <row r="931">
      <c r="A931" s="146"/>
      <c r="B931" s="147"/>
    </row>
    <row r="932">
      <c r="A932" s="146"/>
      <c r="B932" s="147"/>
    </row>
    <row r="933">
      <c r="A933" s="146"/>
      <c r="B933" s="147"/>
    </row>
    <row r="934">
      <c r="A934" s="146"/>
      <c r="B934" s="147"/>
    </row>
    <row r="935">
      <c r="A935" s="146"/>
      <c r="B935" s="147"/>
    </row>
    <row r="936">
      <c r="A936" s="146"/>
      <c r="B936" s="147"/>
    </row>
    <row r="937">
      <c r="A937" s="146"/>
      <c r="B937" s="147"/>
    </row>
    <row r="938">
      <c r="A938" s="146"/>
      <c r="B938" s="147"/>
    </row>
    <row r="939">
      <c r="A939" s="146"/>
      <c r="B939" s="147"/>
    </row>
    <row r="940">
      <c r="A940" s="146"/>
      <c r="B940" s="147"/>
    </row>
    <row r="941">
      <c r="A941" s="146"/>
      <c r="B941" s="147"/>
    </row>
    <row r="942">
      <c r="A942" s="146"/>
      <c r="B942" s="147"/>
    </row>
    <row r="943">
      <c r="A943" s="146"/>
      <c r="B943" s="147"/>
    </row>
    <row r="944">
      <c r="A944" s="146"/>
      <c r="B944" s="147"/>
    </row>
    <row r="945">
      <c r="A945" s="146"/>
      <c r="B945" s="147"/>
    </row>
    <row r="946">
      <c r="A946" s="146"/>
      <c r="B946" s="147"/>
    </row>
    <row r="947">
      <c r="A947" s="146"/>
      <c r="B947" s="147"/>
    </row>
    <row r="948">
      <c r="A948" s="146"/>
      <c r="B948" s="147"/>
    </row>
    <row r="949">
      <c r="A949" s="146"/>
      <c r="B949" s="147"/>
    </row>
    <row r="950">
      <c r="A950" s="146"/>
      <c r="B950" s="147"/>
    </row>
    <row r="951">
      <c r="A951" s="146"/>
      <c r="B951" s="147"/>
    </row>
    <row r="952">
      <c r="A952" s="146"/>
      <c r="B952" s="147"/>
    </row>
    <row r="953">
      <c r="A953" s="146"/>
      <c r="B953" s="147"/>
    </row>
    <row r="954">
      <c r="A954" s="146"/>
      <c r="B954" s="147"/>
    </row>
    <row r="955">
      <c r="A955" s="146"/>
      <c r="B955" s="147"/>
    </row>
    <row r="956">
      <c r="A956" s="146"/>
      <c r="B956" s="147"/>
    </row>
    <row r="957">
      <c r="A957" s="146"/>
      <c r="B957" s="147"/>
    </row>
    <row r="958">
      <c r="A958" s="146"/>
      <c r="B958" s="147"/>
    </row>
    <row r="959">
      <c r="A959" s="146"/>
      <c r="B959" s="147"/>
    </row>
    <row r="960">
      <c r="A960" s="146"/>
      <c r="B960" s="147"/>
    </row>
    <row r="961">
      <c r="A961" s="146"/>
      <c r="B961" s="147"/>
    </row>
    <row r="962">
      <c r="A962" s="146"/>
      <c r="B962" s="147"/>
    </row>
    <row r="963">
      <c r="A963" s="146"/>
      <c r="B963" s="147"/>
    </row>
    <row r="964">
      <c r="A964" s="146"/>
      <c r="B964" s="147"/>
    </row>
    <row r="965">
      <c r="A965" s="146"/>
      <c r="B965" s="147"/>
    </row>
    <row r="966">
      <c r="A966" s="146"/>
      <c r="B966" s="147"/>
    </row>
    <row r="967">
      <c r="A967" s="146"/>
      <c r="B967" s="147"/>
    </row>
    <row r="968">
      <c r="A968" s="146"/>
      <c r="B968" s="147"/>
    </row>
    <row r="969">
      <c r="A969" s="146"/>
      <c r="B969" s="147"/>
    </row>
    <row r="970">
      <c r="A970" s="146"/>
      <c r="B970" s="147"/>
    </row>
    <row r="971">
      <c r="A971" s="146"/>
      <c r="B971" s="147"/>
    </row>
    <row r="972">
      <c r="A972" s="146"/>
      <c r="B972" s="147"/>
    </row>
    <row r="973">
      <c r="A973" s="146"/>
      <c r="B973" s="147"/>
    </row>
    <row r="974">
      <c r="A974" s="146"/>
      <c r="B974" s="147"/>
    </row>
    <row r="975">
      <c r="A975" s="146"/>
      <c r="B975" s="147"/>
    </row>
    <row r="976">
      <c r="A976" s="146"/>
      <c r="B976" s="147"/>
    </row>
    <row r="977">
      <c r="A977" s="146"/>
      <c r="B977" s="147"/>
    </row>
    <row r="978">
      <c r="A978" s="146"/>
      <c r="B978" s="147"/>
    </row>
    <row r="979">
      <c r="A979" s="146"/>
      <c r="B979" s="147"/>
    </row>
    <row r="980">
      <c r="A980" s="146"/>
      <c r="B980" s="147"/>
    </row>
    <row r="981">
      <c r="A981" s="146"/>
      <c r="B981" s="147"/>
    </row>
    <row r="982">
      <c r="A982" s="146"/>
      <c r="B982" s="147"/>
    </row>
    <row r="983">
      <c r="A983" s="146"/>
      <c r="B983" s="147"/>
    </row>
    <row r="984">
      <c r="A984" s="146"/>
      <c r="B984" s="147"/>
    </row>
    <row r="985">
      <c r="A985" s="146"/>
      <c r="B985" s="147"/>
    </row>
    <row r="986">
      <c r="A986" s="146"/>
      <c r="B986" s="147"/>
    </row>
    <row r="987">
      <c r="A987" s="146"/>
      <c r="B987" s="147"/>
    </row>
    <row r="988">
      <c r="A988" s="146"/>
      <c r="B988" s="147"/>
    </row>
    <row r="989">
      <c r="A989" s="146"/>
      <c r="B989" s="147"/>
    </row>
    <row r="990">
      <c r="A990" s="146"/>
      <c r="B990" s="147"/>
    </row>
    <row r="991">
      <c r="A991" s="146"/>
      <c r="B991" s="147"/>
    </row>
    <row r="992">
      <c r="A992" s="146"/>
      <c r="B992" s="147"/>
    </row>
    <row r="993">
      <c r="A993" s="146"/>
      <c r="B993" s="147"/>
    </row>
    <row r="994">
      <c r="A994" s="146"/>
      <c r="B994" s="147"/>
    </row>
    <row r="995">
      <c r="A995" s="146"/>
      <c r="B995" s="147"/>
    </row>
    <row r="996">
      <c r="A996" s="146"/>
      <c r="B996" s="147"/>
    </row>
    <row r="997">
      <c r="A997" s="146"/>
      <c r="B997" s="147"/>
    </row>
    <row r="998">
      <c r="A998" s="146"/>
      <c r="B998" s="147"/>
    </row>
    <row r="999">
      <c r="A999" s="146"/>
      <c r="B999" s="147"/>
    </row>
    <row r="1000">
      <c r="A1000" s="146"/>
      <c r="B1000" s="147"/>
    </row>
  </sheetData>
  <mergeCells count="6">
    <mergeCell ref="B3:B5"/>
    <mergeCell ref="C3:C5"/>
    <mergeCell ref="B7:B8"/>
    <mergeCell ref="C7:C8"/>
    <mergeCell ref="B9:B10"/>
    <mergeCell ref="C9:C1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t="str">
        <f t="array" ref="A1:E1">IFERROR(IF(ISBLANK('BOM Loader'!$Y11), "", transpose(INDIRECT(SUBSTITUTE(SUBSTITUTE('BOM Loader'!$Y11,  " ",  ""),"-",  "")))),  "")</f>
        <v>Dryer</v>
      </c>
      <c r="B1" t="s">
        <v>306</v>
      </c>
      <c r="C1" t="s">
        <v>323</v>
      </c>
      <c r="D1" t="s">
        <v>338</v>
      </c>
      <c r="E1" t="s">
        <v>117</v>
      </c>
    </row>
    <row r="2">
      <c r="A2" t="str">
        <f t="array" ref="A2">IFERROR(IF(ISBLANK('BOM Loader'!$Y12), "", transpose(INDIRECT(SUBSTITUTE(SUBSTITUTE('BOM Loader'!$Y12,  " ",  ""),"-",  "")))),  "")</f>
        <v/>
      </c>
    </row>
    <row r="3">
      <c r="A3" t="str">
        <f t="array" ref="A3">IFERROR(IF(ISBLANK('BOM Loader'!$Y13), "", transpose(INDIRECT(SUBSTITUTE(SUBSTITUTE('BOM Loader'!$Y13,  " ",  ""),"-",  "")))),  "")</f>
        <v/>
      </c>
    </row>
    <row r="4">
      <c r="A4" t="str">
        <f t="array" ref="A4">IFERROR(IF(ISBLANK('BOM Loader'!$Y14), "", transpose(INDIRECT(SUBSTITUTE(SUBSTITUTE('BOM Loader'!$Y14,  " ",  ""),"-",  "")))),  "")</f>
        <v/>
      </c>
    </row>
    <row r="5">
      <c r="A5" t="str">
        <f t="array" ref="A5">IFERROR(IF(ISBLANK('BOM Loader'!$Y15), "", transpose(INDIRECT(SUBSTITUTE(SUBSTITUTE('BOM Loader'!$Y15,  " ",  ""),"-",  "")))),  "")</f>
        <v/>
      </c>
    </row>
    <row r="6">
      <c r="A6" t="str">
        <f t="array" ref="A6">IFERROR(IF(ISBLANK('BOM Loader'!$Y16), "", transpose(INDIRECT(SUBSTITUTE(SUBSTITUTE('BOM Loader'!$Y16,  " ",  ""),"-",  "")))),  "")</f>
        <v/>
      </c>
    </row>
    <row r="7">
      <c r="A7" t="str">
        <f t="array" ref="A7">IFERROR(IF(ISBLANK('BOM Loader'!$Y17), "", transpose(INDIRECT(SUBSTITUTE(SUBSTITUTE('BOM Loader'!$Y17,  " ",  ""),"-",  "")))),  "")</f>
        <v/>
      </c>
    </row>
    <row r="8">
      <c r="A8" t="str">
        <f t="array" ref="A8">IFERROR(IF(ISBLANK('BOM Loader'!$Y18), "", transpose(INDIRECT(SUBSTITUTE(SUBSTITUTE('BOM Loader'!$Y18,  " ",  ""),"-",  "")))),  "")</f>
        <v/>
      </c>
    </row>
    <row r="9">
      <c r="A9" t="str">
        <f t="array" ref="A9">IFERROR(IF(ISBLANK('BOM Loader'!$Y19), "", transpose(INDIRECT(SUBSTITUTE(SUBSTITUTE('BOM Loader'!$Y19,  " ",  ""),"-",  "")))),  "")</f>
        <v/>
      </c>
    </row>
    <row r="10">
      <c r="A10" t="str">
        <f t="array" ref="A10">IFERROR(IF(ISBLANK('BOM Loader'!$Y20), "", transpose(INDIRECT(SUBSTITUTE(SUBSTITUTE('BOM Loader'!$Y20,  " ",  ""),"-",  "")))),  "")</f>
        <v/>
      </c>
    </row>
    <row r="11">
      <c r="A11" t="str">
        <f t="array" ref="A11">IFERROR(IF(ISBLANK('BOM Loader'!$Y21), "", transpose(INDIRECT(SUBSTITUTE(SUBSTITUTE('BOM Loader'!$Y21,  " ",  ""),"-",  "")))),  "")</f>
        <v/>
      </c>
    </row>
    <row r="12">
      <c r="A12" t="str">
        <f t="array" ref="A12">IFERROR(IF(ISBLANK('BOM Loader'!$Y22), "", transpose(INDIRECT(SUBSTITUTE(SUBSTITUTE('BOM Loader'!$Y22,  " ",  ""),"-",  "")))),  "")</f>
        <v/>
      </c>
    </row>
    <row r="13">
      <c r="A13" t="str">
        <f t="array" ref="A13">IFERROR(IF(ISBLANK('BOM Loader'!$Y23), "", transpose(INDIRECT(SUBSTITUTE(SUBSTITUTE('BOM Loader'!$Y23,  " ",  ""),"-",  "")))),  "")</f>
        <v/>
      </c>
    </row>
    <row r="14">
      <c r="A14" t="str">
        <f t="array" ref="A14">IFERROR(IF(ISBLANK('BOM Loader'!$Y24), "", transpose(INDIRECT(SUBSTITUTE(SUBSTITUTE('BOM Loader'!$Y24,  " ",  ""),"-",  "")))),  "")</f>
        <v/>
      </c>
    </row>
    <row r="15">
      <c r="A15" t="str">
        <f t="array" ref="A15">IFERROR(IF(ISBLANK('BOM Loader'!$Y25), "", transpose(INDIRECT(SUBSTITUTE(SUBSTITUTE('BOM Loader'!$Y25,  " ",  ""),"-",  "")))),  "")</f>
        <v/>
      </c>
    </row>
    <row r="16">
      <c r="A16" t="str">
        <f t="array" ref="A16">IFERROR(IF(ISBLANK('BOM Loader'!$Y26), "", transpose(INDIRECT(SUBSTITUTE(SUBSTITUTE('BOM Loader'!$Y26,  " ",  ""),"-",  "")))),  "")</f>
        <v/>
      </c>
    </row>
    <row r="17">
      <c r="A17" t="str">
        <f t="array" ref="A17">IFERROR(IF(ISBLANK('BOM Loader'!$Y27), "", transpose(INDIRECT(SUBSTITUTE(SUBSTITUTE('BOM Loader'!$Y27,  " ",  ""),"-",  "")))),  "")</f>
        <v/>
      </c>
    </row>
    <row r="18">
      <c r="A18" t="str">
        <f t="array" ref="A18">IFERROR(IF(ISBLANK('BOM Loader'!$Y28), "", transpose(INDIRECT(SUBSTITUTE(SUBSTITUTE('BOM Loader'!$Y28,  " ",  ""),"-",  "")))),  "")</f>
        <v/>
      </c>
    </row>
    <row r="19">
      <c r="A19" t="str">
        <f t="array" ref="A19">IFERROR(IF(ISBLANK('BOM Loader'!$Y29), "", transpose(INDIRECT(SUBSTITUTE(SUBSTITUTE('BOM Loader'!$Y29,  " ",  ""),"-",  "")))),  "")</f>
        <v/>
      </c>
    </row>
    <row r="20">
      <c r="A20" t="str">
        <f t="array" ref="A20">IFERROR(IF(ISBLANK('BOM Loader'!$Y30), "", transpose(INDIRECT(SUBSTITUTE(SUBSTITUTE('BOM Loader'!$Y30,  " ",  ""),"-",  "")))),  "")</f>
        <v/>
      </c>
    </row>
    <row r="21">
      <c r="A21" t="str">
        <f t="array" ref="A21">IFERROR(IF(ISBLANK('BOM Loader'!$Y31), "", transpose(INDIRECT(SUBSTITUTE(SUBSTITUTE('BOM Loader'!$Y31,  " ",  ""),"-",  "")))),  "")</f>
        <v/>
      </c>
    </row>
    <row r="22">
      <c r="A22" t="str">
        <f t="array" ref="A22">IFERROR(IF(ISBLANK('BOM Loader'!$Y32), "", transpose(INDIRECT(SUBSTITUTE(SUBSTITUTE('BOM Loader'!$Y32,  " ",  ""),"-",  "")))),  "")</f>
        <v/>
      </c>
    </row>
    <row r="23">
      <c r="A23" t="str">
        <f t="array" ref="A23">IFERROR(IF(ISBLANK('BOM Loader'!$Y33), "", transpose(INDIRECT(SUBSTITUTE(SUBSTITUTE('BOM Loader'!$Y33,  " ",  ""),"-",  "")))),  "")</f>
        <v/>
      </c>
    </row>
    <row r="24">
      <c r="A24" t="str">
        <f t="array" ref="A24">IFERROR(IF(ISBLANK('BOM Loader'!$Y34), "", transpose(INDIRECT(SUBSTITUTE(SUBSTITUTE('BOM Loader'!$Y34,  " ",  ""),"-",  "")))),  "")</f>
        <v/>
      </c>
    </row>
    <row r="25">
      <c r="A25" t="str">
        <f t="array" ref="A25">IFERROR(IF(ISBLANK('BOM Loader'!$Y35), "", transpose(INDIRECT(SUBSTITUTE(SUBSTITUTE('BOM Loader'!$Y35,  " ",  ""),"-",  "")))),  "")</f>
        <v/>
      </c>
    </row>
    <row r="26">
      <c r="A26" t="str">
        <f t="array" ref="A26">IFERROR(IF(ISBLANK('BOM Loader'!$Y36), "", transpose(INDIRECT(SUBSTITUTE(SUBSTITUTE('BOM Loader'!$Y36,  " ",  ""),"-",  "")))),  "")</f>
        <v/>
      </c>
    </row>
    <row r="27">
      <c r="A27" t="str">
        <f t="array" ref="A27">IFERROR(IF(ISBLANK('BOM Loader'!$Y37), "", transpose(INDIRECT(SUBSTITUTE(SUBSTITUTE('BOM Loader'!$Y37,  " ",  ""),"-",  "")))),  "")</f>
        <v/>
      </c>
    </row>
    <row r="28">
      <c r="A28" t="str">
        <f t="array" ref="A28">IFERROR(IF(ISBLANK('BOM Loader'!$Y38), "", transpose(INDIRECT(SUBSTITUTE(SUBSTITUTE('BOM Loader'!$Y38,  " ",  ""),"-",  "")))),  "")</f>
        <v/>
      </c>
    </row>
    <row r="29">
      <c r="A29" t="str">
        <f t="array" ref="A29">IFERROR(IF(ISBLANK('BOM Loader'!$Y39), "", transpose(INDIRECT(SUBSTITUTE(SUBSTITUTE('BOM Loader'!$Y39,  " ",  ""),"-",  "")))),  "")</f>
        <v/>
      </c>
    </row>
    <row r="30">
      <c r="A30" t="str">
        <f t="array" ref="A30">IFERROR(IF(ISBLANK('BOM Loader'!$Y40), "", transpose(INDIRECT(SUBSTITUTE(SUBSTITUTE('BOM Loader'!$Y40,  " ",  ""),"-",  "")))),  "")</f>
        <v/>
      </c>
    </row>
    <row r="31">
      <c r="A31" t="str">
        <f t="array" ref="A31">IFERROR(IF(ISBLANK('BOM Loader'!$Y41), "", transpose(INDIRECT(SUBSTITUTE(SUBSTITUTE('BOM Loader'!$Y41,  " ",  ""),"-",  "")))),  "")</f>
        <v/>
      </c>
    </row>
    <row r="32">
      <c r="A32" t="str">
        <f t="array" ref="A32">IFERROR(IF(ISBLANK('BOM Loader'!$Y42), "", transpose(INDIRECT(SUBSTITUTE(SUBSTITUTE('BOM Loader'!$Y42,  " ",  ""),"-",  "")))),  "")</f>
        <v/>
      </c>
    </row>
    <row r="33">
      <c r="A33" t="str">
        <f t="array" ref="A33">IFERROR(IF(ISBLANK('BOM Loader'!$Y43), "", transpose(INDIRECT(SUBSTITUTE(SUBSTITUTE('BOM Loader'!$Y43,  " ",  ""),"-",  "")))),  "")</f>
        <v/>
      </c>
    </row>
    <row r="34">
      <c r="A34" t="str">
        <f t="array" ref="A34">IFERROR(IF(ISBLANK('BOM Loader'!$Y44), "", transpose(INDIRECT(SUBSTITUTE(SUBSTITUTE('BOM Loader'!$Y44,  " ",  ""),"-",  "")))),  "")</f>
        <v/>
      </c>
    </row>
    <row r="35">
      <c r="A35" t="str">
        <f t="array" ref="A35">IFERROR(IF(ISBLANK('BOM Loader'!$Y45), "", transpose(INDIRECT(SUBSTITUTE(SUBSTITUTE('BOM Loader'!$Y45,  " ",  ""),"-",  "")))),  "")</f>
        <v/>
      </c>
    </row>
    <row r="36">
      <c r="A36" t="str">
        <f t="array" ref="A36">IFERROR(IF(ISBLANK('BOM Loader'!$Y46), "", transpose(INDIRECT(SUBSTITUTE(SUBSTITUTE('BOM Loader'!$Y46,  " ",  ""),"-",  "")))),  "")</f>
        <v/>
      </c>
    </row>
    <row r="37">
      <c r="A37" t="str">
        <f t="array" ref="A37">IFERROR(IF(ISBLANK('BOM Loader'!$Y47), "", transpose(INDIRECT(SUBSTITUTE(SUBSTITUTE('BOM Loader'!$Y47,  " ",  ""),"-",  "")))),  "")</f>
        <v/>
      </c>
    </row>
    <row r="38">
      <c r="A38" t="str">
        <f t="array" ref="A38">IFERROR(IF(ISBLANK('BOM Loader'!$Y48), "", transpose(INDIRECT(SUBSTITUTE(SUBSTITUTE('BOM Loader'!$Y48,  " ",  ""),"-",  "")))),  "")</f>
        <v/>
      </c>
    </row>
    <row r="39">
      <c r="A39" t="str">
        <f t="array" ref="A39">IFERROR(IF(ISBLANK('BOM Loader'!$Y49), "", transpose(INDIRECT(SUBSTITUTE(SUBSTITUTE('BOM Loader'!$Y49,  " ",  ""),"-",  "")))),  "")</f>
        <v/>
      </c>
    </row>
    <row r="40">
      <c r="A40" t="str">
        <f t="array" ref="A40">IFERROR(IF(ISBLANK('BOM Loader'!$Y50), "", transpose(INDIRECT(SUBSTITUTE(SUBSTITUTE('BOM Loader'!$Y50,  " ",  ""),"-",  "")))),  "")</f>
        <v/>
      </c>
    </row>
    <row r="41">
      <c r="A41" t="str">
        <f t="array" ref="A41">IFERROR(IF(ISBLANK('BOM Loader'!$Y51), "", transpose(INDIRECT(SUBSTITUTE(SUBSTITUTE('BOM Loader'!$Y51,  " ",  ""),"-",  "")))),  "")</f>
        <v/>
      </c>
    </row>
    <row r="42">
      <c r="A42" t="str">
        <f t="array" ref="A42">IFERROR(IF(ISBLANK('BOM Loader'!$Y52), "", transpose(INDIRECT(SUBSTITUTE(SUBSTITUTE('BOM Loader'!$Y52,  " ",  ""),"-",  "")))),  "")</f>
        <v/>
      </c>
    </row>
    <row r="43">
      <c r="A43" t="str">
        <f t="array" ref="A43">IFERROR(IF(ISBLANK('BOM Loader'!$Y53), "", transpose(INDIRECT(SUBSTITUTE(SUBSTITUTE('BOM Loader'!$Y53,  " ",  ""),"-",  "")))),  "")</f>
        <v/>
      </c>
    </row>
    <row r="44">
      <c r="A44" t="str">
        <f t="array" ref="A44">IFERROR(IF(ISBLANK('BOM Loader'!$Y54), "", transpose(INDIRECT(SUBSTITUTE(SUBSTITUTE('BOM Loader'!$Y54,  " ",  ""),"-",  "")))),  "")</f>
        <v/>
      </c>
    </row>
    <row r="45">
      <c r="A45" t="str">
        <f t="array" ref="A45">IFERROR(IF(ISBLANK('BOM Loader'!$Y55), "", transpose(INDIRECT(SUBSTITUTE(SUBSTITUTE('BOM Loader'!$Y55,  " ",  ""),"-",  "")))),  "")</f>
        <v/>
      </c>
    </row>
    <row r="46">
      <c r="A46" t="str">
        <f t="array" ref="A46">IFERROR(IF(ISBLANK('BOM Loader'!$Y56), "", transpose(INDIRECT(SUBSTITUTE(SUBSTITUTE('BOM Loader'!$Y56,  " ",  ""),"-",  "")))),  "")</f>
        <v/>
      </c>
    </row>
    <row r="47">
      <c r="A47" t="str">
        <f t="array" ref="A47">IFERROR(IF(ISBLANK('BOM Loader'!$Y57), "", transpose(INDIRECT(SUBSTITUTE(SUBSTITUTE('BOM Loader'!$Y57,  " ",  ""),"-",  "")))),  "")</f>
        <v/>
      </c>
    </row>
    <row r="48">
      <c r="A48" t="str">
        <f t="array" ref="A48">IFERROR(IF(ISBLANK('BOM Loader'!$Y58), "", transpose(INDIRECT(SUBSTITUTE(SUBSTITUTE('BOM Loader'!$Y58,  " ",  ""),"-",  "")))),  "")</f>
        <v/>
      </c>
    </row>
    <row r="49">
      <c r="A49" t="str">
        <f t="array" ref="A49">IFERROR(IF(ISBLANK('BOM Loader'!$Y59), "", transpose(INDIRECT(SUBSTITUTE(SUBSTITUTE('BOM Loader'!$Y59,  " ",  ""),"-",  "")))),  "")</f>
        <v/>
      </c>
    </row>
    <row r="50">
      <c r="A50" t="str">
        <f t="array" ref="A50">IFERROR(IF(ISBLANK('BOM Loader'!$Y60), "", transpose(INDIRECT(SUBSTITUTE(SUBSTITUTE('BOM Loader'!$Y60,  " ",  ""),"-",  "")))),  "")</f>
        <v/>
      </c>
    </row>
    <row r="51">
      <c r="A51" t="str">
        <f t="array" ref="A51">IFERROR(IF(ISBLANK('BOM Loader'!$Y61), "", transpose(INDIRECT(SUBSTITUTE(SUBSTITUTE('BOM Loader'!$Y61,  " ",  ""),"-",  "")))),  "")</f>
        <v/>
      </c>
    </row>
    <row r="52">
      <c r="A52" t="str">
        <f t="array" ref="A52">IFERROR(IF(ISBLANK('BOM Loader'!$Y62), "", transpose(INDIRECT(SUBSTITUTE(SUBSTITUTE('BOM Loader'!$Y62,  " ",  ""),"-",  "")))),  "")</f>
        <v/>
      </c>
    </row>
    <row r="53">
      <c r="A53" t="str">
        <f t="array" ref="A53">IFERROR(IF(ISBLANK('BOM Loader'!$Y63), "", transpose(INDIRECT(SUBSTITUTE(SUBSTITUTE('BOM Loader'!$Y63,  " ",  ""),"-",  "")))),  "")</f>
        <v/>
      </c>
    </row>
    <row r="54">
      <c r="A54" t="str">
        <f t="array" ref="A54">IFERROR(IF(ISBLANK('BOM Loader'!$Y64), "", transpose(INDIRECT(SUBSTITUTE(SUBSTITUTE('BOM Loader'!$Y64,  " ",  ""),"-",  "")))),  "")</f>
        <v/>
      </c>
    </row>
    <row r="55">
      <c r="A55" t="str">
        <f t="array" ref="A55">IFERROR(IF(ISBLANK('BOM Loader'!$Y65), "", transpose(INDIRECT(SUBSTITUTE(SUBSTITUTE('BOM Loader'!$Y65,  " ",  ""),"-",  "")))),  "")</f>
        <v/>
      </c>
    </row>
    <row r="56">
      <c r="A56" t="str">
        <f t="array" ref="A56">IFERROR(IF(ISBLANK('BOM Loader'!$Y66), "", transpose(INDIRECT(SUBSTITUTE(SUBSTITUTE('BOM Loader'!$Y66,  " ",  ""),"-",  "")))),  "")</f>
        <v/>
      </c>
    </row>
    <row r="57">
      <c r="A57" t="str">
        <f t="array" ref="A57">IFERROR(IF(ISBLANK('BOM Loader'!$Y67), "", transpose(INDIRECT(SUBSTITUTE(SUBSTITUTE('BOM Loader'!$Y67,  " ",  ""),"-",  "")))),  "")</f>
        <v/>
      </c>
    </row>
    <row r="58">
      <c r="A58" t="str">
        <f t="array" ref="A58">IFERROR(IF(ISBLANK('BOM Loader'!$Y68), "", transpose(INDIRECT(SUBSTITUTE(SUBSTITUTE('BOM Loader'!$Y68,  " ",  ""),"-",  "")))),  "")</f>
        <v/>
      </c>
    </row>
    <row r="59">
      <c r="A59" t="str">
        <f t="array" ref="A59">IFERROR(IF(ISBLANK('BOM Loader'!$Y69), "", transpose(INDIRECT(SUBSTITUTE(SUBSTITUTE('BOM Loader'!$Y69,  " ",  ""),"-",  "")))),  "")</f>
        <v/>
      </c>
    </row>
    <row r="60">
      <c r="A60" t="str">
        <f t="array" ref="A60">IFERROR(IF(ISBLANK('BOM Loader'!$Y70), "", transpose(INDIRECT(SUBSTITUTE(SUBSTITUTE('BOM Loader'!$Y70,  " ",  ""),"-",  "")))),  "")</f>
        <v/>
      </c>
    </row>
    <row r="61">
      <c r="A61" t="str">
        <f t="array" ref="A61">IFERROR(IF(ISBLANK('BOM Loader'!$Y71), "", transpose(INDIRECT(SUBSTITUTE(SUBSTITUTE('BOM Loader'!$Y71,  " ",  ""),"-",  "")))),  "")</f>
        <v/>
      </c>
    </row>
    <row r="62">
      <c r="A62" t="str">
        <f t="array" ref="A62">IFERROR(IF(ISBLANK('BOM Loader'!$Y72), "", transpose(INDIRECT(SUBSTITUTE(SUBSTITUTE('BOM Loader'!$Y72,  " ",  ""),"-",  "")))),  "")</f>
        <v/>
      </c>
    </row>
    <row r="63">
      <c r="A63" t="str">
        <f t="array" ref="A63">IFERROR(IF(ISBLANK('BOM Loader'!$Y73), "", transpose(INDIRECT(SUBSTITUTE(SUBSTITUTE('BOM Loader'!$Y73,  " ",  ""),"-",  "")))),  "")</f>
        <v/>
      </c>
    </row>
    <row r="64">
      <c r="A64" t="str">
        <f t="array" ref="A64">IFERROR(IF(ISBLANK('BOM Loader'!$Y74), "", transpose(INDIRECT(SUBSTITUTE(SUBSTITUTE('BOM Loader'!$Y74,  " ",  ""),"-",  "")))),  "")</f>
        <v/>
      </c>
    </row>
    <row r="65">
      <c r="A65" t="str">
        <f t="array" ref="A65">IFERROR(IF(ISBLANK('BOM Loader'!$Y75), "", transpose(INDIRECT(SUBSTITUTE(SUBSTITUTE('BOM Loader'!$Y75,  " ",  ""),"-",  "")))),  "")</f>
        <v/>
      </c>
    </row>
    <row r="66">
      <c r="A66" t="str">
        <f t="array" ref="A66">IFERROR(IF(ISBLANK('BOM Loader'!$Y76), "", transpose(INDIRECT(SUBSTITUTE(SUBSTITUTE('BOM Loader'!$Y76,  " ",  ""),"-",  "")))),  "")</f>
        <v/>
      </c>
    </row>
    <row r="67">
      <c r="A67" t="str">
        <f t="array" ref="A67">IFERROR(IF(ISBLANK('BOM Loader'!$Y77), "", transpose(INDIRECT(SUBSTITUTE(SUBSTITUTE('BOM Loader'!$Y77,  " ",  ""),"-",  "")))),  "")</f>
        <v/>
      </c>
    </row>
    <row r="68">
      <c r="A68" t="str">
        <f t="array" ref="A68">IFERROR(IF(ISBLANK('BOM Loader'!$Y78), "", transpose(INDIRECT(SUBSTITUTE(SUBSTITUTE('BOM Loader'!$Y78,  " ",  ""),"-",  "")))),  "")</f>
        <v/>
      </c>
    </row>
    <row r="69">
      <c r="A69" t="str">
        <f t="array" ref="A69">IFERROR(IF(ISBLANK('BOM Loader'!$Y79), "", transpose(INDIRECT(SUBSTITUTE(SUBSTITUTE('BOM Loader'!$Y79,  " ",  ""),"-",  "")))),  "")</f>
        <v/>
      </c>
    </row>
    <row r="70">
      <c r="A70" t="str">
        <f t="array" ref="A70">IFERROR(IF(ISBLANK('BOM Loader'!$Y80), "", transpose(INDIRECT(SUBSTITUTE(SUBSTITUTE('BOM Loader'!$Y80,  " ",  ""),"-",  "")))),  "")</f>
        <v/>
      </c>
    </row>
    <row r="71">
      <c r="A71" t="str">
        <f t="array" ref="A71">IFERROR(IF(ISBLANK('BOM Loader'!$Y81), "", transpose(INDIRECT(SUBSTITUTE(SUBSTITUTE('BOM Loader'!$Y81,  " ",  ""),"-",  "")))),  "")</f>
        <v/>
      </c>
    </row>
    <row r="72">
      <c r="A72" t="str">
        <f t="array" ref="A72">IFERROR(IF(ISBLANK('BOM Loader'!$Y82), "", transpose(INDIRECT(SUBSTITUTE(SUBSTITUTE('BOM Loader'!$Y82,  " ",  ""),"-",  "")))),  "")</f>
        <v/>
      </c>
    </row>
    <row r="73">
      <c r="A73" t="str">
        <f t="array" ref="A73">IFERROR(IF(ISBLANK('BOM Loader'!$Y83), "", transpose(INDIRECT(SUBSTITUTE(SUBSTITUTE('BOM Loader'!$Y83,  " ",  ""),"-",  "")))),  "")</f>
        <v/>
      </c>
    </row>
    <row r="74">
      <c r="A74" t="str">
        <f t="array" ref="A74">IFERROR(IF(ISBLANK('BOM Loader'!$Y84), "", transpose(INDIRECT(SUBSTITUTE(SUBSTITUTE('BOM Loader'!$Y84,  " ",  ""),"-",  "")))),  "")</f>
        <v/>
      </c>
    </row>
    <row r="75">
      <c r="A75" t="str">
        <f t="array" ref="A75">IFERROR(IF(ISBLANK('BOM Loader'!$Y85), "", transpose(INDIRECT(SUBSTITUTE(SUBSTITUTE('BOM Loader'!$Y85,  " ",  ""),"-",  "")))),  "")</f>
        <v/>
      </c>
    </row>
    <row r="76">
      <c r="A76" t="str">
        <f t="array" ref="A76">IFERROR(IF(ISBLANK('BOM Loader'!$Y86), "", transpose(INDIRECT(SUBSTITUTE(SUBSTITUTE('BOM Loader'!$Y86,  " ",  ""),"-",  "")))),  "")</f>
        <v/>
      </c>
    </row>
    <row r="77">
      <c r="A77" t="str">
        <f t="array" ref="A77">IFERROR(IF(ISBLANK('BOM Loader'!$Y87), "", transpose(INDIRECT(SUBSTITUTE(SUBSTITUTE('BOM Loader'!$Y87,  " ",  ""),"-",  "")))),  "")</f>
        <v/>
      </c>
    </row>
    <row r="78">
      <c r="A78" t="str">
        <f t="array" ref="A78">IFERROR(IF(ISBLANK('BOM Loader'!$Y88), "", transpose(INDIRECT(SUBSTITUTE(SUBSTITUTE('BOM Loader'!$Y88,  " ",  ""),"-",  "")))),  "")</f>
        <v/>
      </c>
    </row>
    <row r="79">
      <c r="A79" t="str">
        <f t="array" ref="A79">IFERROR(IF(ISBLANK('BOM Loader'!$Y89), "", transpose(INDIRECT(SUBSTITUTE(SUBSTITUTE('BOM Loader'!$Y89,  " ",  ""),"-",  "")))),  "")</f>
        <v/>
      </c>
    </row>
    <row r="80">
      <c r="A80" t="str">
        <f t="array" ref="A80">IFERROR(IF(ISBLANK('BOM Loader'!$Y90), "", transpose(INDIRECT(SUBSTITUTE(SUBSTITUTE('BOM Loader'!$Y90,  " ",  ""),"-",  "")))),  "")</f>
        <v/>
      </c>
    </row>
    <row r="81">
      <c r="A81" t="str">
        <f t="array" ref="A81">IFERROR(IF(ISBLANK('BOM Loader'!$Y91), "", transpose(INDIRECT(SUBSTITUTE(SUBSTITUTE('BOM Loader'!$Y91,  " ",  ""),"-",  "")))),  "")</f>
        <v/>
      </c>
    </row>
    <row r="82">
      <c r="A82" t="str">
        <f t="array" ref="A82">IFERROR(IF(ISBLANK('BOM Loader'!$Y92), "", transpose(INDIRECT(SUBSTITUTE(SUBSTITUTE('BOM Loader'!$Y92,  " ",  ""),"-",  "")))),  "")</f>
        <v/>
      </c>
    </row>
    <row r="83">
      <c r="A83" t="str">
        <f t="array" ref="A83">IFERROR(IF(ISBLANK('BOM Loader'!$Y93), "", transpose(INDIRECT(SUBSTITUTE(SUBSTITUTE('BOM Loader'!$Y93,  " ",  ""),"-",  "")))),  "")</f>
        <v/>
      </c>
    </row>
    <row r="84">
      <c r="A84" t="str">
        <f t="array" ref="A84">IFERROR(IF(ISBLANK('BOM Loader'!$Y94), "", transpose(INDIRECT(SUBSTITUTE(SUBSTITUTE('BOM Loader'!$Y94,  " ",  ""),"-",  "")))),  "")</f>
        <v/>
      </c>
    </row>
    <row r="85">
      <c r="A85" t="str">
        <f t="array" ref="A85">IFERROR(IF(ISBLANK('BOM Loader'!$Y95), "", transpose(INDIRECT(SUBSTITUTE(SUBSTITUTE('BOM Loader'!$Y95,  " ",  ""),"-",  "")))),  "")</f>
        <v/>
      </c>
    </row>
    <row r="86">
      <c r="A86" t="str">
        <f t="array" ref="A86">IFERROR(IF(ISBLANK('BOM Loader'!$Y96), "", transpose(INDIRECT(SUBSTITUTE(SUBSTITUTE('BOM Loader'!$Y96,  " ",  ""),"-",  "")))),  "")</f>
        <v/>
      </c>
    </row>
    <row r="87">
      <c r="A87" t="str">
        <f t="array" ref="A87">IFERROR(IF(ISBLANK('BOM Loader'!$Y97), "", transpose(INDIRECT(SUBSTITUTE(SUBSTITUTE('BOM Loader'!$Y97,  " ",  ""),"-",  "")))),  "")</f>
        <v/>
      </c>
    </row>
    <row r="88">
      <c r="A88" t="str">
        <f t="array" ref="A88">IFERROR(IF(ISBLANK('BOM Loader'!$Y98), "", transpose(INDIRECT(SUBSTITUTE(SUBSTITUTE('BOM Loader'!$Y98,  " ",  ""),"-",  "")))),  "")</f>
        <v/>
      </c>
    </row>
    <row r="89">
      <c r="A89" t="str">
        <f t="array" ref="A89">IFERROR(IF(ISBLANK('BOM Loader'!$Y99), "", transpose(INDIRECT(SUBSTITUTE(SUBSTITUTE('BOM Loader'!$Y99,  " ",  ""),"-",  "")))),  "")</f>
        <v/>
      </c>
    </row>
    <row r="90">
      <c r="A90" t="str">
        <f t="array" ref="A90">IFERROR(IF(ISBLANK('BOM Loader'!$Y100), "", transpose(INDIRECT(SUBSTITUTE(SUBSTITUTE('BOM Loader'!$Y100,  " ",  ""),"-",  "")))),  "")</f>
        <v/>
      </c>
    </row>
    <row r="91">
      <c r="A91" t="str">
        <f t="array" ref="A91">IFERROR(IF(ISBLANK('BOM Loader'!$Y101), "", transpose(INDIRECT(SUBSTITUTE(SUBSTITUTE('BOM Loader'!$Y101,  " ",  ""),"-",  "")))),  "")</f>
        <v/>
      </c>
    </row>
    <row r="92">
      <c r="A92" t="str">
        <f t="array" ref="A92">IFERROR(IF(ISBLANK('BOM Loader'!$Y102), "", transpose(INDIRECT(SUBSTITUTE(SUBSTITUTE('BOM Loader'!$Y102,  " ",  ""),"-",  "")))),  "")</f>
        <v/>
      </c>
    </row>
    <row r="93">
      <c r="A93" t="str">
        <f t="array" ref="A93">IFERROR(IF(ISBLANK('BOM Loader'!$Y103), "", transpose(INDIRECT(SUBSTITUTE(SUBSTITUTE('BOM Loader'!$Y103,  " ",  ""),"-",  "")))),  "")</f>
        <v/>
      </c>
    </row>
    <row r="94">
      <c r="A94" t="str">
        <f t="array" ref="A94">IFERROR(IF(ISBLANK('BOM Loader'!$Y104), "", transpose(INDIRECT(SUBSTITUTE(SUBSTITUTE('BOM Loader'!$Y104,  " ",  ""),"-",  "")))),  "")</f>
        <v/>
      </c>
    </row>
    <row r="95">
      <c r="A95" t="str">
        <f t="array" ref="A95">IFERROR(IF(ISBLANK('BOM Loader'!$Y105), "", transpose(INDIRECT(SUBSTITUTE(SUBSTITUTE('BOM Loader'!$Y105,  " ",  ""),"-",  "")))),  "")</f>
        <v/>
      </c>
    </row>
    <row r="96">
      <c r="A96" t="str">
        <f t="array" ref="A96">IFERROR(IF(ISBLANK('BOM Loader'!$Y106), "", transpose(INDIRECT(SUBSTITUTE(SUBSTITUTE('BOM Loader'!$Y106,  " ",  ""),"-",  "")))),  "")</f>
        <v/>
      </c>
    </row>
    <row r="97">
      <c r="A97" t="str">
        <f t="array" ref="A97">IFERROR(IF(ISBLANK('BOM Loader'!$Y107), "", transpose(INDIRECT(SUBSTITUTE(SUBSTITUTE('BOM Loader'!$Y107,  " ",  ""),"-",  "")))),  "")</f>
        <v/>
      </c>
    </row>
    <row r="98">
      <c r="A98" t="str">
        <f t="array" ref="A98">IFERROR(IF(ISBLANK('BOM Loader'!$Y108), "", transpose(INDIRECT(SUBSTITUTE(SUBSTITUTE('BOM Loader'!$Y108,  " ",  ""),"-",  "")))),  "")</f>
        <v/>
      </c>
    </row>
    <row r="99">
      <c r="A99" t="str">
        <f t="array" ref="A99">IFERROR(IF(ISBLANK('BOM Loader'!$Y109), "", transpose(INDIRECT(SUBSTITUTE(SUBSTITUTE('BOM Loader'!$Y109,  " ",  ""),"-",  "")))),  "")</f>
        <v/>
      </c>
    </row>
    <row r="100">
      <c r="A100" t="str">
        <f t="array" ref="A100">IFERROR(IF(ISBLANK('BOM Loader'!$Y110), "", transpose(INDIRECT(SUBSTITUTE(SUBSTITUTE('BOM Loader'!$Y110,  " ",  ""),"-",  "")))),  "")</f>
        <v/>
      </c>
    </row>
    <row r="101">
      <c r="A101" t="str">
        <f t="array" ref="A101">IFERROR(IF(ISBLANK('BOM Loader'!$Y111), "", transpose(INDIRECT(SUBSTITUTE(SUBSTITUTE('BOM Loader'!$Y111,  " ",  ""),"-",  "")))),  "")</f>
        <v/>
      </c>
    </row>
    <row r="102">
      <c r="A102" t="str">
        <f t="array" ref="A102">IFERROR(IF(ISBLANK('BOM Loader'!$Y112), "", transpose(INDIRECT(SUBSTITUTE(SUBSTITUTE('BOM Loader'!$Y112,  " ",  ""),"-",  "")))),  "")</f>
        <v/>
      </c>
    </row>
    <row r="103">
      <c r="A103" t="str">
        <f t="array" ref="A103">IFERROR(IF(ISBLANK('BOM Loader'!$Y113), "", transpose(INDIRECT(SUBSTITUTE(SUBSTITUTE('BOM Loader'!$Y113,  " ",  ""),"-",  "")))),  "")</f>
        <v/>
      </c>
    </row>
    <row r="104">
      <c r="A104" t="str">
        <f t="array" ref="A104">IFERROR(IF(ISBLANK('BOM Loader'!$Y114), "", transpose(INDIRECT(SUBSTITUTE(SUBSTITUTE('BOM Loader'!$Y114,  " ",  ""),"-",  "")))),  "")</f>
        <v/>
      </c>
    </row>
    <row r="105">
      <c r="A105" t="str">
        <f t="array" ref="A105">IFERROR(IF(ISBLANK('BOM Loader'!$Y115), "", transpose(INDIRECT(SUBSTITUTE(SUBSTITUTE('BOM Loader'!$Y115,  " ",  ""),"-",  "")))),  "")</f>
        <v/>
      </c>
    </row>
    <row r="106">
      <c r="A106" t="str">
        <f t="array" ref="A106">IFERROR(IF(ISBLANK('BOM Loader'!$Y116), "", transpose(INDIRECT(SUBSTITUTE(SUBSTITUTE('BOM Loader'!$Y116,  " ",  ""),"-",  "")))),  "")</f>
        <v/>
      </c>
    </row>
    <row r="107">
      <c r="A107" t="str">
        <f t="array" ref="A107">IFERROR(IF(ISBLANK('BOM Loader'!$Y117), "", transpose(INDIRECT(SUBSTITUTE(SUBSTITUTE('BOM Loader'!$Y117,  " ",  ""),"-",  "")))),  "")</f>
        <v/>
      </c>
    </row>
    <row r="108">
      <c r="A108" t="str">
        <f t="array" ref="A108">IFERROR(IF(ISBLANK('BOM Loader'!$Y118), "", transpose(INDIRECT(SUBSTITUTE(SUBSTITUTE('BOM Loader'!$Y118,  " ",  ""),"-",  "")))),  "")</f>
        <v/>
      </c>
    </row>
    <row r="109">
      <c r="A109" t="str">
        <f t="array" ref="A109">IFERROR(IF(ISBLANK('BOM Loader'!$Y119), "", transpose(INDIRECT(SUBSTITUTE(SUBSTITUTE('BOM Loader'!$Y119,  " ",  ""),"-",  "")))),  "")</f>
        <v/>
      </c>
    </row>
    <row r="110">
      <c r="A110" t="str">
        <f t="array" ref="A110">IFERROR(IF(ISBLANK('BOM Loader'!$Y120), "", transpose(INDIRECT(SUBSTITUTE(SUBSTITUTE('BOM Loader'!$Y120,  " ",  ""),"-",  "")))),  "")</f>
        <v/>
      </c>
    </row>
    <row r="111">
      <c r="A111" t="str">
        <f t="array" ref="A111">IFERROR(IF(ISBLANK('BOM Loader'!$Y121), "", transpose(INDIRECT(SUBSTITUTE(SUBSTITUTE('BOM Loader'!$Y121,  " ",  ""),"-",  "")))),  "")</f>
        <v/>
      </c>
    </row>
    <row r="112">
      <c r="A112" t="str">
        <f t="array" ref="A112">IFERROR(IF(ISBLANK('BOM Loader'!$Y122), "", transpose(INDIRECT(SUBSTITUTE(SUBSTITUTE('BOM Loader'!$Y122,  " ",  ""),"-",  "")))),  "")</f>
        <v/>
      </c>
    </row>
    <row r="113">
      <c r="A113" t="str">
        <f t="array" ref="A113">IFERROR(IF(ISBLANK('BOM Loader'!$Y123), "", transpose(INDIRECT(SUBSTITUTE(SUBSTITUTE('BOM Loader'!$Y123,  " ",  ""),"-",  "")))),  "")</f>
        <v/>
      </c>
    </row>
    <row r="114">
      <c r="A114" t="str">
        <f t="array" ref="A114">IFERROR(IF(ISBLANK('BOM Loader'!$Y124), "", transpose(INDIRECT(SUBSTITUTE(SUBSTITUTE('BOM Loader'!$Y124,  " ",  ""),"-",  "")))),  "")</f>
        <v/>
      </c>
    </row>
    <row r="115">
      <c r="A115" t="str">
        <f t="array" ref="A115">IFERROR(IF(ISBLANK('BOM Loader'!$Y125), "", transpose(INDIRECT(SUBSTITUTE(SUBSTITUTE('BOM Loader'!$Y125,  " ",  ""),"-",  "")))),  "")</f>
        <v/>
      </c>
    </row>
    <row r="116">
      <c r="A116" t="str">
        <f t="array" ref="A116">IFERROR(IF(ISBLANK('BOM Loader'!$Y126), "", transpose(INDIRECT(SUBSTITUTE(SUBSTITUTE('BOM Loader'!$Y126,  " ",  ""),"-",  "")))),  "")</f>
        <v/>
      </c>
    </row>
    <row r="117">
      <c r="A117" t="str">
        <f t="array" ref="A117">IFERROR(IF(ISBLANK('BOM Loader'!$Y127), "", transpose(INDIRECT(SUBSTITUTE(SUBSTITUTE('BOM Loader'!$Y127,  " ",  ""),"-",  "")))),  "")</f>
        <v/>
      </c>
    </row>
    <row r="118">
      <c r="A118" t="str">
        <f t="array" ref="A118">IFERROR(IF(ISBLANK('BOM Loader'!$Y128), "", transpose(INDIRECT(SUBSTITUTE(SUBSTITUTE('BOM Loader'!$Y128,  " ",  ""),"-",  "")))),  "")</f>
        <v/>
      </c>
    </row>
    <row r="119">
      <c r="A119" t="str">
        <f t="array" ref="A119">IFERROR(IF(ISBLANK('BOM Loader'!$Y129), "", transpose(INDIRECT(SUBSTITUTE(SUBSTITUTE('BOM Loader'!$Y129,  " ",  ""),"-",  "")))),  "")</f>
        <v/>
      </c>
    </row>
    <row r="120">
      <c r="A120" t="str">
        <f t="array" ref="A120">IFERROR(IF(ISBLANK('BOM Loader'!$Y130), "", transpose(INDIRECT(SUBSTITUTE(SUBSTITUTE('BOM Loader'!$Y130,  " ",  ""),"-",  "")))),  "")</f>
        <v/>
      </c>
    </row>
    <row r="121">
      <c r="A121" t="str">
        <f t="array" ref="A121">IFERROR(IF(ISBLANK('BOM Loader'!$Y131), "", transpose(INDIRECT(SUBSTITUTE(SUBSTITUTE('BOM Loader'!$Y131,  " ",  ""),"-",  "")))),  "")</f>
        <v/>
      </c>
    </row>
    <row r="122">
      <c r="A122" t="str">
        <f t="array" ref="A122">IFERROR(IF(ISBLANK('BOM Loader'!$Y132), "", transpose(INDIRECT(SUBSTITUTE(SUBSTITUTE('BOM Loader'!$Y132,  " ",  ""),"-",  "")))),  "")</f>
        <v/>
      </c>
    </row>
    <row r="123">
      <c r="A123" t="str">
        <f t="array" ref="A123">IFERROR(IF(ISBLANK('BOM Loader'!$Y133), "", transpose(INDIRECT(SUBSTITUTE(SUBSTITUTE('BOM Loader'!$Y133,  " ",  ""),"-",  "")))),  "")</f>
        <v/>
      </c>
    </row>
    <row r="124">
      <c r="A124" t="str">
        <f t="array" ref="A124">IFERROR(IF(ISBLANK('BOM Loader'!$Y134), "", transpose(INDIRECT(SUBSTITUTE(SUBSTITUTE('BOM Loader'!$Y134,  " ",  ""),"-",  "")))),  "")</f>
        <v/>
      </c>
    </row>
    <row r="125">
      <c r="A125" t="str">
        <f t="array" ref="A125">IFERROR(IF(ISBLANK('BOM Loader'!$Y135), "", transpose(INDIRECT(SUBSTITUTE(SUBSTITUTE('BOM Loader'!$Y135,  " ",  ""),"-",  "")))),  "")</f>
        <v/>
      </c>
    </row>
    <row r="126">
      <c r="A126" t="str">
        <f t="array" ref="A126">IFERROR(IF(ISBLANK('BOM Loader'!$Y136), "", transpose(INDIRECT(SUBSTITUTE(SUBSTITUTE('BOM Loader'!$Y136,  " ",  ""),"-",  "")))),  "")</f>
        <v/>
      </c>
    </row>
    <row r="127">
      <c r="A127" t="str">
        <f t="array" ref="A127">IFERROR(IF(ISBLANK('BOM Loader'!$Y137), "", transpose(INDIRECT(SUBSTITUTE(SUBSTITUTE('BOM Loader'!$Y137,  " ",  ""),"-",  "")))),  "")</f>
        <v/>
      </c>
    </row>
    <row r="128">
      <c r="A128" t="str">
        <f t="array" ref="A128">IFERROR(IF(ISBLANK('BOM Loader'!$Y138), "", transpose(INDIRECT(SUBSTITUTE(SUBSTITUTE('BOM Loader'!$Y138,  " ",  ""),"-",  "")))),  "")</f>
        <v/>
      </c>
    </row>
    <row r="129">
      <c r="A129" t="str">
        <f t="array" ref="A129">IFERROR(IF(ISBLANK('BOM Loader'!$Y139), "", transpose(INDIRECT(SUBSTITUTE(SUBSTITUTE('BOM Loader'!$Y139,  " ",  ""),"-",  "")))),  "")</f>
        <v/>
      </c>
    </row>
    <row r="130">
      <c r="A130" t="str">
        <f t="array" ref="A130">IFERROR(IF(ISBLANK('BOM Loader'!$Y140), "", transpose(INDIRECT(SUBSTITUTE(SUBSTITUTE('BOM Loader'!$Y140,  " ",  ""),"-",  "")))),  "")</f>
        <v/>
      </c>
    </row>
    <row r="131">
      <c r="A131" t="str">
        <f t="array" ref="A131">IFERROR(IF(ISBLANK('BOM Loader'!$Y141), "", transpose(INDIRECT(SUBSTITUTE(SUBSTITUTE('BOM Loader'!$Y141,  " ",  ""),"-",  "")))),  "")</f>
        <v/>
      </c>
    </row>
    <row r="132">
      <c r="A132" t="str">
        <f t="array" ref="A132">IFERROR(IF(ISBLANK('BOM Loader'!$Y142), "", transpose(INDIRECT(SUBSTITUTE(SUBSTITUTE('BOM Loader'!$Y142,  " ",  ""),"-",  "")))),  "")</f>
        <v/>
      </c>
    </row>
    <row r="133">
      <c r="A133" t="str">
        <f t="array" ref="A133">IFERROR(IF(ISBLANK('BOM Loader'!$Y143), "", transpose(INDIRECT(SUBSTITUTE(SUBSTITUTE('BOM Loader'!$Y143,  " ",  ""),"-",  "")))),  "")</f>
        <v/>
      </c>
    </row>
    <row r="134">
      <c r="A134" t="str">
        <f t="array" ref="A134">IFERROR(IF(ISBLANK('BOM Loader'!$Y144), "", transpose(INDIRECT(SUBSTITUTE(SUBSTITUTE('BOM Loader'!$Y144,  " ",  ""),"-",  "")))),  "")</f>
        <v/>
      </c>
    </row>
    <row r="135">
      <c r="A135" t="str">
        <f t="array" ref="A135">IFERROR(IF(ISBLANK('BOM Loader'!$Y145), "", transpose(INDIRECT(SUBSTITUTE(SUBSTITUTE('BOM Loader'!$Y145,  " ",  ""),"-",  "")))),  "")</f>
        <v/>
      </c>
    </row>
    <row r="136">
      <c r="A136" t="str">
        <f t="array" ref="A136">IFERROR(IF(ISBLANK('BOM Loader'!$Y146), "", transpose(INDIRECT(SUBSTITUTE(SUBSTITUTE('BOM Loader'!$Y146,  " ",  ""),"-",  "")))),  "")</f>
        <v/>
      </c>
    </row>
    <row r="137">
      <c r="A137" t="str">
        <f t="array" ref="A137">IFERROR(IF(ISBLANK('BOM Loader'!$Y147), "", transpose(INDIRECT(SUBSTITUTE(SUBSTITUTE('BOM Loader'!$Y147,  " ",  ""),"-",  "")))),  "")</f>
        <v/>
      </c>
    </row>
    <row r="138">
      <c r="A138" t="str">
        <f t="array" ref="A138">IFERROR(IF(ISBLANK('BOM Loader'!$Y148), "", transpose(INDIRECT(SUBSTITUTE(SUBSTITUTE('BOM Loader'!$Y148,  " ",  ""),"-",  "")))),  "")</f>
        <v/>
      </c>
    </row>
    <row r="139">
      <c r="A139" t="str">
        <f t="array" ref="A139">IFERROR(IF(ISBLANK('BOM Loader'!$Y149), "", transpose(INDIRECT(SUBSTITUTE(SUBSTITUTE('BOM Loader'!$Y149,  " ",  ""),"-",  "")))),  "")</f>
        <v/>
      </c>
    </row>
    <row r="140">
      <c r="A140" t="str">
        <f t="array" ref="A140">IFERROR(IF(ISBLANK('BOM Loader'!$Y150), "", transpose(INDIRECT(SUBSTITUTE(SUBSTITUTE('BOM Loader'!$Y150,  " ",  ""),"-",  "")))),  "")</f>
        <v/>
      </c>
    </row>
    <row r="141">
      <c r="A141" t="str">
        <f t="array" ref="A141">IFERROR(IF(ISBLANK('BOM Loader'!$Y151), "", transpose(INDIRECT(SUBSTITUTE(SUBSTITUTE('BOM Loader'!$Y151,  " ",  ""),"-",  "")))),  "")</f>
        <v/>
      </c>
    </row>
    <row r="142">
      <c r="A142" t="str">
        <f t="array" ref="A142">IFERROR(IF(ISBLANK('BOM Loader'!$Y152), "", transpose(INDIRECT(SUBSTITUTE(SUBSTITUTE('BOM Loader'!$Y152,  " ",  ""),"-",  "")))),  "")</f>
        <v/>
      </c>
    </row>
    <row r="143">
      <c r="A143" t="str">
        <f t="array" ref="A143">IFERROR(IF(ISBLANK('BOM Loader'!$Y153), "", transpose(INDIRECT(SUBSTITUTE(SUBSTITUTE('BOM Loader'!$Y153,  " ",  ""),"-",  "")))),  "")</f>
        <v/>
      </c>
    </row>
    <row r="144">
      <c r="A144" t="str">
        <f t="array" ref="A144">IFERROR(IF(ISBLANK('BOM Loader'!$Y154), "", transpose(INDIRECT(SUBSTITUTE(SUBSTITUTE('BOM Loader'!$Y154,  " ",  ""),"-",  "")))),  "")</f>
        <v/>
      </c>
    </row>
    <row r="145">
      <c r="A145" t="str">
        <f t="array" ref="A145">IFERROR(IF(ISBLANK('BOM Loader'!$Y155), "", transpose(INDIRECT(SUBSTITUTE(SUBSTITUTE('BOM Loader'!$Y155,  " ",  ""),"-",  "")))),  "")</f>
        <v/>
      </c>
    </row>
    <row r="146">
      <c r="A146" t="str">
        <f t="array" ref="A146">IFERROR(IF(ISBLANK('BOM Loader'!$Y156), "", transpose(INDIRECT(SUBSTITUTE(SUBSTITUTE('BOM Loader'!$Y156,  " ",  ""),"-",  "")))),  "")</f>
        <v/>
      </c>
    </row>
    <row r="147">
      <c r="A147" t="str">
        <f t="array" ref="A147">IFERROR(IF(ISBLANK('BOM Loader'!$Y157), "", transpose(INDIRECT(SUBSTITUTE(SUBSTITUTE('BOM Loader'!$Y157,  " ",  ""),"-",  "")))),  "")</f>
        <v/>
      </c>
    </row>
    <row r="148">
      <c r="A148" t="str">
        <f t="array" ref="A148">IFERROR(IF(ISBLANK('BOM Loader'!$Y158), "", transpose(INDIRECT(SUBSTITUTE(SUBSTITUTE('BOM Loader'!$Y158,  " ",  ""),"-",  "")))),  "")</f>
        <v/>
      </c>
    </row>
    <row r="149">
      <c r="A149" t="str">
        <f t="array" ref="A149">IFERROR(IF(ISBLANK('BOM Loader'!$Y159), "", transpose(INDIRECT(SUBSTITUTE(SUBSTITUTE('BOM Loader'!$Y159,  " ",  ""),"-",  "")))),  "")</f>
        <v/>
      </c>
    </row>
    <row r="150">
      <c r="A150" t="str">
        <f t="array" ref="A150">IFERROR(IF(ISBLANK('BOM Loader'!$Y160), "", transpose(INDIRECT(SUBSTITUTE(SUBSTITUTE('BOM Loader'!$Y160,  " ",  ""),"-",  "")))),  "")</f>
        <v/>
      </c>
    </row>
    <row r="151">
      <c r="A151" t="str">
        <f t="array" ref="A151">IFERROR(IF(ISBLANK('BOM Loader'!$Y161), "", transpose(INDIRECT(SUBSTITUTE(SUBSTITUTE('BOM Loader'!$Y161,  " ",  ""),"-",  "")))),  "")</f>
        <v/>
      </c>
    </row>
    <row r="152">
      <c r="A152" t="str">
        <f t="array" ref="A152">IFERROR(IF(ISBLANK('BOM Loader'!$Y162), "", transpose(INDIRECT(SUBSTITUTE(SUBSTITUTE('BOM Loader'!$Y162,  " ",  ""),"-",  "")))),  "")</f>
        <v/>
      </c>
    </row>
    <row r="153">
      <c r="A153" t="str">
        <f t="array" ref="A153">IFERROR(IF(ISBLANK('BOM Loader'!$Y163), "", transpose(INDIRECT(SUBSTITUTE(SUBSTITUTE('BOM Loader'!$Y163,  " ",  ""),"-",  "")))),  "")</f>
        <v/>
      </c>
    </row>
    <row r="154">
      <c r="A154" t="str">
        <f t="array" ref="A154">IFERROR(IF(ISBLANK('BOM Loader'!$Y164), "", transpose(INDIRECT(SUBSTITUTE(SUBSTITUTE('BOM Loader'!$Y164,  " ",  ""),"-",  "")))),  "")</f>
        <v/>
      </c>
    </row>
    <row r="155">
      <c r="A155" t="str">
        <f t="array" ref="A155">IFERROR(IF(ISBLANK('BOM Loader'!$Y165), "", transpose(INDIRECT(SUBSTITUTE(SUBSTITUTE('BOM Loader'!$Y165,  " ",  ""),"-",  "")))),  "")</f>
        <v/>
      </c>
    </row>
    <row r="156">
      <c r="A156" t="str">
        <f t="array" ref="A156">IFERROR(IF(ISBLANK('BOM Loader'!$Y166), "", transpose(INDIRECT(SUBSTITUTE(SUBSTITUTE('BOM Loader'!$Y166,  " ",  ""),"-",  "")))),  "")</f>
        <v/>
      </c>
    </row>
    <row r="157">
      <c r="A157" t="str">
        <f t="array" ref="A157">IFERROR(IF(ISBLANK('BOM Loader'!$Y167), "", transpose(INDIRECT(SUBSTITUTE(SUBSTITUTE('BOM Loader'!$Y167,  " ",  ""),"-",  "")))),  "")</f>
        <v/>
      </c>
    </row>
    <row r="158">
      <c r="A158" t="str">
        <f t="array" ref="A158">IFERROR(IF(ISBLANK('BOM Loader'!$Y168), "", transpose(INDIRECT(SUBSTITUTE(SUBSTITUTE('BOM Loader'!$Y168,  " ",  ""),"-",  "")))),  "")</f>
        <v/>
      </c>
    </row>
    <row r="159">
      <c r="A159" t="str">
        <f t="array" ref="A159">IFERROR(IF(ISBLANK('BOM Loader'!$Y169), "", transpose(INDIRECT(SUBSTITUTE(SUBSTITUTE('BOM Loader'!$Y169,  " ",  ""),"-",  "")))),  "")</f>
        <v/>
      </c>
    </row>
    <row r="160">
      <c r="A160" t="str">
        <f t="array" ref="A160">IFERROR(IF(ISBLANK('BOM Loader'!$Y170), "", transpose(INDIRECT(SUBSTITUTE(SUBSTITUTE('BOM Loader'!$Y170,  " ",  ""),"-",  "")))),  "")</f>
        <v/>
      </c>
    </row>
    <row r="161">
      <c r="A161" t="str">
        <f t="array" ref="A161">IFERROR(IF(ISBLANK('BOM Loader'!$Y171), "", transpose(INDIRECT(SUBSTITUTE(SUBSTITUTE('BOM Loader'!$Y171,  " ",  ""),"-",  "")))),  "")</f>
        <v/>
      </c>
    </row>
    <row r="162">
      <c r="A162" t="str">
        <f t="array" ref="A162">IFERROR(IF(ISBLANK('BOM Loader'!$Y172), "", transpose(INDIRECT(SUBSTITUTE(SUBSTITUTE('BOM Loader'!$Y172,  " ",  ""),"-",  "")))),  "")</f>
        <v/>
      </c>
    </row>
    <row r="163">
      <c r="A163" t="str">
        <f t="array" ref="A163">IFERROR(IF(ISBLANK('BOM Loader'!$Y173), "", transpose(INDIRECT(SUBSTITUTE(SUBSTITUTE('BOM Loader'!$Y173,  " ",  ""),"-",  "")))),  "")</f>
        <v/>
      </c>
    </row>
    <row r="164">
      <c r="A164" t="str">
        <f t="array" ref="A164">IFERROR(IF(ISBLANK('BOM Loader'!$Y174), "", transpose(INDIRECT(SUBSTITUTE(SUBSTITUTE('BOM Loader'!$Y174,  " ",  ""),"-",  "")))),  "")</f>
        <v/>
      </c>
    </row>
    <row r="165">
      <c r="A165" t="str">
        <f t="array" ref="A165">IFERROR(IF(ISBLANK('BOM Loader'!$Y175), "", transpose(INDIRECT(SUBSTITUTE(SUBSTITUTE('BOM Loader'!$Y175,  " ",  ""),"-",  "")))),  "")</f>
        <v/>
      </c>
    </row>
    <row r="166">
      <c r="A166" t="str">
        <f t="array" ref="A166">IFERROR(IF(ISBLANK('BOM Loader'!$Y176), "", transpose(INDIRECT(SUBSTITUTE(SUBSTITUTE('BOM Loader'!$Y176,  " ",  ""),"-",  "")))),  "")</f>
        <v/>
      </c>
    </row>
    <row r="167">
      <c r="A167" t="str">
        <f t="array" ref="A167">IFERROR(IF(ISBLANK('BOM Loader'!$Y177), "", transpose(INDIRECT(SUBSTITUTE(SUBSTITUTE('BOM Loader'!$Y177,  " ",  ""),"-",  "")))),  "")</f>
        <v/>
      </c>
    </row>
    <row r="168">
      <c r="A168" t="str">
        <f t="array" ref="A168">IFERROR(IF(ISBLANK('BOM Loader'!$Y178), "", transpose(INDIRECT(SUBSTITUTE(SUBSTITUTE('BOM Loader'!$Y178,  " ",  ""),"-",  "")))),  "")</f>
        <v/>
      </c>
    </row>
    <row r="169">
      <c r="A169" t="str">
        <f t="array" ref="A169">IFERROR(IF(ISBLANK('BOM Loader'!$Y179), "", transpose(INDIRECT(SUBSTITUTE(SUBSTITUTE('BOM Loader'!$Y179,  " ",  ""),"-",  "")))),  "")</f>
        <v/>
      </c>
    </row>
    <row r="170">
      <c r="A170" t="str">
        <f t="array" ref="A170">IFERROR(IF(ISBLANK('BOM Loader'!$Y180), "", transpose(INDIRECT(SUBSTITUTE(SUBSTITUTE('BOM Loader'!$Y180,  " ",  ""),"-",  "")))),  "")</f>
        <v/>
      </c>
    </row>
    <row r="171">
      <c r="A171" t="str">
        <f t="array" ref="A171">IFERROR(IF(ISBLANK('BOM Loader'!$Y181), "", transpose(INDIRECT(SUBSTITUTE(SUBSTITUTE('BOM Loader'!$Y181,  " ",  ""),"-",  "")))),  "")</f>
        <v/>
      </c>
    </row>
    <row r="172">
      <c r="A172" t="str">
        <f t="array" ref="A172">IFERROR(IF(ISBLANK('BOM Loader'!$Y182), "", transpose(INDIRECT(SUBSTITUTE(SUBSTITUTE('BOM Loader'!$Y182,  " ",  ""),"-",  "")))),  "")</f>
        <v/>
      </c>
    </row>
    <row r="173">
      <c r="A173" t="str">
        <f t="array" ref="A173">IFERROR(IF(ISBLANK('BOM Loader'!$Y183), "", transpose(INDIRECT(SUBSTITUTE(SUBSTITUTE('BOM Loader'!$Y183,  " ",  ""),"-",  "")))),  "")</f>
        <v/>
      </c>
    </row>
    <row r="174">
      <c r="A174" t="str">
        <f t="array" ref="A174">IFERROR(IF(ISBLANK('BOM Loader'!$Y184), "", transpose(INDIRECT(SUBSTITUTE(SUBSTITUTE('BOM Loader'!$Y184,  " ",  ""),"-",  "")))),  "")</f>
        <v/>
      </c>
    </row>
    <row r="175">
      <c r="A175" t="str">
        <f t="array" ref="A175">IFERROR(IF(ISBLANK('BOM Loader'!$Y185), "", transpose(INDIRECT(SUBSTITUTE(SUBSTITUTE('BOM Loader'!$Y185,  " ",  ""),"-",  "")))),  "")</f>
        <v/>
      </c>
    </row>
    <row r="176">
      <c r="A176" t="str">
        <f t="array" ref="A176">IFERROR(IF(ISBLANK('BOM Loader'!$Y186), "", transpose(INDIRECT(SUBSTITUTE(SUBSTITUTE('BOM Loader'!$Y186,  " ",  ""),"-",  "")))),  "")</f>
        <v/>
      </c>
    </row>
    <row r="177">
      <c r="A177" t="str">
        <f t="array" ref="A177">IFERROR(IF(ISBLANK('BOM Loader'!$Y187), "", transpose(INDIRECT(SUBSTITUTE(SUBSTITUTE('BOM Loader'!$Y187,  " ",  ""),"-",  "")))),  "")</f>
        <v/>
      </c>
    </row>
    <row r="178">
      <c r="A178" t="str">
        <f t="array" ref="A178">IFERROR(IF(ISBLANK('BOM Loader'!$Y188), "", transpose(INDIRECT(SUBSTITUTE(SUBSTITUTE('BOM Loader'!$Y188,  " ",  ""),"-",  "")))),  "")</f>
        <v/>
      </c>
    </row>
    <row r="179">
      <c r="A179" t="str">
        <f t="array" ref="A179">IFERROR(IF(ISBLANK('BOM Loader'!$Y189), "", transpose(INDIRECT(SUBSTITUTE(SUBSTITUTE('BOM Loader'!$Y189,  " ",  ""),"-",  "")))),  "")</f>
        <v/>
      </c>
    </row>
    <row r="180">
      <c r="A180" t="str">
        <f t="array" ref="A180">IFERROR(IF(ISBLANK('BOM Loader'!$Y190), "", transpose(INDIRECT(SUBSTITUTE(SUBSTITUTE('BOM Loader'!$Y190,  " ",  ""),"-",  "")))),  "")</f>
        <v/>
      </c>
    </row>
    <row r="181">
      <c r="A181" t="str">
        <f t="array" ref="A181">IFERROR(IF(ISBLANK('BOM Loader'!$Y191), "", transpose(INDIRECT(SUBSTITUTE(SUBSTITUTE('BOM Loader'!$Y191,  " ",  ""),"-",  "")))),  "")</f>
        <v/>
      </c>
    </row>
    <row r="182">
      <c r="A182" t="str">
        <f t="array" ref="A182">IFERROR(IF(ISBLANK('BOM Loader'!$Y192), "", transpose(INDIRECT(SUBSTITUTE(SUBSTITUTE('BOM Loader'!$Y192,  " ",  ""),"-",  "")))),  "")</f>
        <v/>
      </c>
    </row>
    <row r="183">
      <c r="A183" t="str">
        <f t="array" ref="A183">IFERROR(IF(ISBLANK('BOM Loader'!$Y193), "", transpose(INDIRECT(SUBSTITUTE(SUBSTITUTE('BOM Loader'!$Y193,  " ",  ""),"-",  "")))),  "")</f>
        <v/>
      </c>
    </row>
    <row r="184">
      <c r="A184" t="str">
        <f t="array" ref="A184">IFERROR(IF(ISBLANK('BOM Loader'!$Y194), "", transpose(INDIRECT(SUBSTITUTE(SUBSTITUTE('BOM Loader'!$Y194,  " ",  ""),"-",  "")))),  "")</f>
        <v/>
      </c>
    </row>
    <row r="185">
      <c r="A185" t="str">
        <f t="array" ref="A185">IFERROR(IF(ISBLANK('BOM Loader'!$Y195), "", transpose(INDIRECT(SUBSTITUTE(SUBSTITUTE('BOM Loader'!$Y195,  " ",  ""),"-",  "")))),  "")</f>
        <v/>
      </c>
    </row>
    <row r="186">
      <c r="A186" t="str">
        <f t="array" ref="A186">IFERROR(IF(ISBLANK('BOM Loader'!$Y196), "", transpose(INDIRECT(SUBSTITUTE(SUBSTITUTE('BOM Loader'!$Y196,  " ",  ""),"-",  "")))),  "")</f>
        <v/>
      </c>
    </row>
    <row r="187">
      <c r="A187" t="str">
        <f t="array" ref="A187">IFERROR(IF(ISBLANK('BOM Loader'!$Y197), "", transpose(INDIRECT(SUBSTITUTE(SUBSTITUTE('BOM Loader'!$Y197,  " ",  ""),"-",  "")))),  "")</f>
        <v/>
      </c>
    </row>
    <row r="188">
      <c r="A188" t="str">
        <f t="array" ref="A188">IFERROR(IF(ISBLANK('BOM Loader'!$Y198), "", transpose(INDIRECT(SUBSTITUTE(SUBSTITUTE('BOM Loader'!$Y198,  " ",  ""),"-",  "")))),  "")</f>
        <v/>
      </c>
    </row>
    <row r="189">
      <c r="A189" t="str">
        <f t="array" ref="A189">IFERROR(IF(ISBLANK('BOM Loader'!$Y199), "", transpose(INDIRECT(SUBSTITUTE(SUBSTITUTE('BOM Loader'!$Y199,  " ",  ""),"-",  "")))),  "")</f>
        <v/>
      </c>
    </row>
    <row r="190">
      <c r="A190" t="str">
        <f t="array" ref="A190">IFERROR(IF(ISBLANK('BOM Loader'!$Y200), "", transpose(INDIRECT(SUBSTITUTE(SUBSTITUTE('BOM Loader'!$Y200,  " ",  ""),"-",  "")))),  "")</f>
        <v/>
      </c>
    </row>
    <row r="191">
      <c r="A191" t="str">
        <f t="array" ref="A191">IFERROR(IF(ISBLANK('BOM Loader'!$Y201), "", transpose(INDIRECT(SUBSTITUTE(SUBSTITUTE('BOM Loader'!$Y201,  " ",  ""),"-",  "")))),  "")</f>
        <v/>
      </c>
    </row>
    <row r="192">
      <c r="A192" t="str">
        <f t="array" ref="A192">IFERROR(IF(ISBLANK('BOM Loader'!$Y202), "", transpose(INDIRECT(SUBSTITUTE(SUBSTITUTE('BOM Loader'!$Y202,  " ",  ""),"-",  "")))),  "")</f>
        <v/>
      </c>
    </row>
    <row r="193">
      <c r="A193" t="str">
        <f t="array" ref="A193">IFERROR(IF(ISBLANK('BOM Loader'!$Y203), "", transpose(INDIRECT(SUBSTITUTE(SUBSTITUTE('BOM Loader'!$Y203,  " ",  ""),"-",  "")))),  "")</f>
        <v/>
      </c>
    </row>
    <row r="194">
      <c r="A194" t="str">
        <f t="array" ref="A194">IFERROR(IF(ISBLANK('BOM Loader'!$Y204), "", transpose(INDIRECT(SUBSTITUTE(SUBSTITUTE('BOM Loader'!$Y204,  " ",  ""),"-",  "")))),  "")</f>
        <v/>
      </c>
    </row>
    <row r="195">
      <c r="A195" t="str">
        <f t="array" ref="A195">IFERROR(IF(ISBLANK('BOM Loader'!$Y205), "", transpose(INDIRECT(SUBSTITUTE(SUBSTITUTE('BOM Loader'!$Y205,  " ",  ""),"-",  "")))),  "")</f>
        <v/>
      </c>
    </row>
    <row r="196">
      <c r="A196" t="str">
        <f t="array" ref="A196">IFERROR(IF(ISBLANK('BOM Loader'!$Y206), "", transpose(INDIRECT(SUBSTITUTE(SUBSTITUTE('BOM Loader'!$Y206,  " ",  ""),"-",  "")))),  "")</f>
        <v/>
      </c>
    </row>
    <row r="197">
      <c r="A197" t="str">
        <f t="array" ref="A197">IFERROR(IF(ISBLANK('BOM Loader'!$Y207), "", transpose(INDIRECT(SUBSTITUTE(SUBSTITUTE('BOM Loader'!$Y207,  " ",  ""),"-",  "")))),  "")</f>
        <v/>
      </c>
    </row>
    <row r="198">
      <c r="A198" t="str">
        <f t="array" ref="A198">IFERROR(IF(ISBLANK('BOM Loader'!$Y208), "", transpose(INDIRECT(SUBSTITUTE(SUBSTITUTE('BOM Loader'!$Y208,  " ",  ""),"-",  "")))),  "")</f>
        <v/>
      </c>
    </row>
    <row r="199">
      <c r="A199" t="str">
        <f t="array" ref="A199">IFERROR(IF(ISBLANK('BOM Loader'!$Y209), "", transpose(INDIRECT(SUBSTITUTE(SUBSTITUTE('BOM Loader'!$Y209,  " ",  ""),"-",  "")))),  "")</f>
        <v/>
      </c>
    </row>
    <row r="200">
      <c r="A200" t="str">
        <f t="array" ref="A200">IFERROR(IF(ISBLANK('BOM Loader'!$Y210), "", transpose(INDIRECT(SUBSTITUTE(SUBSTITUTE('BOM Loader'!$Y210,  " ",  ""),"-",  "")))),  "")</f>
        <v/>
      </c>
    </row>
    <row r="201">
      <c r="A201" t="str">
        <f t="array" ref="A201">IFERROR(IF(ISBLANK('BOM Loader'!$Y211), "", transpose(INDIRECT(SUBSTITUTE(SUBSTITUTE('BOM Loader'!$Y211,  " ",  ""),"-",  "")))),  "")</f>
        <v/>
      </c>
    </row>
    <row r="202">
      <c r="A202" t="str">
        <f t="array" ref="A202">IFERROR(IF(ISBLANK('BOM Loader'!$Y212), "", transpose(INDIRECT(SUBSTITUTE(SUBSTITUTE('BOM Loader'!$Y212,  " ",  ""),"-",  "")))),  "")</f>
        <v/>
      </c>
    </row>
    <row r="203">
      <c r="A203" t="str">
        <f t="array" ref="A203">IFERROR(IF(ISBLANK('BOM Loader'!$Y213), "", transpose(INDIRECT(SUBSTITUTE(SUBSTITUTE('BOM Loader'!$Y213,  " ",  ""),"-",  "")))),  "")</f>
        <v/>
      </c>
    </row>
    <row r="204">
      <c r="A204" t="str">
        <f t="array" ref="A204">IFERROR(IF(ISBLANK('BOM Loader'!$Y214), "", transpose(INDIRECT(SUBSTITUTE(SUBSTITUTE('BOM Loader'!$Y214,  " ",  ""),"-",  "")))),  "")</f>
        <v/>
      </c>
    </row>
    <row r="205">
      <c r="A205" t="str">
        <f t="array" ref="A205">IFERROR(IF(ISBLANK('BOM Loader'!$Y215), "", transpose(INDIRECT(SUBSTITUTE(SUBSTITUTE('BOM Loader'!$Y215,  " ",  ""),"-",  "")))),  "")</f>
        <v/>
      </c>
    </row>
    <row r="206">
      <c r="A206" t="str">
        <f t="array" ref="A206">IFERROR(IF(ISBLANK('BOM Loader'!$Y216), "", transpose(INDIRECT(SUBSTITUTE(SUBSTITUTE('BOM Loader'!$Y216,  " ",  ""),"-",  "")))),  "")</f>
        <v/>
      </c>
    </row>
    <row r="207">
      <c r="A207" t="str">
        <f t="array" ref="A207">IFERROR(IF(ISBLANK('BOM Loader'!$Y217), "", transpose(INDIRECT(SUBSTITUTE(SUBSTITUTE('BOM Loader'!$Y217,  " ",  ""),"-",  "")))),  "")</f>
        <v/>
      </c>
    </row>
    <row r="208">
      <c r="A208" t="str">
        <f t="array" ref="A208">IFERROR(IF(ISBLANK('BOM Loader'!$Y218), "", transpose(INDIRECT(SUBSTITUTE(SUBSTITUTE('BOM Loader'!$Y218,  " ",  ""),"-",  "")))),  "")</f>
        <v/>
      </c>
    </row>
    <row r="209">
      <c r="A209" t="str">
        <f t="array" ref="A209">IFERROR(IF(ISBLANK('BOM Loader'!$Y219), "", transpose(INDIRECT(SUBSTITUTE(SUBSTITUTE('BOM Loader'!$Y219,  " ",  ""),"-",  "")))),  "")</f>
        <v/>
      </c>
    </row>
    <row r="210">
      <c r="A210" t="str">
        <f t="array" ref="A210">IFERROR(IF(ISBLANK('BOM Loader'!$Y220), "", transpose(INDIRECT(SUBSTITUTE(SUBSTITUTE('BOM Loader'!$Y220,  " ",  ""),"-",  "")))),  "")</f>
        <v/>
      </c>
    </row>
    <row r="211">
      <c r="A211" t="str">
        <f t="array" ref="A211">IFERROR(IF(ISBLANK('BOM Loader'!$Y221), "", transpose(INDIRECT(SUBSTITUTE(SUBSTITUTE('BOM Loader'!$Y221,  " ",  ""),"-",  "")))),  "")</f>
        <v/>
      </c>
    </row>
    <row r="212">
      <c r="A212" t="str">
        <f t="array" ref="A212">IFERROR(IF(ISBLANK('BOM Loader'!$Y222), "", transpose(INDIRECT(SUBSTITUTE(SUBSTITUTE('BOM Loader'!$Y222,  " ",  ""),"-",  "")))),  "")</f>
        <v/>
      </c>
    </row>
    <row r="213">
      <c r="A213" t="str">
        <f t="array" ref="A213">IFERROR(IF(ISBLANK('BOM Loader'!$Y223), "", transpose(INDIRECT(SUBSTITUTE(SUBSTITUTE('BOM Loader'!$Y223,  " ",  ""),"-",  "")))),  "")</f>
        <v/>
      </c>
    </row>
    <row r="214">
      <c r="A214" t="str">
        <f t="array" ref="A214">IFERROR(IF(ISBLANK('BOM Loader'!$Y224), "", transpose(INDIRECT(SUBSTITUTE(SUBSTITUTE('BOM Loader'!$Y224,  " ",  ""),"-",  "")))),  "")</f>
        <v/>
      </c>
    </row>
    <row r="215">
      <c r="A215" t="str">
        <f t="array" ref="A215">IFERROR(IF(ISBLANK('BOM Loader'!$Y225), "", transpose(INDIRECT(SUBSTITUTE(SUBSTITUTE('BOM Loader'!$Y225,  " ",  ""),"-",  "")))),  "")</f>
        <v/>
      </c>
    </row>
    <row r="216">
      <c r="A216" t="str">
        <f t="array" ref="A216">IFERROR(IF(ISBLANK('BOM Loader'!$Y226), "", transpose(INDIRECT(SUBSTITUTE(SUBSTITUTE('BOM Loader'!$Y226,  " ",  ""),"-",  "")))),  "")</f>
        <v/>
      </c>
    </row>
    <row r="217">
      <c r="A217" t="str">
        <f t="array" ref="A217">IFERROR(IF(ISBLANK('BOM Loader'!$Y227), "", transpose(INDIRECT(SUBSTITUTE(SUBSTITUTE('BOM Loader'!$Y227,  " ",  ""),"-",  "")))),  "")</f>
        <v/>
      </c>
    </row>
    <row r="218">
      <c r="A218" t="str">
        <f t="array" ref="A218">IFERROR(IF(ISBLANK('BOM Loader'!$Y228), "", transpose(INDIRECT(SUBSTITUTE(SUBSTITUTE('BOM Loader'!$Y228,  " ",  ""),"-",  "")))),  "")</f>
        <v/>
      </c>
    </row>
    <row r="219">
      <c r="A219" t="str">
        <f t="array" ref="A219">IFERROR(IF(ISBLANK('BOM Loader'!$Y229), "", transpose(INDIRECT(SUBSTITUTE(SUBSTITUTE('BOM Loader'!$Y229,  " ",  ""),"-",  "")))),  "")</f>
        <v/>
      </c>
    </row>
    <row r="220">
      <c r="A220" t="str">
        <f t="array" ref="A220">IFERROR(IF(ISBLANK('BOM Loader'!$Y230), "", transpose(INDIRECT(SUBSTITUTE(SUBSTITUTE('BOM Loader'!$Y230,  " ",  ""),"-",  "")))),  "")</f>
        <v/>
      </c>
    </row>
    <row r="221">
      <c r="A221" t="str">
        <f t="array" ref="A221">IFERROR(IF(ISBLANK('BOM Loader'!$Y231), "", transpose(INDIRECT(SUBSTITUTE(SUBSTITUTE('BOM Loader'!$Y231,  " ",  ""),"-",  "")))),  "")</f>
        <v/>
      </c>
    </row>
    <row r="222">
      <c r="A222" t="str">
        <f t="array" ref="A222">IFERROR(IF(ISBLANK('BOM Loader'!$Y232), "", transpose(INDIRECT(SUBSTITUTE(SUBSTITUTE('BOM Loader'!$Y232,  " ",  ""),"-",  "")))),  "")</f>
        <v/>
      </c>
    </row>
    <row r="223">
      <c r="A223" t="str">
        <f t="array" ref="A223">IFERROR(IF(ISBLANK('BOM Loader'!$Y233), "", transpose(INDIRECT(SUBSTITUTE(SUBSTITUTE('BOM Loader'!$Y233,  " ",  ""),"-",  "")))),  "")</f>
        <v/>
      </c>
    </row>
    <row r="224">
      <c r="A224" t="str">
        <f t="array" ref="A224">IFERROR(IF(ISBLANK('BOM Loader'!$Y234), "", transpose(INDIRECT(SUBSTITUTE(SUBSTITUTE('BOM Loader'!$Y234,  " ",  ""),"-",  "")))),  "")</f>
        <v/>
      </c>
    </row>
    <row r="225">
      <c r="A225" t="str">
        <f t="array" ref="A225">IFERROR(IF(ISBLANK('BOM Loader'!$Y235), "", transpose(INDIRECT(SUBSTITUTE(SUBSTITUTE('BOM Loader'!$Y235,  " ",  ""),"-",  "")))),  "")</f>
        <v/>
      </c>
    </row>
    <row r="226">
      <c r="A226" t="str">
        <f t="array" ref="A226">IFERROR(IF(ISBLANK('BOM Loader'!$Y236), "", transpose(INDIRECT(SUBSTITUTE(SUBSTITUTE('BOM Loader'!$Y236,  " ",  ""),"-",  "")))),  "")</f>
        <v/>
      </c>
    </row>
    <row r="227">
      <c r="A227" t="str">
        <f t="array" ref="A227">IFERROR(IF(ISBLANK('BOM Loader'!$Y237), "", transpose(INDIRECT(SUBSTITUTE(SUBSTITUTE('BOM Loader'!$Y237,  " ",  ""),"-",  "")))),  "")</f>
        <v/>
      </c>
    </row>
    <row r="228">
      <c r="A228" t="str">
        <f t="array" ref="A228">IFERROR(IF(ISBLANK('BOM Loader'!$Y238), "", transpose(INDIRECT(SUBSTITUTE(SUBSTITUTE('BOM Loader'!$Y238,  " ",  ""),"-",  "")))),  "")</f>
        <v/>
      </c>
    </row>
    <row r="229">
      <c r="A229" t="str">
        <f t="array" ref="A229">IFERROR(IF(ISBLANK('BOM Loader'!$Y239), "", transpose(INDIRECT(SUBSTITUTE(SUBSTITUTE('BOM Loader'!$Y239,  " ",  ""),"-",  "")))),  "")</f>
        <v/>
      </c>
    </row>
    <row r="230">
      <c r="A230" t="str">
        <f t="array" ref="A230">IFERROR(IF(ISBLANK('BOM Loader'!$Y240), "", transpose(INDIRECT(SUBSTITUTE(SUBSTITUTE('BOM Loader'!$Y240,  " ",  ""),"-",  "")))),  "")</f>
        <v/>
      </c>
    </row>
    <row r="231">
      <c r="A231" t="str">
        <f t="array" ref="A231">IFERROR(IF(ISBLANK('BOM Loader'!$Y241), "", transpose(INDIRECT(SUBSTITUTE(SUBSTITUTE('BOM Loader'!$Y241,  " ",  ""),"-",  "")))),  "")</f>
        <v/>
      </c>
    </row>
    <row r="232">
      <c r="A232" t="str">
        <f t="array" ref="A232">IFERROR(IF(ISBLANK('BOM Loader'!$Y242), "", transpose(INDIRECT(SUBSTITUTE(SUBSTITUTE('BOM Loader'!$Y242,  " ",  ""),"-",  "")))),  "")</f>
        <v/>
      </c>
    </row>
    <row r="233">
      <c r="A233" t="str">
        <f t="array" ref="A233">IFERROR(IF(ISBLANK('BOM Loader'!$Y243), "", transpose(INDIRECT(SUBSTITUTE(SUBSTITUTE('BOM Loader'!$Y243,  " ",  ""),"-",  "")))),  "")</f>
        <v/>
      </c>
    </row>
    <row r="234">
      <c r="A234" t="str">
        <f t="array" ref="A234">IFERROR(IF(ISBLANK('BOM Loader'!$Y244), "", transpose(INDIRECT(SUBSTITUTE(SUBSTITUTE('BOM Loader'!$Y244,  " ",  ""),"-",  "")))),  "")</f>
        <v/>
      </c>
    </row>
    <row r="235">
      <c r="A235" t="str">
        <f t="array" ref="A235">IFERROR(IF(ISBLANK('BOM Loader'!$Y245), "", transpose(INDIRECT(SUBSTITUTE(SUBSTITUTE('BOM Loader'!$Y245,  " ",  ""),"-",  "")))),  "")</f>
        <v/>
      </c>
    </row>
    <row r="236">
      <c r="A236" t="str">
        <f t="array" ref="A236">IFERROR(IF(ISBLANK('BOM Loader'!$Y246), "", transpose(INDIRECT(SUBSTITUTE(SUBSTITUTE('BOM Loader'!$Y246,  " ",  ""),"-",  "")))),  "")</f>
        <v/>
      </c>
    </row>
    <row r="237">
      <c r="A237" t="str">
        <f t="array" ref="A237">IFERROR(IF(ISBLANK('BOM Loader'!$Y247), "", transpose(INDIRECT(SUBSTITUTE(SUBSTITUTE('BOM Loader'!$Y247,  " ",  ""),"-",  "")))),  "")</f>
        <v/>
      </c>
    </row>
    <row r="238">
      <c r="A238" t="str">
        <f t="array" ref="A238">IFERROR(IF(ISBLANK('BOM Loader'!$Y248), "", transpose(INDIRECT(SUBSTITUTE(SUBSTITUTE('BOM Loader'!$Y248,  " ",  ""),"-",  "")))),  "")</f>
        <v/>
      </c>
    </row>
    <row r="239">
      <c r="A239" t="str">
        <f t="array" ref="A239">IFERROR(IF(ISBLANK('BOM Loader'!$Y249), "", transpose(INDIRECT(SUBSTITUTE(SUBSTITUTE('BOM Loader'!$Y249,  " ",  ""),"-",  "")))),  "")</f>
        <v/>
      </c>
    </row>
    <row r="240">
      <c r="A240" t="str">
        <f t="array" ref="A240">IFERROR(IF(ISBLANK('BOM Loader'!$Y250), "", transpose(INDIRECT(SUBSTITUTE(SUBSTITUTE('BOM Loader'!$Y250,  " ",  ""),"-",  "")))),  "")</f>
        <v/>
      </c>
    </row>
    <row r="241">
      <c r="A241" t="str">
        <f t="array" ref="A241">IFERROR(IF(ISBLANK('BOM Loader'!$Y251), "", transpose(INDIRECT(SUBSTITUTE(SUBSTITUTE('BOM Loader'!$Y251,  " ",  ""),"-",  "")))),  "")</f>
        <v/>
      </c>
    </row>
    <row r="242">
      <c r="A242" t="str">
        <f t="array" ref="A242">IFERROR(IF(ISBLANK('BOM Loader'!$Y252), "", transpose(INDIRECT(SUBSTITUTE(SUBSTITUTE('BOM Loader'!$Y252,  " ",  ""),"-",  "")))),  "")</f>
        <v/>
      </c>
    </row>
    <row r="243">
      <c r="A243" t="str">
        <f t="array" ref="A243">IFERROR(IF(ISBLANK('BOM Loader'!$Y253), "", transpose(INDIRECT(SUBSTITUTE(SUBSTITUTE('BOM Loader'!$Y253,  " ",  ""),"-",  "")))),  "")</f>
        <v/>
      </c>
    </row>
    <row r="244">
      <c r="A244" t="str">
        <f t="array" ref="A244">IFERROR(IF(ISBLANK('BOM Loader'!$Y254), "", transpose(INDIRECT(SUBSTITUTE(SUBSTITUTE('BOM Loader'!$Y254,  " ",  ""),"-",  "")))),  "")</f>
        <v/>
      </c>
    </row>
    <row r="245">
      <c r="A245" t="str">
        <f t="array" ref="A245">IFERROR(IF(ISBLANK('BOM Loader'!$Y255), "", transpose(INDIRECT(SUBSTITUTE(SUBSTITUTE('BOM Loader'!$Y255,  " ",  ""),"-",  "")))),  "")</f>
        <v/>
      </c>
    </row>
    <row r="246">
      <c r="A246" t="str">
        <f t="array" ref="A246">IFERROR(IF(ISBLANK('BOM Loader'!$Y256), "", transpose(INDIRECT(SUBSTITUTE(SUBSTITUTE('BOM Loader'!$Y256,  " ",  ""),"-",  "")))),  "")</f>
        <v/>
      </c>
    </row>
    <row r="247">
      <c r="A247" t="str">
        <f t="array" ref="A247">IFERROR(IF(ISBLANK('BOM Loader'!$Y257), "", transpose(INDIRECT(SUBSTITUTE(SUBSTITUTE('BOM Loader'!$Y257,  " ",  ""),"-",  "")))),  "")</f>
        <v/>
      </c>
    </row>
    <row r="248">
      <c r="A248" t="str">
        <f t="array" ref="A248">IFERROR(IF(ISBLANK('BOM Loader'!$Y258), "", transpose(INDIRECT(SUBSTITUTE(SUBSTITUTE('BOM Loader'!$Y258,  " ",  ""),"-",  "")))),  "")</f>
        <v/>
      </c>
    </row>
    <row r="249">
      <c r="A249" t="str">
        <f t="array" ref="A249">IFERROR(IF(ISBLANK('BOM Loader'!$Y259), "", transpose(INDIRECT(SUBSTITUTE(SUBSTITUTE('BOM Loader'!$Y259,  " ",  ""),"-",  "")))),  "")</f>
        <v/>
      </c>
    </row>
    <row r="250">
      <c r="A250" t="str">
        <f t="array" ref="A250">IFERROR(IF(ISBLANK('BOM Loader'!$Y260), "", transpose(INDIRECT(SUBSTITUTE(SUBSTITUTE('BOM Loader'!$Y260,  " ",  ""),"-",  "")))),  "")</f>
        <v/>
      </c>
    </row>
    <row r="251">
      <c r="A251" t="str">
        <f t="array" ref="A251">IFERROR(IF(ISBLANK('BOM Loader'!$Y261), "", transpose(INDIRECT(SUBSTITUTE(SUBSTITUTE('BOM Loader'!$Y261,  " ",  ""),"-",  "")))),  "")</f>
        <v/>
      </c>
    </row>
    <row r="252">
      <c r="A252" t="str">
        <f t="array" ref="A252">IFERROR(IF(ISBLANK('BOM Loader'!$Y262), "", transpose(INDIRECT(SUBSTITUTE(SUBSTITUTE('BOM Loader'!$Y262,  " ",  ""),"-",  "")))),  "")</f>
        <v/>
      </c>
    </row>
    <row r="253">
      <c r="A253" t="str">
        <f t="array" ref="A253">IFERROR(IF(ISBLANK('BOM Loader'!$Y263), "", transpose(INDIRECT(SUBSTITUTE(SUBSTITUTE('BOM Loader'!$Y263,  " ",  ""),"-",  "")))),  "")</f>
        <v/>
      </c>
    </row>
    <row r="254">
      <c r="A254" t="str">
        <f t="array" ref="A254">IFERROR(IF(ISBLANK('BOM Loader'!$Y264), "", transpose(INDIRECT(SUBSTITUTE(SUBSTITUTE('BOM Loader'!$Y264,  " ",  ""),"-",  "")))),  "")</f>
        <v/>
      </c>
    </row>
    <row r="255">
      <c r="A255" t="str">
        <f t="array" ref="A255">IFERROR(IF(ISBLANK('BOM Loader'!$Y265), "", transpose(INDIRECT(SUBSTITUTE(SUBSTITUTE('BOM Loader'!$Y265,  " ",  ""),"-",  "")))),  "")</f>
        <v/>
      </c>
    </row>
    <row r="256">
      <c r="A256" t="str">
        <f t="array" ref="A256">IFERROR(IF(ISBLANK('BOM Loader'!$Y266), "", transpose(INDIRECT(SUBSTITUTE(SUBSTITUTE('BOM Loader'!$Y266,  " ",  ""),"-",  "")))),  "")</f>
        <v/>
      </c>
    </row>
    <row r="257">
      <c r="A257" t="str">
        <f t="array" ref="A257">IFERROR(IF(ISBLANK('BOM Loader'!$Y267), "", transpose(INDIRECT(SUBSTITUTE(SUBSTITUTE('BOM Loader'!$Y267,  " ",  ""),"-",  "")))),  "")</f>
        <v/>
      </c>
    </row>
    <row r="258">
      <c r="A258" t="str">
        <f t="array" ref="A258">IFERROR(IF(ISBLANK('BOM Loader'!$Y268), "", transpose(INDIRECT(SUBSTITUTE(SUBSTITUTE('BOM Loader'!$Y268,  " ",  ""),"-",  "")))),  "")</f>
        <v/>
      </c>
    </row>
    <row r="259">
      <c r="A259" t="str">
        <f t="array" ref="A259">IFERROR(IF(ISBLANK('BOM Loader'!$Y269), "", transpose(INDIRECT(SUBSTITUTE(SUBSTITUTE('BOM Loader'!$Y269,  " ",  ""),"-",  "")))),  "")</f>
        <v/>
      </c>
    </row>
    <row r="260">
      <c r="A260" t="str">
        <f t="array" ref="A260">IFERROR(IF(ISBLANK('BOM Loader'!$Y270), "", transpose(INDIRECT(SUBSTITUTE(SUBSTITUTE('BOM Loader'!$Y270,  " ",  ""),"-",  "")))),  "")</f>
        <v/>
      </c>
    </row>
    <row r="261">
      <c r="A261" t="str">
        <f t="array" ref="A261">IFERROR(IF(ISBLANK('BOM Loader'!$Y271), "", transpose(INDIRECT(SUBSTITUTE(SUBSTITUTE('BOM Loader'!$Y271,  " ",  ""),"-",  "")))),  "")</f>
        <v/>
      </c>
    </row>
    <row r="262">
      <c r="A262" t="str">
        <f t="array" ref="A262">IFERROR(IF(ISBLANK('BOM Loader'!$Y272), "", transpose(INDIRECT(SUBSTITUTE(SUBSTITUTE('BOM Loader'!$Y272,  " ",  ""),"-",  "")))),  "")</f>
        <v/>
      </c>
    </row>
    <row r="263">
      <c r="A263" t="str">
        <f t="array" ref="A263">IFERROR(IF(ISBLANK('BOM Loader'!$Y273), "", transpose(INDIRECT(SUBSTITUTE(SUBSTITUTE('BOM Loader'!$Y273,  " ",  ""),"-",  "")))),  "")</f>
        <v/>
      </c>
    </row>
    <row r="264">
      <c r="A264" t="str">
        <f t="array" ref="A264">IFERROR(IF(ISBLANK('BOM Loader'!$Y274), "", transpose(INDIRECT(SUBSTITUTE(SUBSTITUTE('BOM Loader'!$Y274,  " ",  ""),"-",  "")))),  "")</f>
        <v/>
      </c>
    </row>
    <row r="265">
      <c r="A265" t="str">
        <f t="array" ref="A265">IFERROR(IF(ISBLANK('BOM Loader'!$Y275), "", transpose(INDIRECT(SUBSTITUTE(SUBSTITUTE('BOM Loader'!$Y275,  " ",  ""),"-",  "")))),  "")</f>
        <v/>
      </c>
    </row>
    <row r="266">
      <c r="A266" t="str">
        <f t="array" ref="A266">IFERROR(IF(ISBLANK('BOM Loader'!$Y276), "", transpose(INDIRECT(SUBSTITUTE(SUBSTITUTE('BOM Loader'!$Y276,  " ",  ""),"-",  "")))),  "")</f>
        <v/>
      </c>
    </row>
    <row r="267">
      <c r="A267" t="str">
        <f t="array" ref="A267">IFERROR(IF(ISBLANK('BOM Loader'!$Y277), "", transpose(INDIRECT(SUBSTITUTE(SUBSTITUTE('BOM Loader'!$Y277,  " ",  ""),"-",  "")))),  "")</f>
        <v/>
      </c>
    </row>
    <row r="268">
      <c r="A268" t="str">
        <f t="array" ref="A268">IFERROR(IF(ISBLANK('BOM Loader'!$Y278), "", transpose(INDIRECT(SUBSTITUTE(SUBSTITUTE('BOM Loader'!$Y278,  " ",  ""),"-",  "")))),  "")</f>
        <v/>
      </c>
    </row>
    <row r="269">
      <c r="A269" t="str">
        <f t="array" ref="A269">IFERROR(IF(ISBLANK('BOM Loader'!$Y279), "", transpose(INDIRECT(SUBSTITUTE(SUBSTITUTE('BOM Loader'!$Y279,  " ",  ""),"-",  "")))),  "")</f>
        <v/>
      </c>
    </row>
    <row r="270">
      <c r="A270" t="str">
        <f t="array" ref="A270">IFERROR(IF(ISBLANK('BOM Loader'!$Y280), "", transpose(INDIRECT(SUBSTITUTE(SUBSTITUTE('BOM Loader'!$Y280,  " ",  ""),"-",  "")))),  "")</f>
        <v/>
      </c>
    </row>
    <row r="271">
      <c r="A271" t="str">
        <f t="array" ref="A271">IFERROR(IF(ISBLANK('BOM Loader'!$Y281), "", transpose(INDIRECT(SUBSTITUTE(SUBSTITUTE('BOM Loader'!$Y281,  " ",  ""),"-",  "")))),  "")</f>
        <v/>
      </c>
    </row>
    <row r="272">
      <c r="A272" t="str">
        <f t="array" ref="A272">IFERROR(IF(ISBLANK('BOM Loader'!$Y282), "", transpose(INDIRECT(SUBSTITUTE(SUBSTITUTE('BOM Loader'!$Y282,  " ",  ""),"-",  "")))),  "")</f>
        <v/>
      </c>
    </row>
    <row r="273">
      <c r="A273" t="str">
        <f t="array" ref="A273">IFERROR(IF(ISBLANK('BOM Loader'!$Y283), "", transpose(INDIRECT(SUBSTITUTE(SUBSTITUTE('BOM Loader'!$Y283,  " ",  ""),"-",  "")))),  "")</f>
        <v/>
      </c>
    </row>
    <row r="274">
      <c r="A274" t="str">
        <f t="array" ref="A274">IFERROR(IF(ISBLANK('BOM Loader'!$Y284), "", transpose(INDIRECT(SUBSTITUTE(SUBSTITUTE('BOM Loader'!$Y284,  " ",  ""),"-",  "")))),  "")</f>
        <v/>
      </c>
    </row>
    <row r="275">
      <c r="A275" t="str">
        <f t="array" ref="A275">IFERROR(IF(ISBLANK('BOM Loader'!$Y285), "", transpose(INDIRECT(SUBSTITUTE(SUBSTITUTE('BOM Loader'!$Y285,  " ",  ""),"-",  "")))),  "")</f>
        <v/>
      </c>
    </row>
    <row r="276">
      <c r="A276" t="str">
        <f t="array" ref="A276">IFERROR(IF(ISBLANK('BOM Loader'!$Y286), "", transpose(INDIRECT(SUBSTITUTE(SUBSTITUTE('BOM Loader'!$Y286,  " ",  ""),"-",  "")))),  "")</f>
        <v/>
      </c>
    </row>
    <row r="277">
      <c r="A277" t="str">
        <f t="array" ref="A277">IFERROR(IF(ISBLANK('BOM Loader'!$Y287), "", transpose(INDIRECT(SUBSTITUTE(SUBSTITUTE('BOM Loader'!$Y287,  " ",  ""),"-",  "")))),  "")</f>
        <v/>
      </c>
    </row>
    <row r="278">
      <c r="A278" t="str">
        <f t="array" ref="A278">IFERROR(IF(ISBLANK('BOM Loader'!$Y288), "", transpose(INDIRECT(SUBSTITUTE(SUBSTITUTE('BOM Loader'!$Y288,  " ",  ""),"-",  "")))),  "")</f>
        <v/>
      </c>
    </row>
    <row r="279">
      <c r="A279" t="str">
        <f t="array" ref="A279">IFERROR(IF(ISBLANK('BOM Loader'!$Y289), "", transpose(INDIRECT(SUBSTITUTE(SUBSTITUTE('BOM Loader'!$Y289,  " ",  ""),"-",  "")))),  "")</f>
        <v/>
      </c>
    </row>
    <row r="280">
      <c r="A280" t="str">
        <f t="array" ref="A280">IFERROR(IF(ISBLANK('BOM Loader'!$Y290), "", transpose(INDIRECT(SUBSTITUTE(SUBSTITUTE('BOM Loader'!$Y290,  " ",  ""),"-",  "")))),  "")</f>
        <v/>
      </c>
    </row>
    <row r="281">
      <c r="A281" t="str">
        <f t="array" ref="A281">IFERROR(IF(ISBLANK('BOM Loader'!$Y291), "", transpose(INDIRECT(SUBSTITUTE(SUBSTITUTE('BOM Loader'!$Y291,  " ",  ""),"-",  "")))),  "")</f>
        <v/>
      </c>
    </row>
    <row r="282">
      <c r="A282" t="str">
        <f t="array" ref="A282">IFERROR(IF(ISBLANK('BOM Loader'!$Y292), "", transpose(INDIRECT(SUBSTITUTE(SUBSTITUTE('BOM Loader'!$Y292,  " ",  ""),"-",  "")))),  "")</f>
        <v/>
      </c>
    </row>
    <row r="283">
      <c r="A283" t="str">
        <f t="array" ref="A283">IFERROR(IF(ISBLANK('BOM Loader'!$Y293), "", transpose(INDIRECT(SUBSTITUTE(SUBSTITUTE('BOM Loader'!$Y293,  " ",  ""),"-",  "")))),  "")</f>
        <v/>
      </c>
    </row>
    <row r="284">
      <c r="A284" t="str">
        <f t="array" ref="A284">IFERROR(IF(ISBLANK('BOM Loader'!$Y294), "", transpose(INDIRECT(SUBSTITUTE(SUBSTITUTE('BOM Loader'!$Y294,  " ",  ""),"-",  "")))),  "")</f>
        <v/>
      </c>
    </row>
    <row r="285">
      <c r="A285" t="str">
        <f t="array" ref="A285">IFERROR(IF(ISBLANK('BOM Loader'!$Y295), "", transpose(INDIRECT(SUBSTITUTE(SUBSTITUTE('BOM Loader'!$Y295,  " ",  ""),"-",  "")))),  "")</f>
        <v/>
      </c>
    </row>
    <row r="286">
      <c r="A286" t="str">
        <f t="array" ref="A286">IFERROR(IF(ISBLANK('BOM Loader'!$Y296), "", transpose(INDIRECT(SUBSTITUTE(SUBSTITUTE('BOM Loader'!$Y296,  " ",  ""),"-",  "")))),  "")</f>
        <v/>
      </c>
    </row>
    <row r="287">
      <c r="A287" t="str">
        <f t="array" ref="A287">IFERROR(IF(ISBLANK('BOM Loader'!$Y297), "", transpose(INDIRECT(SUBSTITUTE(SUBSTITUTE('BOM Loader'!$Y297,  " ",  ""),"-",  "")))),  "")</f>
        <v/>
      </c>
    </row>
    <row r="288">
      <c r="A288" t="str">
        <f t="array" ref="A288">IFERROR(IF(ISBLANK('BOM Loader'!$Y298), "", transpose(INDIRECT(SUBSTITUTE(SUBSTITUTE('BOM Loader'!$Y298,  " ",  ""),"-",  "")))),  "")</f>
        <v/>
      </c>
    </row>
    <row r="289">
      <c r="A289" t="str">
        <f t="array" ref="A289">IFERROR(IF(ISBLANK('BOM Loader'!$Y299), "", transpose(INDIRECT(SUBSTITUTE(SUBSTITUTE('BOM Loader'!$Y299,  " ",  ""),"-",  "")))),  "")</f>
        <v/>
      </c>
    </row>
    <row r="290">
      <c r="A290" t="str">
        <f t="array" ref="A290">IFERROR(IF(ISBLANK('BOM Loader'!$Y300), "", transpose(INDIRECT(SUBSTITUTE(SUBSTITUTE('BOM Loader'!$Y300,  " ",  ""),"-",  "")))),  "")</f>
        <v/>
      </c>
    </row>
    <row r="291">
      <c r="A291" t="str">
        <f t="array" ref="A291">IFERROR(IF(ISBLANK('BOM Loader'!$Y301), "", transpose(INDIRECT(SUBSTITUTE(SUBSTITUTE('BOM Loader'!$Y301,  " ",  ""),"-",  "")))),  "")</f>
        <v/>
      </c>
    </row>
    <row r="292">
      <c r="A292" t="str">
        <f t="array" ref="A292">IFERROR(IF(ISBLANK('BOM Loader'!$Y302), "", transpose(INDIRECT(SUBSTITUTE(SUBSTITUTE('BOM Loader'!$Y302,  " ",  ""),"-",  "")))),  "")</f>
        <v/>
      </c>
    </row>
    <row r="293">
      <c r="A293" t="str">
        <f t="array" ref="A293">IFERROR(IF(ISBLANK('BOM Loader'!$Y303), "", transpose(INDIRECT(SUBSTITUTE(SUBSTITUTE('BOM Loader'!$Y303,  " ",  ""),"-",  "")))),  "")</f>
        <v/>
      </c>
    </row>
    <row r="294">
      <c r="A294" t="str">
        <f t="array" ref="A294">IFERROR(IF(ISBLANK('BOM Loader'!$Y304), "", transpose(INDIRECT(SUBSTITUTE(SUBSTITUTE('BOM Loader'!$Y304,  " ",  ""),"-",  "")))),  "")</f>
        <v/>
      </c>
    </row>
    <row r="295">
      <c r="A295" t="str">
        <f t="array" ref="A295">IFERROR(IF(ISBLANK('BOM Loader'!$Y305), "", transpose(INDIRECT(SUBSTITUTE(SUBSTITUTE('BOM Loader'!$Y305,  " ",  ""),"-",  "")))),  "")</f>
        <v/>
      </c>
    </row>
    <row r="296">
      <c r="A296" t="str">
        <f t="array" ref="A296">IFERROR(IF(ISBLANK('BOM Loader'!$Y306), "", transpose(INDIRECT(SUBSTITUTE(SUBSTITUTE('BOM Loader'!$Y306,  " ",  ""),"-",  "")))),  "")</f>
        <v/>
      </c>
    </row>
    <row r="297">
      <c r="A297" t="str">
        <f t="array" ref="A297">IFERROR(IF(ISBLANK('BOM Loader'!$Y307), "", transpose(INDIRECT(SUBSTITUTE(SUBSTITUTE('BOM Loader'!$Y307,  " ",  ""),"-",  "")))),  "")</f>
        <v/>
      </c>
    </row>
    <row r="298">
      <c r="A298" t="str">
        <f t="array" ref="A298">IFERROR(IF(ISBLANK('BOM Loader'!$Y308), "", transpose(INDIRECT(SUBSTITUTE(SUBSTITUTE('BOM Loader'!$Y308,  " ",  ""),"-",  "")))),  "")</f>
        <v/>
      </c>
    </row>
    <row r="299">
      <c r="A299" t="str">
        <f t="array" ref="A299">IFERROR(IF(ISBLANK('BOM Loader'!$Y309), "", transpose(INDIRECT(SUBSTITUTE(SUBSTITUTE('BOM Loader'!$Y309,  " ",  ""),"-",  "")))),  "")</f>
        <v/>
      </c>
    </row>
    <row r="300">
      <c r="A300" t="str">
        <f t="array" ref="A300">IFERROR(IF(ISBLANK('BOM Loader'!$Y310), "", transpose(INDIRECT(SUBSTITUTE(SUBSTITUTE('BOM Loader'!$Y310,  " ",  ""),"-",  "")))),  "")</f>
        <v/>
      </c>
    </row>
    <row r="301">
      <c r="A301" t="str">
        <f t="array" ref="A301">IFERROR(IF(ISBLANK('BOM Loader'!$Y311), "", transpose(INDIRECT(SUBSTITUTE(SUBSTITUTE('BOM Loader'!$Y311,  " ",  ""),"-",  "")))),  "")</f>
        <v/>
      </c>
    </row>
    <row r="302">
      <c r="A302" t="str">
        <f t="array" ref="A302">IFERROR(IF(ISBLANK('BOM Loader'!$Y312), "", transpose(INDIRECT(SUBSTITUTE(SUBSTITUTE('BOM Loader'!$Y312,  " ",  ""),"-",  "")))),  "")</f>
        <v/>
      </c>
    </row>
    <row r="303">
      <c r="A303" t="str">
        <f t="array" ref="A303">IFERROR(IF(ISBLANK('BOM Loader'!$Y313), "", transpose(INDIRECT(SUBSTITUTE(SUBSTITUTE('BOM Loader'!$Y313,  " ",  ""),"-",  "")))),  "")</f>
        <v/>
      </c>
    </row>
    <row r="304">
      <c r="A304" t="str">
        <f t="array" ref="A304">IFERROR(IF(ISBLANK('BOM Loader'!$Y314), "", transpose(INDIRECT(SUBSTITUTE(SUBSTITUTE('BOM Loader'!$Y314,  " ",  ""),"-",  "")))),  "")</f>
        <v/>
      </c>
    </row>
    <row r="305">
      <c r="A305" t="str">
        <f t="array" ref="A305">IFERROR(IF(ISBLANK('BOM Loader'!$Y315), "", transpose(INDIRECT(SUBSTITUTE(SUBSTITUTE('BOM Loader'!$Y315,  " ",  ""),"-",  "")))),  "")</f>
        <v/>
      </c>
    </row>
    <row r="306">
      <c r="A306" t="str">
        <f t="array" ref="A306">IFERROR(IF(ISBLANK('BOM Loader'!$Y316), "", transpose(INDIRECT(SUBSTITUTE(SUBSTITUTE('BOM Loader'!$Y316,  " ",  ""),"-",  "")))),  "")</f>
        <v/>
      </c>
    </row>
    <row r="307">
      <c r="A307" t="str">
        <f t="array" ref="A307">IFERROR(IF(ISBLANK('BOM Loader'!$Y317), "", transpose(INDIRECT(SUBSTITUTE(SUBSTITUTE('BOM Loader'!$Y317,  " ",  ""),"-",  "")))),  "")</f>
        <v/>
      </c>
    </row>
    <row r="308">
      <c r="A308" t="str">
        <f t="array" ref="A308">IFERROR(IF(ISBLANK('BOM Loader'!$Y318), "", transpose(INDIRECT(SUBSTITUTE(SUBSTITUTE('BOM Loader'!$Y318,  " ",  ""),"-",  "")))),  "")</f>
        <v/>
      </c>
    </row>
    <row r="309">
      <c r="A309" t="str">
        <f t="array" ref="A309">IFERROR(IF(ISBLANK('BOM Loader'!$Y319), "", transpose(INDIRECT(SUBSTITUTE(SUBSTITUTE('BOM Loader'!$Y319,  " ",  ""),"-",  "")))),  "")</f>
        <v/>
      </c>
    </row>
    <row r="310">
      <c r="A310" t="str">
        <f t="array" ref="A310">IFERROR(IF(ISBLANK('BOM Loader'!$Y320), "", transpose(INDIRECT(SUBSTITUTE(SUBSTITUTE('BOM Loader'!$Y320,  " ",  ""),"-",  "")))),  "")</f>
        <v/>
      </c>
    </row>
    <row r="311">
      <c r="A311" t="str">
        <f t="array" ref="A311">IFERROR(IF(ISBLANK('BOM Loader'!$Y321), "", transpose(INDIRECT(SUBSTITUTE(SUBSTITUTE('BOM Loader'!$Y321,  " ",  ""),"-",  "")))),  "")</f>
        <v/>
      </c>
    </row>
    <row r="312">
      <c r="A312" t="str">
        <f t="array" ref="A312">IFERROR(IF(ISBLANK('BOM Loader'!$Y322), "", transpose(INDIRECT(SUBSTITUTE(SUBSTITUTE('BOM Loader'!$Y322,  " ",  ""),"-",  "")))),  "")</f>
        <v/>
      </c>
    </row>
    <row r="313">
      <c r="A313" t="str">
        <f t="array" ref="A313">IFERROR(IF(ISBLANK('BOM Loader'!$Y323), "", transpose(INDIRECT(SUBSTITUTE(SUBSTITUTE('BOM Loader'!$Y323,  " ",  ""),"-",  "")))),  "")</f>
        <v/>
      </c>
    </row>
    <row r="314">
      <c r="A314" t="str">
        <f t="array" ref="A314">IFERROR(IF(ISBLANK('BOM Loader'!$Y324), "", transpose(INDIRECT(SUBSTITUTE(SUBSTITUTE('BOM Loader'!$Y324,  " ",  ""),"-",  "")))),  "")</f>
        <v/>
      </c>
    </row>
    <row r="315">
      <c r="A315" t="str">
        <f t="array" ref="A315">IFERROR(IF(ISBLANK('BOM Loader'!$Y325), "", transpose(INDIRECT(SUBSTITUTE(SUBSTITUTE('BOM Loader'!$Y325,  " ",  ""),"-",  "")))),  "")</f>
        <v/>
      </c>
    </row>
    <row r="316">
      <c r="A316" t="str">
        <f t="array" ref="A316">IFERROR(IF(ISBLANK('BOM Loader'!$Y326), "", transpose(INDIRECT(SUBSTITUTE(SUBSTITUTE('BOM Loader'!$Y326,  " ",  ""),"-",  "")))),  "")</f>
        <v/>
      </c>
    </row>
    <row r="317">
      <c r="A317" t="str">
        <f t="array" ref="A317">IFERROR(IF(ISBLANK('BOM Loader'!$Y327), "", transpose(INDIRECT(SUBSTITUTE(SUBSTITUTE('BOM Loader'!$Y327,  " ",  ""),"-",  "")))),  "")</f>
        <v/>
      </c>
    </row>
    <row r="318">
      <c r="A318" t="str">
        <f t="array" ref="A318">IFERROR(IF(ISBLANK('BOM Loader'!$Y328), "", transpose(INDIRECT(SUBSTITUTE(SUBSTITUTE('BOM Loader'!$Y328,  " ",  ""),"-",  "")))),  "")</f>
        <v/>
      </c>
    </row>
    <row r="319">
      <c r="A319" t="str">
        <f t="array" ref="A319">IFERROR(IF(ISBLANK('BOM Loader'!$Y329), "", transpose(INDIRECT(SUBSTITUTE(SUBSTITUTE('BOM Loader'!$Y329,  " ",  ""),"-",  "")))),  "")</f>
        <v/>
      </c>
    </row>
    <row r="320">
      <c r="A320" t="str">
        <f t="array" ref="A320">IFERROR(IF(ISBLANK('BOM Loader'!$Y330), "", transpose(INDIRECT(SUBSTITUTE(SUBSTITUTE('BOM Loader'!$Y330,  " ",  ""),"-",  "")))),  "")</f>
        <v/>
      </c>
    </row>
    <row r="321">
      <c r="A321" t="str">
        <f t="array" ref="A321">IFERROR(IF(ISBLANK('BOM Loader'!$Y331), "", transpose(INDIRECT(SUBSTITUTE(SUBSTITUTE('BOM Loader'!$Y331,  " ",  ""),"-",  "")))),  "")</f>
        <v/>
      </c>
    </row>
    <row r="322">
      <c r="A322" t="str">
        <f t="array" ref="A322">IFERROR(IF(ISBLANK('BOM Loader'!$Y332), "", transpose(INDIRECT(SUBSTITUTE(SUBSTITUTE('BOM Loader'!$Y332,  " ",  ""),"-",  "")))),  "")</f>
        <v/>
      </c>
    </row>
    <row r="323">
      <c r="A323" t="str">
        <f t="array" ref="A323">IFERROR(IF(ISBLANK('BOM Loader'!$Y333), "", transpose(INDIRECT(SUBSTITUTE(SUBSTITUTE('BOM Loader'!$Y333,  " ",  ""),"-",  "")))),  "")</f>
        <v/>
      </c>
    </row>
    <row r="324">
      <c r="A324" t="str">
        <f t="array" ref="A324">IFERROR(IF(ISBLANK('BOM Loader'!$Y334), "", transpose(INDIRECT(SUBSTITUTE(SUBSTITUTE('BOM Loader'!$Y334,  " ",  ""),"-",  "")))),  "")</f>
        <v/>
      </c>
    </row>
    <row r="325">
      <c r="A325" t="str">
        <f t="array" ref="A325">IFERROR(IF(ISBLANK('BOM Loader'!$Y335), "", transpose(INDIRECT(SUBSTITUTE(SUBSTITUTE('BOM Loader'!$Y335,  " ",  ""),"-",  "")))),  "")</f>
        <v/>
      </c>
    </row>
    <row r="326">
      <c r="A326" t="str">
        <f t="array" ref="A326">IFERROR(IF(ISBLANK('BOM Loader'!$Y336), "", transpose(INDIRECT(SUBSTITUTE(SUBSTITUTE('BOM Loader'!$Y336,  " ",  ""),"-",  "")))),  "")</f>
        <v/>
      </c>
    </row>
    <row r="327">
      <c r="A327" t="str">
        <f t="array" ref="A327">IFERROR(IF(ISBLANK('BOM Loader'!$Y337), "", transpose(INDIRECT(SUBSTITUTE(SUBSTITUTE('BOM Loader'!$Y337,  " ",  ""),"-",  "")))),  "")</f>
        <v/>
      </c>
    </row>
    <row r="328">
      <c r="A328" t="str">
        <f t="array" ref="A328">IFERROR(IF(ISBLANK('BOM Loader'!$Y338), "", transpose(INDIRECT(SUBSTITUTE(SUBSTITUTE('BOM Loader'!$Y338,  " ",  ""),"-",  "")))),  "")</f>
        <v/>
      </c>
    </row>
    <row r="329">
      <c r="A329" t="str">
        <f t="array" ref="A329">IFERROR(IF(ISBLANK('BOM Loader'!$Y339), "", transpose(INDIRECT(SUBSTITUTE(SUBSTITUTE('BOM Loader'!$Y339,  " ",  ""),"-",  "")))),  "")</f>
        <v/>
      </c>
    </row>
    <row r="330">
      <c r="A330" t="str">
        <f t="array" ref="A330">IFERROR(IF(ISBLANK('BOM Loader'!$Y340), "", transpose(INDIRECT(SUBSTITUTE(SUBSTITUTE('BOM Loader'!$Y340,  " ",  ""),"-",  "")))),  "")</f>
        <v/>
      </c>
    </row>
    <row r="331">
      <c r="A331" t="str">
        <f t="array" ref="A331">IFERROR(IF(ISBLANK('BOM Loader'!$Y341), "", transpose(INDIRECT(SUBSTITUTE(SUBSTITUTE('BOM Loader'!$Y341,  " ",  ""),"-",  "")))),  "")</f>
        <v/>
      </c>
    </row>
    <row r="332">
      <c r="A332" t="str">
        <f t="array" ref="A332">IFERROR(IF(ISBLANK('BOM Loader'!$Y342), "", transpose(INDIRECT(SUBSTITUTE(SUBSTITUTE('BOM Loader'!$Y342,  " ",  ""),"-",  "")))),  "")</f>
        <v/>
      </c>
    </row>
    <row r="333">
      <c r="A333" t="str">
        <f t="array" ref="A333">IFERROR(IF(ISBLANK('BOM Loader'!$Y343), "", transpose(INDIRECT(SUBSTITUTE(SUBSTITUTE('BOM Loader'!$Y343,  " ",  ""),"-",  "")))),  "")</f>
        <v/>
      </c>
    </row>
    <row r="334">
      <c r="A334" t="str">
        <f t="array" ref="A334">IFERROR(IF(ISBLANK('BOM Loader'!$Y344), "", transpose(INDIRECT(SUBSTITUTE(SUBSTITUTE('BOM Loader'!$Y344,  " ",  ""),"-",  "")))),  "")</f>
        <v/>
      </c>
    </row>
    <row r="335">
      <c r="A335" t="str">
        <f t="array" ref="A335">IFERROR(IF(ISBLANK('BOM Loader'!$Y345), "", transpose(INDIRECT(SUBSTITUTE(SUBSTITUTE('BOM Loader'!$Y345,  " ",  ""),"-",  "")))),  "")</f>
        <v/>
      </c>
    </row>
    <row r="336">
      <c r="A336" t="str">
        <f t="array" ref="A336">IFERROR(IF(ISBLANK('BOM Loader'!$Y346), "", transpose(INDIRECT(SUBSTITUTE(SUBSTITUTE('BOM Loader'!$Y346,  " ",  ""),"-",  "")))),  "")</f>
        <v/>
      </c>
    </row>
    <row r="337">
      <c r="A337" t="str">
        <f t="array" ref="A337">IFERROR(IF(ISBLANK('BOM Loader'!$Y347), "", transpose(INDIRECT(SUBSTITUTE(SUBSTITUTE('BOM Loader'!$Y347,  " ",  ""),"-",  "")))),  "")</f>
        <v/>
      </c>
    </row>
    <row r="338">
      <c r="A338" t="str">
        <f t="array" ref="A338">IFERROR(IF(ISBLANK('BOM Loader'!$Y348), "", transpose(INDIRECT(SUBSTITUTE(SUBSTITUTE('BOM Loader'!$Y348,  " ",  ""),"-",  "")))),  "")</f>
        <v/>
      </c>
    </row>
    <row r="339">
      <c r="A339" t="str">
        <f t="array" ref="A339">IFERROR(IF(ISBLANK('BOM Loader'!$Y349), "", transpose(INDIRECT(SUBSTITUTE(SUBSTITUTE('BOM Loader'!$Y349,  " ",  ""),"-",  "")))),  "")</f>
        <v/>
      </c>
    </row>
    <row r="340">
      <c r="A340" t="str">
        <f t="array" ref="A340">IFERROR(IF(ISBLANK('BOM Loader'!$Y350), "", transpose(INDIRECT(SUBSTITUTE(SUBSTITUTE('BOM Loader'!$Y350,  " ",  ""),"-",  "")))),  "")</f>
        <v/>
      </c>
    </row>
    <row r="341">
      <c r="A341" t="str">
        <f t="array" ref="A341">IFERROR(IF(ISBLANK('BOM Loader'!$Y351), "", transpose(INDIRECT(SUBSTITUTE(SUBSTITUTE('BOM Loader'!$Y351,  " ",  ""),"-",  "")))),  "")</f>
        <v/>
      </c>
    </row>
    <row r="342">
      <c r="A342" t="str">
        <f t="array" ref="A342">IFERROR(IF(ISBLANK('BOM Loader'!$Y352), "", transpose(INDIRECT(SUBSTITUTE(SUBSTITUTE('BOM Loader'!$Y352,  " ",  ""),"-",  "")))),  "")</f>
        <v/>
      </c>
    </row>
    <row r="343">
      <c r="A343" t="str">
        <f t="array" ref="A343">IFERROR(IF(ISBLANK('BOM Loader'!$Y353), "", transpose(INDIRECT(SUBSTITUTE(SUBSTITUTE('BOM Loader'!$Y353,  " ",  ""),"-",  "")))),  "")</f>
        <v/>
      </c>
    </row>
    <row r="344">
      <c r="A344" t="str">
        <f t="array" ref="A344">IFERROR(IF(ISBLANK('BOM Loader'!$Y354), "", transpose(INDIRECT(SUBSTITUTE(SUBSTITUTE('BOM Loader'!$Y354,  " ",  ""),"-",  "")))),  "")</f>
        <v/>
      </c>
    </row>
    <row r="345">
      <c r="A345" t="str">
        <f t="array" ref="A345">IFERROR(IF(ISBLANK('BOM Loader'!$Y355), "", transpose(INDIRECT(SUBSTITUTE(SUBSTITUTE('BOM Loader'!$Y355,  " ",  ""),"-",  "")))),  "")</f>
        <v/>
      </c>
    </row>
    <row r="346">
      <c r="A346" t="str">
        <f t="array" ref="A346">IFERROR(IF(ISBLANK('BOM Loader'!$Y356), "", transpose(INDIRECT(SUBSTITUTE(SUBSTITUTE('BOM Loader'!$Y356,  " ",  ""),"-",  "")))),  "")</f>
        <v/>
      </c>
    </row>
    <row r="347">
      <c r="A347" t="str">
        <f t="array" ref="A347">IFERROR(IF(ISBLANK('BOM Loader'!$Y357), "", transpose(INDIRECT(SUBSTITUTE(SUBSTITUTE('BOM Loader'!$Y357,  " ",  ""),"-",  "")))),  "")</f>
        <v/>
      </c>
    </row>
    <row r="348">
      <c r="A348" t="str">
        <f t="array" ref="A348">IFERROR(IF(ISBLANK('BOM Loader'!$Y358), "", transpose(INDIRECT(SUBSTITUTE(SUBSTITUTE('BOM Loader'!$Y358,  " ",  ""),"-",  "")))),  "")</f>
        <v/>
      </c>
    </row>
    <row r="349">
      <c r="A349" t="str">
        <f t="array" ref="A349">IFERROR(IF(ISBLANK('BOM Loader'!$Y359), "", transpose(INDIRECT(SUBSTITUTE(SUBSTITUTE('BOM Loader'!$Y359,  " ",  ""),"-",  "")))),  "")</f>
        <v/>
      </c>
    </row>
    <row r="350">
      <c r="A350" t="str">
        <f t="array" ref="A350">IFERROR(IF(ISBLANK('BOM Loader'!$Y360), "", transpose(INDIRECT(SUBSTITUTE(SUBSTITUTE('BOM Loader'!$Y360,  " ",  ""),"-",  "")))),  "")</f>
        <v/>
      </c>
    </row>
    <row r="351">
      <c r="A351" t="str">
        <f t="array" ref="A351">IFERROR(IF(ISBLANK('BOM Loader'!$Y361), "", transpose(INDIRECT(SUBSTITUTE(SUBSTITUTE('BOM Loader'!$Y361,  " ",  ""),"-",  "")))),  "")</f>
        <v/>
      </c>
    </row>
    <row r="352">
      <c r="A352" t="str">
        <f t="array" ref="A352">IFERROR(IF(ISBLANK('BOM Loader'!$Y362), "", transpose(INDIRECT(SUBSTITUTE(SUBSTITUTE('BOM Loader'!$Y362,  " ",  ""),"-",  "")))),  "")</f>
        <v/>
      </c>
    </row>
    <row r="353">
      <c r="A353" t="str">
        <f t="array" ref="A353">IFERROR(IF(ISBLANK('BOM Loader'!$Y363), "", transpose(INDIRECT(SUBSTITUTE(SUBSTITUTE('BOM Loader'!$Y363,  " ",  ""),"-",  "")))),  "")</f>
        <v/>
      </c>
    </row>
    <row r="354">
      <c r="A354" t="str">
        <f t="array" ref="A354">IFERROR(IF(ISBLANK('BOM Loader'!$Y364), "", transpose(INDIRECT(SUBSTITUTE(SUBSTITUTE('BOM Loader'!$Y364,  " ",  ""),"-",  "")))),  "")</f>
        <v/>
      </c>
    </row>
    <row r="355">
      <c r="A355" t="str">
        <f t="array" ref="A355">IFERROR(IF(ISBLANK('BOM Loader'!$Y365), "", transpose(INDIRECT(SUBSTITUTE(SUBSTITUTE('BOM Loader'!$Y365,  " ",  ""),"-",  "")))),  "")</f>
        <v/>
      </c>
    </row>
    <row r="356">
      <c r="A356" t="str">
        <f t="array" ref="A356">IFERROR(IF(ISBLANK('BOM Loader'!$Y366), "", transpose(INDIRECT(SUBSTITUTE(SUBSTITUTE('BOM Loader'!$Y366,  " ",  ""),"-",  "")))),  "")</f>
        <v/>
      </c>
    </row>
    <row r="357">
      <c r="A357" t="str">
        <f t="array" ref="A357">IFERROR(IF(ISBLANK('BOM Loader'!$Y367), "", transpose(INDIRECT(SUBSTITUTE(SUBSTITUTE('BOM Loader'!$Y367,  " ",  ""),"-",  "")))),  "")</f>
        <v/>
      </c>
    </row>
    <row r="358">
      <c r="A358" t="str">
        <f t="array" ref="A358">IFERROR(IF(ISBLANK('BOM Loader'!$Y368), "", transpose(INDIRECT(SUBSTITUTE(SUBSTITUTE('BOM Loader'!$Y368,  " ",  ""),"-",  "")))),  "")</f>
        <v/>
      </c>
    </row>
    <row r="359">
      <c r="A359" t="str">
        <f t="array" ref="A359">IFERROR(IF(ISBLANK('BOM Loader'!$Y369), "", transpose(INDIRECT(SUBSTITUTE(SUBSTITUTE('BOM Loader'!$Y369,  " ",  ""),"-",  "")))),  "")</f>
        <v/>
      </c>
    </row>
    <row r="360">
      <c r="A360" t="str">
        <f t="array" ref="A360">IFERROR(IF(ISBLANK('BOM Loader'!$Y370), "", transpose(INDIRECT(SUBSTITUTE(SUBSTITUTE('BOM Loader'!$Y370,  " ",  ""),"-",  "")))),  "")</f>
        <v/>
      </c>
    </row>
    <row r="361">
      <c r="A361" t="str">
        <f t="array" ref="A361">IFERROR(IF(ISBLANK('BOM Loader'!$Y371), "", transpose(INDIRECT(SUBSTITUTE(SUBSTITUTE('BOM Loader'!$Y371,  " ",  ""),"-",  "")))),  "")</f>
        <v/>
      </c>
    </row>
    <row r="362">
      <c r="A362" t="str">
        <f t="array" ref="A362">IFERROR(IF(ISBLANK('BOM Loader'!$Y372), "", transpose(INDIRECT(SUBSTITUTE(SUBSTITUTE('BOM Loader'!$Y372,  " ",  ""),"-",  "")))),  "")</f>
        <v/>
      </c>
    </row>
    <row r="363">
      <c r="A363" t="str">
        <f t="array" ref="A363">IFERROR(IF(ISBLANK('BOM Loader'!$Y373), "", transpose(INDIRECT(SUBSTITUTE(SUBSTITUTE('BOM Loader'!$Y373,  " ",  ""),"-",  "")))),  "")</f>
        <v/>
      </c>
    </row>
    <row r="364">
      <c r="A364" t="str">
        <f t="array" ref="A364">IFERROR(IF(ISBLANK('BOM Loader'!$Y374), "", transpose(INDIRECT(SUBSTITUTE(SUBSTITUTE('BOM Loader'!$Y374,  " ",  ""),"-",  "")))),  "")</f>
        <v/>
      </c>
    </row>
    <row r="365">
      <c r="A365" t="str">
        <f t="array" ref="A365">IFERROR(IF(ISBLANK('BOM Loader'!$Y375), "", transpose(INDIRECT(SUBSTITUTE(SUBSTITUTE('BOM Loader'!$Y375,  " ",  ""),"-",  "")))),  "")</f>
        <v/>
      </c>
    </row>
    <row r="366">
      <c r="A366" t="str">
        <f t="array" ref="A366">IFERROR(IF(ISBLANK('BOM Loader'!$Y376), "", transpose(INDIRECT(SUBSTITUTE(SUBSTITUTE('BOM Loader'!$Y376,  " ",  ""),"-",  "")))),  "")</f>
        <v/>
      </c>
    </row>
    <row r="367">
      <c r="A367" t="str">
        <f t="array" ref="A367">IFERROR(IF(ISBLANK('BOM Loader'!$Y377), "", transpose(INDIRECT(SUBSTITUTE(SUBSTITUTE('BOM Loader'!$Y377,  " ",  ""),"-",  "")))),  "")</f>
        <v/>
      </c>
    </row>
    <row r="368">
      <c r="A368" t="str">
        <f t="array" ref="A368">IFERROR(IF(ISBLANK('BOM Loader'!$Y378), "", transpose(INDIRECT(SUBSTITUTE(SUBSTITUTE('BOM Loader'!$Y378,  " ",  ""),"-",  "")))),  "")</f>
        <v/>
      </c>
    </row>
    <row r="369">
      <c r="A369" t="str">
        <f t="array" ref="A369">IFERROR(IF(ISBLANK('BOM Loader'!$Y379), "", transpose(INDIRECT(SUBSTITUTE(SUBSTITUTE('BOM Loader'!$Y379,  " ",  ""),"-",  "")))),  "")</f>
        <v/>
      </c>
    </row>
    <row r="370">
      <c r="A370" t="str">
        <f t="array" ref="A370">IFERROR(IF(ISBLANK('BOM Loader'!$Y380), "", transpose(INDIRECT(SUBSTITUTE(SUBSTITUTE('BOM Loader'!$Y380,  " ",  ""),"-",  "")))),  "")</f>
        <v/>
      </c>
    </row>
    <row r="371">
      <c r="A371" t="str">
        <f t="array" ref="A371">IFERROR(IF(ISBLANK('BOM Loader'!$Y381), "", transpose(INDIRECT(SUBSTITUTE(SUBSTITUTE('BOM Loader'!$Y381,  " ",  ""),"-",  "")))),  "")</f>
        <v/>
      </c>
    </row>
    <row r="372">
      <c r="A372" t="str">
        <f t="array" ref="A372">IFERROR(IF(ISBLANK('BOM Loader'!$Y382), "", transpose(INDIRECT(SUBSTITUTE(SUBSTITUTE('BOM Loader'!$Y382,  " ",  ""),"-",  "")))),  "")</f>
        <v/>
      </c>
    </row>
    <row r="373">
      <c r="A373" t="str">
        <f t="array" ref="A373">IFERROR(IF(ISBLANK('BOM Loader'!$Y383), "", transpose(INDIRECT(SUBSTITUTE(SUBSTITUTE('BOM Loader'!$Y383,  " ",  ""),"-",  "")))),  "")</f>
        <v/>
      </c>
    </row>
    <row r="374">
      <c r="A374" t="str">
        <f t="array" ref="A374">IFERROR(IF(ISBLANK('BOM Loader'!$Y384), "", transpose(INDIRECT(SUBSTITUTE(SUBSTITUTE('BOM Loader'!$Y384,  " ",  ""),"-",  "")))),  "")</f>
        <v/>
      </c>
    </row>
    <row r="375">
      <c r="A375" t="str">
        <f t="array" ref="A375">IFERROR(IF(ISBLANK('BOM Loader'!$Y385), "", transpose(INDIRECT(SUBSTITUTE(SUBSTITUTE('BOM Loader'!$Y385,  " ",  ""),"-",  "")))),  "")</f>
        <v/>
      </c>
    </row>
    <row r="376">
      <c r="A376" t="str">
        <f t="array" ref="A376">IFERROR(IF(ISBLANK('BOM Loader'!$Y386), "", transpose(INDIRECT(SUBSTITUTE(SUBSTITUTE('BOM Loader'!$Y386,  " ",  ""),"-",  "")))),  "")</f>
        <v/>
      </c>
    </row>
    <row r="377">
      <c r="A377" t="str">
        <f t="array" ref="A377">IFERROR(IF(ISBLANK('BOM Loader'!$Y387), "", transpose(INDIRECT(SUBSTITUTE(SUBSTITUTE('BOM Loader'!$Y387,  " ",  ""),"-",  "")))),  "")</f>
        <v/>
      </c>
    </row>
    <row r="378">
      <c r="A378" t="str">
        <f t="array" ref="A378">IFERROR(IF(ISBLANK('BOM Loader'!$Y388), "", transpose(INDIRECT(SUBSTITUTE(SUBSTITUTE('BOM Loader'!$Y388,  " ",  ""),"-",  "")))),  "")</f>
        <v/>
      </c>
    </row>
    <row r="379">
      <c r="A379" t="str">
        <f t="array" ref="A379">IFERROR(IF(ISBLANK('BOM Loader'!$Y389), "", transpose(INDIRECT(SUBSTITUTE(SUBSTITUTE('BOM Loader'!$Y389,  " ",  ""),"-",  "")))),  "")</f>
        <v/>
      </c>
    </row>
    <row r="380">
      <c r="A380" t="str">
        <f t="array" ref="A380">IFERROR(IF(ISBLANK('BOM Loader'!$Y390), "", transpose(INDIRECT(SUBSTITUTE(SUBSTITUTE('BOM Loader'!$Y390,  " ",  ""),"-",  "")))),  "")</f>
        <v/>
      </c>
    </row>
    <row r="381">
      <c r="A381" t="str">
        <f t="array" ref="A381">IFERROR(IF(ISBLANK('BOM Loader'!$Y391), "", transpose(INDIRECT(SUBSTITUTE(SUBSTITUTE('BOM Loader'!$Y391,  " ",  ""),"-",  "")))),  "")</f>
        <v/>
      </c>
    </row>
    <row r="382">
      <c r="A382" t="str">
        <f t="array" ref="A382">IFERROR(IF(ISBLANK('BOM Loader'!$Y392), "", transpose(INDIRECT(SUBSTITUTE(SUBSTITUTE('BOM Loader'!$Y392,  " ",  ""),"-",  "")))),  "")</f>
        <v/>
      </c>
    </row>
    <row r="383">
      <c r="A383" t="str">
        <f t="array" ref="A383">IFERROR(IF(ISBLANK('BOM Loader'!$Y393), "", transpose(INDIRECT(SUBSTITUTE(SUBSTITUTE('BOM Loader'!$Y393,  " ",  ""),"-",  "")))),  "")</f>
        <v/>
      </c>
    </row>
    <row r="384">
      <c r="A384" t="str">
        <f t="array" ref="A384">IFERROR(IF(ISBLANK('BOM Loader'!$Y394), "", transpose(INDIRECT(SUBSTITUTE(SUBSTITUTE('BOM Loader'!$Y394,  " ",  ""),"-",  "")))),  "")</f>
        <v/>
      </c>
    </row>
    <row r="385">
      <c r="A385" t="str">
        <f t="array" ref="A385">IFERROR(IF(ISBLANK('BOM Loader'!$Y395), "", transpose(INDIRECT(SUBSTITUTE(SUBSTITUTE('BOM Loader'!$Y395,  " ",  ""),"-",  "")))),  "")</f>
        <v/>
      </c>
    </row>
    <row r="386">
      <c r="A386" t="str">
        <f t="array" ref="A386">IFERROR(IF(ISBLANK('BOM Loader'!$Y396), "", transpose(INDIRECT(SUBSTITUTE(SUBSTITUTE('BOM Loader'!$Y396,  " ",  ""),"-",  "")))),  "")</f>
        <v/>
      </c>
    </row>
    <row r="387">
      <c r="A387" t="str">
        <f t="array" ref="A387">IFERROR(IF(ISBLANK('BOM Loader'!$Y397), "", transpose(INDIRECT(SUBSTITUTE(SUBSTITUTE('BOM Loader'!$Y397,  " ",  ""),"-",  "")))),  "")</f>
        <v/>
      </c>
    </row>
    <row r="388">
      <c r="A388" t="str">
        <f t="array" ref="A388">IFERROR(IF(ISBLANK('BOM Loader'!$Y398), "", transpose(INDIRECT(SUBSTITUTE(SUBSTITUTE('BOM Loader'!$Y398,  " ",  ""),"-",  "")))),  "")</f>
        <v/>
      </c>
    </row>
    <row r="389">
      <c r="A389" t="str">
        <f t="array" ref="A389">IFERROR(IF(ISBLANK('BOM Loader'!$Y399), "", transpose(INDIRECT(SUBSTITUTE(SUBSTITUTE('BOM Loader'!$Y399,  " ",  ""),"-",  "")))),  "")</f>
        <v/>
      </c>
    </row>
    <row r="390">
      <c r="A390" t="str">
        <f t="array" ref="A390">IFERROR(IF(ISBLANK('BOM Loader'!$Y400), "", transpose(INDIRECT(SUBSTITUTE(SUBSTITUTE('BOM Loader'!$Y400,  " ",  ""),"-",  "")))),  "")</f>
        <v/>
      </c>
    </row>
    <row r="391">
      <c r="A391" t="str">
        <f t="array" ref="A391">IFERROR(IF(ISBLANK('BOM Loader'!$Y401), "", transpose(INDIRECT(SUBSTITUTE(SUBSTITUTE('BOM Loader'!$Y401,  " ",  ""),"-",  "")))),  "")</f>
        <v/>
      </c>
    </row>
    <row r="392">
      <c r="A392" t="str">
        <f t="array" ref="A392">IFERROR(IF(ISBLANK('BOM Loader'!$Y402), "", transpose(INDIRECT(SUBSTITUTE(SUBSTITUTE('BOM Loader'!$Y402,  " ",  ""),"-",  "")))),  "")</f>
        <v/>
      </c>
    </row>
    <row r="393">
      <c r="A393" t="str">
        <f t="array" ref="A393">IFERROR(IF(ISBLANK('BOM Loader'!$Y403), "", transpose(INDIRECT(SUBSTITUTE(SUBSTITUTE('BOM Loader'!$Y403,  " ",  ""),"-",  "")))),  "")</f>
        <v/>
      </c>
    </row>
    <row r="394">
      <c r="A394" t="str">
        <f t="array" ref="A394">IFERROR(IF(ISBLANK('BOM Loader'!$Y404), "", transpose(INDIRECT(SUBSTITUTE(SUBSTITUTE('BOM Loader'!$Y404,  " ",  ""),"-",  "")))),  "")</f>
        <v/>
      </c>
    </row>
    <row r="395">
      <c r="A395" t="str">
        <f t="array" ref="A395">IFERROR(IF(ISBLANK('BOM Loader'!$Y405), "", transpose(INDIRECT(SUBSTITUTE(SUBSTITUTE('BOM Loader'!$Y405,  " ",  ""),"-",  "")))),  "")</f>
        <v/>
      </c>
    </row>
    <row r="396">
      <c r="A396" t="str">
        <f t="array" ref="A396">IFERROR(IF(ISBLANK('BOM Loader'!$Y406), "", transpose(INDIRECT(SUBSTITUTE(SUBSTITUTE('BOM Loader'!$Y406,  " ",  ""),"-",  "")))),  "")</f>
        <v/>
      </c>
    </row>
    <row r="397">
      <c r="A397" t="str">
        <f t="array" ref="A397">IFERROR(IF(ISBLANK('BOM Loader'!$Y407), "", transpose(INDIRECT(SUBSTITUTE(SUBSTITUTE('BOM Loader'!$Y407,  " ",  ""),"-",  "")))),  "")</f>
        <v/>
      </c>
    </row>
    <row r="398">
      <c r="A398" t="str">
        <f t="array" ref="A398">IFERROR(IF(ISBLANK('BOM Loader'!$Y408), "", transpose(INDIRECT(SUBSTITUTE(SUBSTITUTE('BOM Loader'!$Y408,  " ",  ""),"-",  "")))),  "")</f>
        <v/>
      </c>
    </row>
    <row r="399">
      <c r="A399" t="str">
        <f t="array" ref="A399">IFERROR(IF(ISBLANK('BOM Loader'!$Y409), "", transpose(INDIRECT(SUBSTITUTE(SUBSTITUTE('BOM Loader'!$Y409,  " ",  ""),"-",  "")))),  "")</f>
        <v/>
      </c>
    </row>
    <row r="400">
      <c r="A400" t="str">
        <f t="array" ref="A400">IFERROR(IF(ISBLANK('BOM Loader'!$Y410), "", transpose(INDIRECT(SUBSTITUTE(SUBSTITUTE('BOM Loader'!$Y410,  " ",  ""),"-",  "")))),  "")</f>
        <v/>
      </c>
    </row>
    <row r="401">
      <c r="A401" t="str">
        <f t="array" ref="A401">IFERROR(IF(ISBLANK('BOM Loader'!$Y411), "", transpose(INDIRECT(SUBSTITUTE(SUBSTITUTE('BOM Loader'!$Y411,  " ",  ""),"-",  "")))),  "")</f>
        <v/>
      </c>
    </row>
    <row r="402">
      <c r="A402" t="str">
        <f t="array" ref="A402">IFERROR(IF(ISBLANK('BOM Loader'!$Y412), "", transpose(INDIRECT(SUBSTITUTE(SUBSTITUTE('BOM Loader'!$Y412,  " ",  ""),"-",  "")))),  "")</f>
        <v/>
      </c>
    </row>
    <row r="403">
      <c r="A403" t="str">
        <f t="array" ref="A403">IFERROR(IF(ISBLANK('BOM Loader'!$Y413), "", transpose(INDIRECT(SUBSTITUTE(SUBSTITUTE('BOM Loader'!$Y413,  " ",  ""),"-",  "")))),  "")</f>
        <v/>
      </c>
    </row>
    <row r="404">
      <c r="A404" t="str">
        <f t="array" ref="A404">IFERROR(IF(ISBLANK('BOM Loader'!$Y414), "", transpose(INDIRECT(SUBSTITUTE(SUBSTITUTE('BOM Loader'!$Y414,  " ",  ""),"-",  "")))),  "")</f>
        <v/>
      </c>
    </row>
    <row r="405">
      <c r="A405" t="str">
        <f t="array" ref="A405">IFERROR(IF(ISBLANK('BOM Loader'!$Y415), "", transpose(INDIRECT(SUBSTITUTE(SUBSTITUTE('BOM Loader'!$Y415,  " ",  ""),"-",  "")))),  "")</f>
        <v/>
      </c>
    </row>
    <row r="406">
      <c r="A406" t="str">
        <f t="array" ref="A406">IFERROR(IF(ISBLANK('BOM Loader'!$Y416), "", transpose(INDIRECT(SUBSTITUTE(SUBSTITUTE('BOM Loader'!$Y416,  " ",  ""),"-",  "")))),  "")</f>
        <v/>
      </c>
    </row>
    <row r="407">
      <c r="A407" t="str">
        <f t="array" ref="A407">IFERROR(IF(ISBLANK('BOM Loader'!$Y417), "", transpose(INDIRECT(SUBSTITUTE(SUBSTITUTE('BOM Loader'!$Y417,  " ",  ""),"-",  "")))),  "")</f>
        <v/>
      </c>
    </row>
    <row r="408">
      <c r="A408" t="str">
        <f t="array" ref="A408">IFERROR(IF(ISBLANK('BOM Loader'!$Y418), "", transpose(INDIRECT(SUBSTITUTE(SUBSTITUTE('BOM Loader'!$Y418,  " ",  ""),"-",  "")))),  "")</f>
        <v/>
      </c>
    </row>
    <row r="409">
      <c r="A409" t="str">
        <f t="array" ref="A409">IFERROR(IF(ISBLANK('BOM Loader'!$Y419), "", transpose(INDIRECT(SUBSTITUTE(SUBSTITUTE('BOM Loader'!$Y419,  " ",  ""),"-",  "")))),  "")</f>
        <v/>
      </c>
    </row>
    <row r="410">
      <c r="A410" t="str">
        <f t="array" ref="A410">IFERROR(IF(ISBLANK('BOM Loader'!$Y420), "", transpose(INDIRECT(SUBSTITUTE(SUBSTITUTE('BOM Loader'!$Y420,  " ",  ""),"-",  "")))),  "")</f>
        <v/>
      </c>
    </row>
    <row r="411">
      <c r="A411" t="str">
        <f t="array" ref="A411">IFERROR(IF(ISBLANK('BOM Loader'!$Y421), "", transpose(INDIRECT(SUBSTITUTE(SUBSTITUTE('BOM Loader'!$Y421,  " ",  ""),"-",  "")))),  "")</f>
        <v/>
      </c>
    </row>
    <row r="412">
      <c r="A412" t="str">
        <f t="array" ref="A412">IFERROR(IF(ISBLANK('BOM Loader'!$Y422), "", transpose(INDIRECT(SUBSTITUTE(SUBSTITUTE('BOM Loader'!$Y422,  " ",  ""),"-",  "")))),  "")</f>
        <v/>
      </c>
    </row>
    <row r="413">
      <c r="A413" t="str">
        <f t="array" ref="A413">IFERROR(IF(ISBLANK('BOM Loader'!$Y423), "", transpose(INDIRECT(SUBSTITUTE(SUBSTITUTE('BOM Loader'!$Y423,  " ",  ""),"-",  "")))),  "")</f>
        <v/>
      </c>
    </row>
    <row r="414">
      <c r="A414" t="str">
        <f t="array" ref="A414">IFERROR(IF(ISBLANK('BOM Loader'!$Y424), "", transpose(INDIRECT(SUBSTITUTE(SUBSTITUTE('BOM Loader'!$Y424,  " ",  ""),"-",  "")))),  "")</f>
        <v/>
      </c>
    </row>
    <row r="415">
      <c r="A415" t="str">
        <f t="array" ref="A415">IFERROR(IF(ISBLANK('BOM Loader'!$Y425), "", transpose(INDIRECT(SUBSTITUTE(SUBSTITUTE('BOM Loader'!$Y425,  " ",  ""),"-",  "")))),  "")</f>
        <v/>
      </c>
    </row>
    <row r="416">
      <c r="A416" t="str">
        <f t="array" ref="A416">IFERROR(IF(ISBLANK('BOM Loader'!$Y426), "", transpose(INDIRECT(SUBSTITUTE(SUBSTITUTE('BOM Loader'!$Y426,  " ",  ""),"-",  "")))),  "")</f>
        <v/>
      </c>
    </row>
    <row r="417">
      <c r="A417" t="str">
        <f t="array" ref="A417">IFERROR(IF(ISBLANK('BOM Loader'!$Y427), "", transpose(INDIRECT(SUBSTITUTE(SUBSTITUTE('BOM Loader'!$Y427,  " ",  ""),"-",  "")))),  "")</f>
        <v/>
      </c>
    </row>
    <row r="418">
      <c r="A418" t="str">
        <f t="array" ref="A418">IFERROR(IF(ISBLANK('BOM Loader'!$Y428), "", transpose(INDIRECT(SUBSTITUTE(SUBSTITUTE('BOM Loader'!$Y428,  " ",  ""),"-",  "")))),  "")</f>
        <v/>
      </c>
    </row>
    <row r="419">
      <c r="A419" t="str">
        <f t="array" ref="A419">IFERROR(IF(ISBLANK('BOM Loader'!$Y429), "", transpose(INDIRECT(SUBSTITUTE(SUBSTITUTE('BOM Loader'!$Y429,  " ",  ""),"-",  "")))),  "")</f>
        <v/>
      </c>
    </row>
    <row r="420">
      <c r="A420" t="str">
        <f t="array" ref="A420">IFERROR(IF(ISBLANK('BOM Loader'!$Y430), "", transpose(INDIRECT(SUBSTITUTE(SUBSTITUTE('BOM Loader'!$Y430,  " ",  ""),"-",  "")))),  "")</f>
        <v/>
      </c>
    </row>
    <row r="421">
      <c r="A421" t="str">
        <f t="array" ref="A421">IFERROR(IF(ISBLANK('BOM Loader'!$Y431), "", transpose(INDIRECT(SUBSTITUTE(SUBSTITUTE('BOM Loader'!$Y431,  " ",  ""),"-",  "")))),  "")</f>
        <v/>
      </c>
    </row>
    <row r="422">
      <c r="A422" t="str">
        <f t="array" ref="A422">IFERROR(IF(ISBLANK('BOM Loader'!$Y432), "", transpose(INDIRECT(SUBSTITUTE(SUBSTITUTE('BOM Loader'!$Y432,  " ",  ""),"-",  "")))),  "")</f>
        <v/>
      </c>
    </row>
    <row r="423">
      <c r="A423" t="str">
        <f t="array" ref="A423">IFERROR(IF(ISBLANK('BOM Loader'!$Y433), "", transpose(INDIRECT(SUBSTITUTE(SUBSTITUTE('BOM Loader'!$Y433,  " ",  ""),"-",  "")))),  "")</f>
        <v/>
      </c>
    </row>
    <row r="424">
      <c r="A424" t="str">
        <f t="array" ref="A424">IFERROR(IF(ISBLANK('BOM Loader'!$Y434), "", transpose(INDIRECT(SUBSTITUTE(SUBSTITUTE('BOM Loader'!$Y434,  " ",  ""),"-",  "")))),  "")</f>
        <v/>
      </c>
    </row>
    <row r="425">
      <c r="A425" t="str">
        <f t="array" ref="A425">IFERROR(IF(ISBLANK('BOM Loader'!$Y435), "", transpose(INDIRECT(SUBSTITUTE(SUBSTITUTE('BOM Loader'!$Y435,  " ",  ""),"-",  "")))),  "")</f>
        <v/>
      </c>
    </row>
    <row r="426">
      <c r="A426" t="str">
        <f t="array" ref="A426">IFERROR(IF(ISBLANK('BOM Loader'!$Y436), "", transpose(INDIRECT(SUBSTITUTE(SUBSTITUTE('BOM Loader'!$Y436,  " ",  ""),"-",  "")))),  "")</f>
        <v/>
      </c>
    </row>
    <row r="427">
      <c r="A427" t="str">
        <f t="array" ref="A427">IFERROR(IF(ISBLANK('BOM Loader'!$Y437), "", transpose(INDIRECT(SUBSTITUTE(SUBSTITUTE('BOM Loader'!$Y437,  " ",  ""),"-",  "")))),  "")</f>
        <v/>
      </c>
    </row>
    <row r="428">
      <c r="A428" t="str">
        <f t="array" ref="A428">IFERROR(IF(ISBLANK('BOM Loader'!$Y438), "", transpose(INDIRECT(SUBSTITUTE(SUBSTITUTE('BOM Loader'!$Y438,  " ",  ""),"-",  "")))),  "")</f>
        <v/>
      </c>
    </row>
    <row r="429">
      <c r="A429" t="str">
        <f t="array" ref="A429">IFERROR(IF(ISBLANK('BOM Loader'!$Y439), "", transpose(INDIRECT(SUBSTITUTE(SUBSTITUTE('BOM Loader'!$Y439,  " ",  ""),"-",  "")))),  "")</f>
        <v/>
      </c>
    </row>
    <row r="430">
      <c r="A430" t="str">
        <f t="array" ref="A430">IFERROR(IF(ISBLANK('BOM Loader'!$Y440), "", transpose(INDIRECT(SUBSTITUTE(SUBSTITUTE('BOM Loader'!$Y440,  " ",  ""),"-",  "")))),  "")</f>
        <v/>
      </c>
    </row>
    <row r="431">
      <c r="A431" t="str">
        <f t="array" ref="A431">IFERROR(IF(ISBLANK('BOM Loader'!$Y441), "", transpose(INDIRECT(SUBSTITUTE(SUBSTITUTE('BOM Loader'!$Y441,  " ",  ""),"-",  "")))),  "")</f>
        <v/>
      </c>
    </row>
    <row r="432">
      <c r="A432" t="str">
        <f t="array" ref="A432">IFERROR(IF(ISBLANK('BOM Loader'!$Y442), "", transpose(INDIRECT(SUBSTITUTE(SUBSTITUTE('BOM Loader'!$Y442,  " ",  ""),"-",  "")))),  "")</f>
        <v/>
      </c>
    </row>
    <row r="433">
      <c r="A433" t="str">
        <f t="array" ref="A433">IFERROR(IF(ISBLANK('BOM Loader'!$Y443), "", transpose(INDIRECT(SUBSTITUTE(SUBSTITUTE('BOM Loader'!$Y443,  " ",  ""),"-",  "")))),  "")</f>
        <v/>
      </c>
    </row>
    <row r="434">
      <c r="A434" t="str">
        <f t="array" ref="A434">IFERROR(IF(ISBLANK('BOM Loader'!$Y444), "", transpose(INDIRECT(SUBSTITUTE(SUBSTITUTE('BOM Loader'!$Y444,  " ",  ""),"-",  "")))),  "")</f>
        <v/>
      </c>
    </row>
    <row r="435">
      <c r="A435" t="str">
        <f t="array" ref="A435">IFERROR(IF(ISBLANK('BOM Loader'!$Y445), "", transpose(INDIRECT(SUBSTITUTE(SUBSTITUTE('BOM Loader'!$Y445,  " ",  ""),"-",  "")))),  "")</f>
        <v/>
      </c>
    </row>
    <row r="436">
      <c r="A436" t="str">
        <f t="array" ref="A436">IFERROR(IF(ISBLANK('BOM Loader'!$Y446), "", transpose(INDIRECT(SUBSTITUTE(SUBSTITUTE('BOM Loader'!$Y446,  " ",  ""),"-",  "")))),  "")</f>
        <v/>
      </c>
    </row>
    <row r="437">
      <c r="A437" t="str">
        <f t="array" ref="A437">IFERROR(IF(ISBLANK('BOM Loader'!$Y447), "", transpose(INDIRECT(SUBSTITUTE(SUBSTITUTE('BOM Loader'!$Y447,  " ",  ""),"-",  "")))),  "")</f>
        <v/>
      </c>
    </row>
    <row r="438">
      <c r="A438" t="str">
        <f t="array" ref="A438">IFERROR(IF(ISBLANK('BOM Loader'!$Y448), "", transpose(INDIRECT(SUBSTITUTE(SUBSTITUTE('BOM Loader'!$Y448,  " ",  ""),"-",  "")))),  "")</f>
        <v/>
      </c>
    </row>
    <row r="439">
      <c r="A439" t="str">
        <f t="array" ref="A439">IFERROR(IF(ISBLANK('BOM Loader'!$Y449), "", transpose(INDIRECT(SUBSTITUTE(SUBSTITUTE('BOM Loader'!$Y449,  " ",  ""),"-",  "")))),  "")</f>
        <v/>
      </c>
    </row>
    <row r="440">
      <c r="A440" t="str">
        <f t="array" ref="A440">IFERROR(IF(ISBLANK('BOM Loader'!$Y450), "", transpose(INDIRECT(SUBSTITUTE(SUBSTITUTE('BOM Loader'!$Y450,  " ",  ""),"-",  "")))),  "")</f>
        <v/>
      </c>
    </row>
    <row r="441">
      <c r="A441" t="str">
        <f t="array" ref="A441">IFERROR(IF(ISBLANK('BOM Loader'!$Y451), "", transpose(INDIRECT(SUBSTITUTE(SUBSTITUTE('BOM Loader'!$Y451,  " ",  ""),"-",  "")))),  "")</f>
        <v/>
      </c>
    </row>
    <row r="442">
      <c r="A442" t="str">
        <f t="array" ref="A442">IFERROR(IF(ISBLANK('BOM Loader'!$Y452), "", transpose(INDIRECT(SUBSTITUTE(SUBSTITUTE('BOM Loader'!$Y452,  " ",  ""),"-",  "")))),  "")</f>
        <v/>
      </c>
    </row>
    <row r="443">
      <c r="A443" t="str">
        <f t="array" ref="A443">IFERROR(IF(ISBLANK('BOM Loader'!$Y453), "", transpose(INDIRECT(SUBSTITUTE(SUBSTITUTE('BOM Loader'!$Y453,  " ",  ""),"-",  "")))),  "")</f>
        <v/>
      </c>
    </row>
    <row r="444">
      <c r="A444" t="str">
        <f t="array" ref="A444">IFERROR(IF(ISBLANK('BOM Loader'!$Y454), "", transpose(INDIRECT(SUBSTITUTE(SUBSTITUTE('BOM Loader'!$Y454,  " ",  ""),"-",  "")))),  "")</f>
        <v/>
      </c>
    </row>
    <row r="445">
      <c r="A445" t="str">
        <f t="array" ref="A445">IFERROR(IF(ISBLANK('BOM Loader'!$Y455), "", transpose(INDIRECT(SUBSTITUTE(SUBSTITUTE('BOM Loader'!$Y455,  " ",  ""),"-",  "")))),  "")</f>
        <v/>
      </c>
    </row>
    <row r="446">
      <c r="A446" t="str">
        <f t="array" ref="A446">IFERROR(IF(ISBLANK('BOM Loader'!$Y456), "", transpose(INDIRECT(SUBSTITUTE(SUBSTITUTE('BOM Loader'!$Y456,  " ",  ""),"-",  "")))),  "")</f>
        <v/>
      </c>
    </row>
    <row r="447">
      <c r="A447" t="str">
        <f t="array" ref="A447">IFERROR(IF(ISBLANK('BOM Loader'!$Y457), "", transpose(INDIRECT(SUBSTITUTE(SUBSTITUTE('BOM Loader'!$Y457,  " ",  ""),"-",  "")))),  "")</f>
        <v/>
      </c>
    </row>
    <row r="448">
      <c r="A448" t="str">
        <f t="array" ref="A448">IFERROR(IF(ISBLANK('BOM Loader'!$Y458), "", transpose(INDIRECT(SUBSTITUTE(SUBSTITUTE('BOM Loader'!$Y458,  " ",  ""),"-",  "")))),  "")</f>
        <v/>
      </c>
    </row>
    <row r="449">
      <c r="A449" t="str">
        <f t="array" ref="A449">IFERROR(IF(ISBLANK('BOM Loader'!$Y459), "", transpose(INDIRECT(SUBSTITUTE(SUBSTITUTE('BOM Loader'!$Y459,  " ",  ""),"-",  "")))),  "")</f>
        <v/>
      </c>
    </row>
    <row r="450">
      <c r="A450" t="str">
        <f t="array" ref="A450">IFERROR(IF(ISBLANK('BOM Loader'!$Y460), "", transpose(INDIRECT(SUBSTITUTE(SUBSTITUTE('BOM Loader'!$Y460,  " ",  ""),"-",  "")))),  "")</f>
        <v/>
      </c>
    </row>
    <row r="451">
      <c r="A451" t="str">
        <f t="array" ref="A451">IFERROR(IF(ISBLANK('BOM Loader'!$Y461), "", transpose(INDIRECT(SUBSTITUTE(SUBSTITUTE('BOM Loader'!$Y461,  " ",  ""),"-",  "")))),  "")</f>
        <v/>
      </c>
    </row>
    <row r="452">
      <c r="A452" t="str">
        <f t="array" ref="A452">IFERROR(IF(ISBLANK('BOM Loader'!$Y462), "", transpose(INDIRECT(SUBSTITUTE(SUBSTITUTE('BOM Loader'!$Y462,  " ",  ""),"-",  "")))),  "")</f>
        <v/>
      </c>
    </row>
    <row r="453">
      <c r="A453" t="str">
        <f t="array" ref="A453">IFERROR(IF(ISBLANK('BOM Loader'!$Y463), "", transpose(INDIRECT(SUBSTITUTE(SUBSTITUTE('BOM Loader'!$Y463,  " ",  ""),"-",  "")))),  "")</f>
        <v/>
      </c>
    </row>
    <row r="454">
      <c r="A454" t="str">
        <f t="array" ref="A454">IFERROR(IF(ISBLANK('BOM Loader'!$Y464), "", transpose(INDIRECT(SUBSTITUTE(SUBSTITUTE('BOM Loader'!$Y464,  " ",  ""),"-",  "")))),  "")</f>
        <v/>
      </c>
    </row>
    <row r="455">
      <c r="A455" t="str">
        <f t="array" ref="A455">IFERROR(IF(ISBLANK('BOM Loader'!$Y465), "", transpose(INDIRECT(SUBSTITUTE(SUBSTITUTE('BOM Loader'!$Y465,  " ",  ""),"-",  "")))),  "")</f>
        <v/>
      </c>
    </row>
    <row r="456">
      <c r="A456" t="str">
        <f t="array" ref="A456">IFERROR(IF(ISBLANK('BOM Loader'!$Y466), "", transpose(INDIRECT(SUBSTITUTE(SUBSTITUTE('BOM Loader'!$Y466,  " ",  ""),"-",  "")))),  "")</f>
        <v/>
      </c>
    </row>
    <row r="457">
      <c r="A457" t="str">
        <f t="array" ref="A457">IFERROR(IF(ISBLANK('BOM Loader'!$Y467), "", transpose(INDIRECT(SUBSTITUTE(SUBSTITUTE('BOM Loader'!$Y467,  " ",  ""),"-",  "")))),  "")</f>
        <v/>
      </c>
    </row>
    <row r="458">
      <c r="A458" t="str">
        <f t="array" ref="A458">IFERROR(IF(ISBLANK('BOM Loader'!$Y468), "", transpose(INDIRECT(SUBSTITUTE(SUBSTITUTE('BOM Loader'!$Y468,  " ",  ""),"-",  "")))),  "")</f>
        <v/>
      </c>
    </row>
    <row r="459">
      <c r="A459" t="str">
        <f t="array" ref="A459">IFERROR(IF(ISBLANK('BOM Loader'!$Y469), "", transpose(INDIRECT(SUBSTITUTE(SUBSTITUTE('BOM Loader'!$Y469,  " ",  ""),"-",  "")))),  "")</f>
        <v/>
      </c>
    </row>
    <row r="460">
      <c r="A460" t="str">
        <f t="array" ref="A460">IFERROR(IF(ISBLANK('BOM Loader'!$Y470), "", transpose(INDIRECT(SUBSTITUTE(SUBSTITUTE('BOM Loader'!$Y470,  " ",  ""),"-",  "")))),  "")</f>
        <v/>
      </c>
    </row>
    <row r="461">
      <c r="A461" t="str">
        <f t="array" ref="A461">IFERROR(IF(ISBLANK('BOM Loader'!$Y471), "", transpose(INDIRECT(SUBSTITUTE(SUBSTITUTE('BOM Loader'!$Y471,  " ",  ""),"-",  "")))),  "")</f>
        <v/>
      </c>
    </row>
    <row r="462">
      <c r="A462" t="str">
        <f t="array" ref="A462">IFERROR(IF(ISBLANK('BOM Loader'!$Y472), "", transpose(INDIRECT(SUBSTITUTE(SUBSTITUTE('BOM Loader'!$Y472,  " ",  ""),"-",  "")))),  "")</f>
        <v/>
      </c>
    </row>
    <row r="463">
      <c r="A463" t="str">
        <f t="array" ref="A463">IFERROR(IF(ISBLANK('BOM Loader'!$Y473), "", transpose(INDIRECT(SUBSTITUTE(SUBSTITUTE('BOM Loader'!$Y473,  " ",  ""),"-",  "")))),  "")</f>
        <v/>
      </c>
    </row>
    <row r="464">
      <c r="A464" t="str">
        <f t="array" ref="A464">IFERROR(IF(ISBLANK('BOM Loader'!$Y474), "", transpose(INDIRECT(SUBSTITUTE(SUBSTITUTE('BOM Loader'!$Y474,  " ",  ""),"-",  "")))),  "")</f>
        <v/>
      </c>
    </row>
    <row r="465">
      <c r="A465" t="str">
        <f t="array" ref="A465">IFERROR(IF(ISBLANK('BOM Loader'!$Y475), "", transpose(INDIRECT(SUBSTITUTE(SUBSTITUTE('BOM Loader'!$Y475,  " ",  ""),"-",  "")))),  "")</f>
        <v/>
      </c>
    </row>
    <row r="466">
      <c r="A466" t="str">
        <f t="array" ref="A466">IFERROR(IF(ISBLANK('BOM Loader'!$Y476), "", transpose(INDIRECT(SUBSTITUTE(SUBSTITUTE('BOM Loader'!$Y476,  " ",  ""),"-",  "")))),  "")</f>
        <v/>
      </c>
    </row>
    <row r="467">
      <c r="A467" t="str">
        <f t="array" ref="A467">IFERROR(IF(ISBLANK('BOM Loader'!$Y477), "", transpose(INDIRECT(SUBSTITUTE(SUBSTITUTE('BOM Loader'!$Y477,  " ",  ""),"-",  "")))),  "")</f>
        <v/>
      </c>
    </row>
    <row r="468">
      <c r="A468" t="str">
        <f t="array" ref="A468">IFERROR(IF(ISBLANK('BOM Loader'!$Y478), "", transpose(INDIRECT(SUBSTITUTE(SUBSTITUTE('BOM Loader'!$Y478,  " ",  ""),"-",  "")))),  "")</f>
        <v/>
      </c>
    </row>
    <row r="469">
      <c r="A469" t="str">
        <f t="array" ref="A469">IFERROR(IF(ISBLANK('BOM Loader'!$Y479), "", transpose(INDIRECT(SUBSTITUTE(SUBSTITUTE('BOM Loader'!$Y479,  " ",  ""),"-",  "")))),  "")</f>
        <v/>
      </c>
    </row>
    <row r="470">
      <c r="A470" t="str">
        <f t="array" ref="A470">IFERROR(IF(ISBLANK('BOM Loader'!$Y480), "", transpose(INDIRECT(SUBSTITUTE(SUBSTITUTE('BOM Loader'!$Y480,  " ",  ""),"-",  "")))),  "")</f>
        <v/>
      </c>
    </row>
    <row r="471">
      <c r="A471" t="str">
        <f t="array" ref="A471">IFERROR(IF(ISBLANK('BOM Loader'!$Y481), "", transpose(INDIRECT(SUBSTITUTE(SUBSTITUTE('BOM Loader'!$Y481,  " ",  ""),"-",  "")))),  "")</f>
        <v/>
      </c>
    </row>
    <row r="472">
      <c r="A472" t="str">
        <f t="array" ref="A472">IFERROR(IF(ISBLANK('BOM Loader'!$Y482), "", transpose(INDIRECT(SUBSTITUTE(SUBSTITUTE('BOM Loader'!$Y482,  " ",  ""),"-",  "")))),  "")</f>
        <v/>
      </c>
    </row>
    <row r="473">
      <c r="A473" t="str">
        <f t="array" ref="A473">IFERROR(IF(ISBLANK('BOM Loader'!$Y483), "", transpose(INDIRECT(SUBSTITUTE(SUBSTITUTE('BOM Loader'!$Y483,  " ",  ""),"-",  "")))),  "")</f>
        <v/>
      </c>
    </row>
    <row r="474">
      <c r="A474" t="str">
        <f t="array" ref="A474">IFERROR(IF(ISBLANK('BOM Loader'!$Y484), "", transpose(INDIRECT(SUBSTITUTE(SUBSTITUTE('BOM Loader'!$Y484,  " ",  ""),"-",  "")))),  "")</f>
        <v/>
      </c>
    </row>
    <row r="475">
      <c r="A475" t="str">
        <f t="array" ref="A475">IFERROR(IF(ISBLANK('BOM Loader'!$Y485), "", transpose(INDIRECT(SUBSTITUTE(SUBSTITUTE('BOM Loader'!$Y485,  " ",  ""),"-",  "")))),  "")</f>
        <v/>
      </c>
    </row>
    <row r="476">
      <c r="A476" t="str">
        <f t="array" ref="A476">IFERROR(IF(ISBLANK('BOM Loader'!$Y486), "", transpose(INDIRECT(SUBSTITUTE(SUBSTITUTE('BOM Loader'!$Y486,  " ",  ""),"-",  "")))),  "")</f>
        <v/>
      </c>
    </row>
    <row r="477">
      <c r="A477" t="str">
        <f t="array" ref="A477">IFERROR(IF(ISBLANK('BOM Loader'!$Y487), "", transpose(INDIRECT(SUBSTITUTE(SUBSTITUTE('BOM Loader'!$Y487,  " ",  ""),"-",  "")))),  "")</f>
        <v/>
      </c>
    </row>
    <row r="478">
      <c r="A478" t="str">
        <f t="array" ref="A478">IFERROR(IF(ISBLANK('BOM Loader'!$Y488), "", transpose(INDIRECT(SUBSTITUTE(SUBSTITUTE('BOM Loader'!$Y488,  " ",  ""),"-",  "")))),  "")</f>
        <v/>
      </c>
    </row>
    <row r="479">
      <c r="A479" t="str">
        <f t="array" ref="A479">IFERROR(IF(ISBLANK('BOM Loader'!$Y489), "", transpose(INDIRECT(SUBSTITUTE(SUBSTITUTE('BOM Loader'!$Y489,  " ",  ""),"-",  "")))),  "")</f>
        <v/>
      </c>
    </row>
    <row r="480">
      <c r="A480" t="str">
        <f t="array" ref="A480">IFERROR(IF(ISBLANK('BOM Loader'!$Y490), "", transpose(INDIRECT(SUBSTITUTE(SUBSTITUTE('BOM Loader'!$Y490,  " ",  ""),"-",  "")))),  "")</f>
        <v/>
      </c>
    </row>
    <row r="481">
      <c r="A481" t="str">
        <f t="array" ref="A481">IFERROR(IF(ISBLANK('BOM Loader'!$Y491), "", transpose(INDIRECT(SUBSTITUTE(SUBSTITUTE('BOM Loader'!$Y491,  " ",  ""),"-",  "")))),  "")</f>
        <v/>
      </c>
    </row>
    <row r="482">
      <c r="A482" t="str">
        <f t="array" ref="A482">IFERROR(IF(ISBLANK('BOM Loader'!$Y492), "", transpose(INDIRECT(SUBSTITUTE(SUBSTITUTE('BOM Loader'!$Y492,  " ",  ""),"-",  "")))),  "")</f>
        <v/>
      </c>
    </row>
    <row r="483">
      <c r="A483" t="str">
        <f t="array" ref="A483">IFERROR(IF(ISBLANK('BOM Loader'!$Y493), "", transpose(INDIRECT(SUBSTITUTE(SUBSTITUTE('BOM Loader'!$Y493,  " ",  ""),"-",  "")))),  "")</f>
        <v/>
      </c>
    </row>
    <row r="484">
      <c r="A484" t="str">
        <f t="array" ref="A484">IFERROR(IF(ISBLANK('BOM Loader'!$Y494), "", transpose(INDIRECT(SUBSTITUTE(SUBSTITUTE('BOM Loader'!$Y494,  " ",  ""),"-",  "")))),  "")</f>
        <v/>
      </c>
    </row>
    <row r="485">
      <c r="A485" t="str">
        <f t="array" ref="A485">IFERROR(IF(ISBLANK('BOM Loader'!$Y495), "", transpose(INDIRECT(SUBSTITUTE(SUBSTITUTE('BOM Loader'!$Y495,  " ",  ""),"-",  "")))),  "")</f>
        <v/>
      </c>
    </row>
    <row r="486">
      <c r="A486" t="str">
        <f t="array" ref="A486">IFERROR(IF(ISBLANK('BOM Loader'!$Y496), "", transpose(INDIRECT(SUBSTITUTE(SUBSTITUTE('BOM Loader'!$Y496,  " ",  ""),"-",  "")))),  "")</f>
        <v/>
      </c>
    </row>
    <row r="487">
      <c r="A487" t="str">
        <f t="array" ref="A487">IFERROR(IF(ISBLANK('BOM Loader'!$Y497), "", transpose(INDIRECT(SUBSTITUTE(SUBSTITUTE('BOM Loader'!$Y497,  " ",  ""),"-",  "")))),  "")</f>
        <v/>
      </c>
    </row>
    <row r="488">
      <c r="A488" t="str">
        <f t="array" ref="A488">IFERROR(IF(ISBLANK('BOM Loader'!$Y498), "", transpose(INDIRECT(SUBSTITUTE(SUBSTITUTE('BOM Loader'!$Y498,  " ",  ""),"-",  "")))),  "")</f>
        <v/>
      </c>
    </row>
    <row r="489">
      <c r="A489" t="str">
        <f t="array" ref="A489">IFERROR(IF(ISBLANK('BOM Loader'!$Y499), "", transpose(INDIRECT(SUBSTITUTE(SUBSTITUTE('BOM Loader'!$Y499,  " ",  ""),"-",  "")))),  "")</f>
        <v/>
      </c>
    </row>
    <row r="490">
      <c r="A490" t="str">
        <f t="array" ref="A490">IFERROR(IF(ISBLANK('BOM Loader'!$Y500), "", transpose(INDIRECT(SUBSTITUTE(SUBSTITUTE('BOM Loader'!$Y500,  " ",  ""),"-",  "")))),  "")</f>
        <v/>
      </c>
    </row>
    <row r="491">
      <c r="A491" t="str">
        <f t="array" ref="A491">IFERROR(IF(ISBLANK('BOM Loader'!$Y501), "", transpose(INDIRECT(SUBSTITUTE(SUBSTITUTE('BOM Loader'!$Y501,  " ",  ""),"-",  "")))),  "")</f>
        <v/>
      </c>
    </row>
    <row r="492">
      <c r="A492" t="str">
        <f t="array" ref="A492">IFERROR(IF(ISBLANK('BOM Loader'!$Y502), "", transpose(INDIRECT(SUBSTITUTE(SUBSTITUTE('BOM Loader'!$Y502,  " ",  ""),"-",  "")))),  "")</f>
        <v/>
      </c>
    </row>
    <row r="493">
      <c r="A493" t="str">
        <f t="array" ref="A493">IFERROR(IF(ISBLANK('BOM Loader'!$Y503), "", transpose(INDIRECT(SUBSTITUTE(SUBSTITUTE('BOM Loader'!$Y503,  " ",  ""),"-",  "")))),  "")</f>
        <v/>
      </c>
    </row>
    <row r="494">
      <c r="A494" t="str">
        <f t="array" ref="A494">IFERROR(IF(ISBLANK('BOM Loader'!$Y504), "", transpose(INDIRECT(SUBSTITUTE(SUBSTITUTE('BOM Loader'!$Y504,  " ",  ""),"-",  "")))),  "")</f>
        <v/>
      </c>
    </row>
    <row r="495">
      <c r="A495" t="str">
        <f t="array" ref="A495">IFERROR(IF(ISBLANK('BOM Loader'!$Y505), "", transpose(INDIRECT(SUBSTITUTE(SUBSTITUTE('BOM Loader'!$Y505,  " ",  ""),"-",  "")))),  "")</f>
        <v/>
      </c>
    </row>
    <row r="496">
      <c r="A496" t="str">
        <f t="array" ref="A496">IFERROR(IF(ISBLANK('BOM Loader'!$Y506), "", transpose(INDIRECT(SUBSTITUTE(SUBSTITUTE('BOM Loader'!$Y506,  " ",  ""),"-",  "")))),  "")</f>
        <v/>
      </c>
    </row>
    <row r="497">
      <c r="A497" t="str">
        <f t="array" ref="A497">IFERROR(IF(ISBLANK('BOM Loader'!$Y507), "", transpose(INDIRECT(SUBSTITUTE(SUBSTITUTE('BOM Loader'!$Y507,  " ",  ""),"-",  "")))),  "")</f>
        <v/>
      </c>
    </row>
    <row r="498">
      <c r="A498" t="str">
        <f t="array" ref="A498">IFERROR(IF(ISBLANK('BOM Loader'!$Y508), "", transpose(INDIRECT(SUBSTITUTE(SUBSTITUTE('BOM Loader'!$Y508,  " ",  ""),"-",  "")))),  "")</f>
        <v/>
      </c>
    </row>
    <row r="499">
      <c r="A499" t="str">
        <f t="array" ref="A499">IFERROR(IF(ISBLANK('BOM Loader'!$Y509), "", transpose(INDIRECT(SUBSTITUTE(SUBSTITUTE('BOM Loader'!$Y509,  " ",  ""),"-",  "")))),  "")</f>
        <v/>
      </c>
    </row>
    <row r="500">
      <c r="A500" t="str">
        <f t="array" ref="A500">IFERROR(IF(ISBLANK('BOM Loader'!$Y510), "", transpose(INDIRECT(SUBSTITUTE(SUBSTITUTE('BOM Loader'!$Y510,  " ",  ""),"-",  "")))),  "")</f>
        <v/>
      </c>
    </row>
    <row r="501">
      <c r="A501" t="str">
        <f t="array" ref="A501">IFERROR(IF(ISBLANK('BOM Loader'!$Y511), "", transpose(INDIRECT(SUBSTITUTE(SUBSTITUTE('BOM Loader'!$Y511,  " ",  ""),"-",  "")))),  "")</f>
        <v/>
      </c>
    </row>
    <row r="502">
      <c r="A502" t="str">
        <f t="array" ref="A502">IFERROR(IF(ISBLANK('BOM Loader'!$Y512), "", transpose(INDIRECT(SUBSTITUTE(SUBSTITUTE('BOM Loader'!$Y512,  " ",  ""),"-",  "")))),  "")</f>
        <v/>
      </c>
    </row>
    <row r="503">
      <c r="A503" t="str">
        <f t="array" ref="A503">IFERROR(IF(ISBLANK('BOM Loader'!$Y513), "", transpose(INDIRECT(SUBSTITUTE(SUBSTITUTE('BOM Loader'!$Y513,  " ",  ""),"-",  "")))),  "")</f>
        <v/>
      </c>
    </row>
    <row r="504">
      <c r="A504" t="str">
        <f t="array" ref="A504">IFERROR(IF(ISBLANK('BOM Loader'!$Y514), "", transpose(INDIRECT(SUBSTITUTE(SUBSTITUTE('BOM Loader'!$Y514,  " ",  ""),"-",  "")))),  "")</f>
        <v/>
      </c>
    </row>
    <row r="505">
      <c r="A505" t="str">
        <f t="array" ref="A505">IFERROR(IF(ISBLANK('BOM Loader'!$Y515), "", transpose(INDIRECT(SUBSTITUTE(SUBSTITUTE('BOM Loader'!$Y515,  " ",  ""),"-",  "")))),  "")</f>
        <v/>
      </c>
    </row>
    <row r="506">
      <c r="A506" t="str">
        <f t="array" ref="A506">IFERROR(IF(ISBLANK('BOM Loader'!$Y516), "", transpose(INDIRECT(SUBSTITUTE(SUBSTITUTE('BOM Loader'!$Y516,  " ",  ""),"-",  "")))),  "")</f>
        <v/>
      </c>
    </row>
    <row r="507">
      <c r="A507" t="str">
        <f t="array" ref="A507">IFERROR(IF(ISBLANK('BOM Loader'!$Y517), "", transpose(INDIRECT(SUBSTITUTE(SUBSTITUTE('BOM Loader'!$Y517,  " ",  ""),"-",  "")))),  "")</f>
        <v/>
      </c>
    </row>
    <row r="508">
      <c r="A508" t="str">
        <f t="array" ref="A508">IFERROR(IF(ISBLANK('BOM Loader'!$Y518), "", transpose(INDIRECT(SUBSTITUTE(SUBSTITUTE('BOM Loader'!$Y518,  " ",  ""),"-",  "")))),  "")</f>
        <v/>
      </c>
    </row>
    <row r="509">
      <c r="A509" t="str">
        <f t="array" ref="A509">IFERROR(IF(ISBLANK('BOM Loader'!$Y519), "", transpose(INDIRECT(SUBSTITUTE(SUBSTITUTE('BOM Loader'!$Y519,  " ",  ""),"-",  "")))),  "")</f>
        <v/>
      </c>
    </row>
    <row r="510">
      <c r="A510" t="str">
        <f t="array" ref="A510">IFERROR(IF(ISBLANK('BOM Loader'!$Y520), "", transpose(INDIRECT(SUBSTITUTE(SUBSTITUTE('BOM Loader'!$Y520,  " ",  ""),"-",  "")))),  "")</f>
        <v/>
      </c>
    </row>
    <row r="511">
      <c r="A511" t="str">
        <f t="array" ref="A511">IFERROR(IF(ISBLANK('BOM Loader'!$Y521), "", transpose(INDIRECT(SUBSTITUTE(SUBSTITUTE('BOM Loader'!$Y521,  " ",  ""),"-",  "")))),  "")</f>
        <v/>
      </c>
    </row>
    <row r="512">
      <c r="A512" t="str">
        <f t="array" ref="A512">IFERROR(IF(ISBLANK('BOM Loader'!$Y522), "", transpose(INDIRECT(SUBSTITUTE(SUBSTITUTE('BOM Loader'!$Y522,  " ",  ""),"-",  "")))),  "")</f>
        <v/>
      </c>
    </row>
    <row r="513">
      <c r="A513" t="str">
        <f t="array" ref="A513">IFERROR(IF(ISBLANK('BOM Loader'!$Y523), "", transpose(INDIRECT(SUBSTITUTE(SUBSTITUTE('BOM Loader'!$Y523,  " ",  ""),"-",  "")))),  "")</f>
        <v/>
      </c>
    </row>
    <row r="514">
      <c r="A514" t="str">
        <f t="array" ref="A514">IFERROR(IF(ISBLANK('BOM Loader'!$Y524), "", transpose(INDIRECT(SUBSTITUTE(SUBSTITUTE('BOM Loader'!$Y524,  " ",  ""),"-",  "")))),  "")</f>
        <v/>
      </c>
    </row>
    <row r="515">
      <c r="A515" t="str">
        <f t="array" ref="A515">IFERROR(IF(ISBLANK('BOM Loader'!$Y525), "", transpose(INDIRECT(SUBSTITUTE(SUBSTITUTE('BOM Loader'!$Y525,  " ",  ""),"-",  "")))),  "")</f>
        <v/>
      </c>
    </row>
    <row r="516">
      <c r="A516" t="str">
        <f t="array" ref="A516">IFERROR(IF(ISBLANK('BOM Loader'!$Y526), "", transpose(INDIRECT(SUBSTITUTE(SUBSTITUTE('BOM Loader'!$Y526,  " ",  ""),"-",  "")))),  "")</f>
        <v/>
      </c>
    </row>
    <row r="517">
      <c r="A517" t="str">
        <f t="array" ref="A517">IFERROR(IF(ISBLANK('BOM Loader'!$Y527), "", transpose(INDIRECT(SUBSTITUTE(SUBSTITUTE('BOM Loader'!$Y527,  " ",  ""),"-",  "")))),  "")</f>
        <v/>
      </c>
    </row>
    <row r="518">
      <c r="A518" t="str">
        <f t="array" ref="A518">IFERROR(IF(ISBLANK('BOM Loader'!$Y528), "", transpose(INDIRECT(SUBSTITUTE(SUBSTITUTE('BOM Loader'!$Y528,  " ",  ""),"-",  "")))),  "")</f>
        <v/>
      </c>
    </row>
    <row r="519">
      <c r="A519" t="str">
        <f t="array" ref="A519">IFERROR(IF(ISBLANK('BOM Loader'!$Y529), "", transpose(INDIRECT(SUBSTITUTE(SUBSTITUTE('BOM Loader'!$Y529,  " ",  ""),"-",  "")))),  "")</f>
        <v/>
      </c>
    </row>
    <row r="520">
      <c r="A520" t="str">
        <f t="array" ref="A520">IFERROR(IF(ISBLANK('BOM Loader'!$Y530), "", transpose(INDIRECT(SUBSTITUTE(SUBSTITUTE('BOM Loader'!$Y530,  " ",  ""),"-",  "")))),  "")</f>
        <v/>
      </c>
    </row>
    <row r="521">
      <c r="A521" t="str">
        <f t="array" ref="A521">IFERROR(IF(ISBLANK('BOM Loader'!$Y531), "", transpose(INDIRECT(SUBSTITUTE(SUBSTITUTE('BOM Loader'!$Y531,  " ",  ""),"-",  "")))),  "")</f>
        <v/>
      </c>
    </row>
    <row r="522">
      <c r="A522" t="str">
        <f t="array" ref="A522">IFERROR(IF(ISBLANK('BOM Loader'!$Y532), "", transpose(INDIRECT(SUBSTITUTE(SUBSTITUTE('BOM Loader'!$Y532,  " ",  ""),"-",  "")))),  "")</f>
        <v/>
      </c>
    </row>
    <row r="523">
      <c r="A523" t="str">
        <f t="array" ref="A523">IFERROR(IF(ISBLANK('BOM Loader'!$Y533), "", transpose(INDIRECT(SUBSTITUTE(SUBSTITUTE('BOM Loader'!$Y533,  " ",  ""),"-",  "")))),  "")</f>
        <v/>
      </c>
    </row>
    <row r="524">
      <c r="A524" t="str">
        <f t="array" ref="A524">IFERROR(IF(ISBLANK('BOM Loader'!$Y534), "", transpose(INDIRECT(SUBSTITUTE(SUBSTITUTE('BOM Loader'!$Y534,  " ",  ""),"-",  "")))),  "")</f>
        <v/>
      </c>
    </row>
    <row r="525">
      <c r="A525" t="str">
        <f t="array" ref="A525">IFERROR(IF(ISBLANK('BOM Loader'!$Y535), "", transpose(INDIRECT(SUBSTITUTE(SUBSTITUTE('BOM Loader'!$Y535,  " ",  ""),"-",  "")))),  "")</f>
        <v/>
      </c>
    </row>
    <row r="526">
      <c r="A526" t="str">
        <f t="array" ref="A526">IFERROR(IF(ISBLANK('BOM Loader'!$Y536), "", transpose(INDIRECT(SUBSTITUTE(SUBSTITUTE('BOM Loader'!$Y536,  " ",  ""),"-",  "")))),  "")</f>
        <v/>
      </c>
    </row>
    <row r="527">
      <c r="A527" t="str">
        <f t="array" ref="A527">IFERROR(IF(ISBLANK('BOM Loader'!$Y537), "", transpose(INDIRECT(SUBSTITUTE(SUBSTITUTE('BOM Loader'!$Y537,  " ",  ""),"-",  "")))),  "")</f>
        <v/>
      </c>
    </row>
    <row r="528">
      <c r="A528" t="str">
        <f t="array" ref="A528">IFERROR(IF(ISBLANK('BOM Loader'!$Y538), "", transpose(INDIRECT(SUBSTITUTE(SUBSTITUTE('BOM Loader'!$Y538,  " ",  ""),"-",  "")))),  "")</f>
        <v/>
      </c>
    </row>
    <row r="529">
      <c r="A529" t="str">
        <f t="array" ref="A529">IFERROR(IF(ISBLANK('BOM Loader'!$Y539), "", transpose(INDIRECT(SUBSTITUTE(SUBSTITUTE('BOM Loader'!$Y539,  " ",  ""),"-",  "")))),  "")</f>
        <v/>
      </c>
    </row>
    <row r="530">
      <c r="A530" t="str">
        <f t="array" ref="A530">IFERROR(IF(ISBLANK('BOM Loader'!$Y540), "", transpose(INDIRECT(SUBSTITUTE(SUBSTITUTE('BOM Loader'!$Y540,  " ",  ""),"-",  "")))),  "")</f>
        <v/>
      </c>
    </row>
    <row r="531">
      <c r="A531" t="str">
        <f t="array" ref="A531">IFERROR(IF(ISBLANK('BOM Loader'!$Y541), "", transpose(INDIRECT(SUBSTITUTE(SUBSTITUTE('BOM Loader'!$Y541,  " ",  ""),"-",  "")))),  "")</f>
        <v/>
      </c>
    </row>
    <row r="532">
      <c r="A532" t="str">
        <f t="array" ref="A532">IFERROR(IF(ISBLANK('BOM Loader'!$Y542), "", transpose(INDIRECT(SUBSTITUTE(SUBSTITUTE('BOM Loader'!$Y542,  " ",  ""),"-",  "")))),  "")</f>
        <v/>
      </c>
    </row>
    <row r="533">
      <c r="A533" t="str">
        <f t="array" ref="A533">IFERROR(IF(ISBLANK('BOM Loader'!$Y543), "", transpose(INDIRECT(SUBSTITUTE(SUBSTITUTE('BOM Loader'!$Y543,  " ",  ""),"-",  "")))),  "")</f>
        <v/>
      </c>
    </row>
    <row r="534">
      <c r="A534" t="str">
        <f t="array" ref="A534">IFERROR(IF(ISBLANK('BOM Loader'!$Y544), "", transpose(INDIRECT(SUBSTITUTE(SUBSTITUTE('BOM Loader'!$Y544,  " ",  ""),"-",  "")))),  "")</f>
        <v/>
      </c>
    </row>
    <row r="535">
      <c r="A535" t="str">
        <f t="array" ref="A535">IFERROR(IF(ISBLANK('BOM Loader'!$Y545), "", transpose(INDIRECT(SUBSTITUTE(SUBSTITUTE('BOM Loader'!$Y545,  " ",  ""),"-",  "")))),  "")</f>
        <v/>
      </c>
    </row>
    <row r="536">
      <c r="A536" t="str">
        <f t="array" ref="A536">IFERROR(IF(ISBLANK('BOM Loader'!$Y546), "", transpose(INDIRECT(SUBSTITUTE(SUBSTITUTE('BOM Loader'!$Y546,  " ",  ""),"-",  "")))),  "")</f>
        <v/>
      </c>
    </row>
    <row r="537">
      <c r="A537" t="str">
        <f t="array" ref="A537">IFERROR(IF(ISBLANK('BOM Loader'!$Y547), "", transpose(INDIRECT(SUBSTITUTE(SUBSTITUTE('BOM Loader'!$Y547,  " ",  ""),"-",  "")))),  "")</f>
        <v/>
      </c>
    </row>
    <row r="538">
      <c r="A538" t="str">
        <f t="array" ref="A538">IFERROR(IF(ISBLANK('BOM Loader'!$Y548), "", transpose(INDIRECT(SUBSTITUTE(SUBSTITUTE('BOM Loader'!$Y548,  " ",  ""),"-",  "")))),  "")</f>
        <v/>
      </c>
    </row>
    <row r="539">
      <c r="A539" t="str">
        <f t="array" ref="A539">IFERROR(IF(ISBLANK('BOM Loader'!$Y549), "", transpose(INDIRECT(SUBSTITUTE(SUBSTITUTE('BOM Loader'!$Y549,  " ",  ""),"-",  "")))),  "")</f>
        <v/>
      </c>
    </row>
    <row r="540">
      <c r="A540" t="str">
        <f t="array" ref="A540">IFERROR(IF(ISBLANK('BOM Loader'!$Y550), "", transpose(INDIRECT(SUBSTITUTE(SUBSTITUTE('BOM Loader'!$Y550,  " ",  ""),"-",  "")))),  "")</f>
        <v/>
      </c>
    </row>
    <row r="541">
      <c r="A541" t="str">
        <f t="array" ref="A541">IFERROR(IF(ISBLANK('BOM Loader'!$Y551), "", transpose(INDIRECT(SUBSTITUTE(SUBSTITUTE('BOM Loader'!$Y551,  " ",  ""),"-",  "")))),  "")</f>
        <v/>
      </c>
    </row>
    <row r="542">
      <c r="A542" t="str">
        <f t="array" ref="A542">IFERROR(IF(ISBLANK('BOM Loader'!$Y552), "", transpose(INDIRECT(SUBSTITUTE(SUBSTITUTE('BOM Loader'!$Y552,  " ",  ""),"-",  "")))),  "")</f>
        <v/>
      </c>
    </row>
    <row r="543">
      <c r="A543" t="str">
        <f t="array" ref="A543">IFERROR(IF(ISBLANK('BOM Loader'!$Y553), "", transpose(INDIRECT(SUBSTITUTE(SUBSTITUTE('BOM Loader'!$Y553,  " ",  ""),"-",  "")))),  "")</f>
        <v/>
      </c>
    </row>
    <row r="544">
      <c r="A544" t="str">
        <f t="array" ref="A544">IFERROR(IF(ISBLANK('BOM Loader'!$Y554), "", transpose(INDIRECT(SUBSTITUTE(SUBSTITUTE('BOM Loader'!$Y554,  " ",  ""),"-",  "")))),  "")</f>
        <v/>
      </c>
    </row>
    <row r="545">
      <c r="A545" t="str">
        <f t="array" ref="A545">IFERROR(IF(ISBLANK('BOM Loader'!$Y555), "", transpose(INDIRECT(SUBSTITUTE(SUBSTITUTE('BOM Loader'!$Y555,  " ",  ""),"-",  "")))),  "")</f>
        <v/>
      </c>
    </row>
    <row r="546">
      <c r="A546" t="str">
        <f t="array" ref="A546">IFERROR(IF(ISBLANK('BOM Loader'!$Y556), "", transpose(INDIRECT(SUBSTITUTE(SUBSTITUTE('BOM Loader'!$Y556,  " ",  ""),"-",  "")))),  "")</f>
        <v/>
      </c>
    </row>
    <row r="547">
      <c r="A547" t="str">
        <f t="array" ref="A547">IFERROR(IF(ISBLANK('BOM Loader'!$Y557), "", transpose(INDIRECT(SUBSTITUTE(SUBSTITUTE('BOM Loader'!$Y557,  " ",  ""),"-",  "")))),  "")</f>
        <v/>
      </c>
    </row>
    <row r="548">
      <c r="A548" t="str">
        <f t="array" ref="A548">IFERROR(IF(ISBLANK('BOM Loader'!$Y558), "", transpose(INDIRECT(SUBSTITUTE(SUBSTITUTE('BOM Loader'!$Y558,  " ",  ""),"-",  "")))),  "")</f>
        <v/>
      </c>
    </row>
    <row r="549">
      <c r="A549" t="str">
        <f t="array" ref="A549">IFERROR(IF(ISBLANK('BOM Loader'!$Y559), "", transpose(INDIRECT(SUBSTITUTE(SUBSTITUTE('BOM Loader'!$Y559,  " ",  ""),"-",  "")))),  "")</f>
        <v/>
      </c>
    </row>
    <row r="550">
      <c r="A550" t="str">
        <f t="array" ref="A550">IFERROR(IF(ISBLANK('BOM Loader'!$Y560), "", transpose(INDIRECT(SUBSTITUTE(SUBSTITUTE('BOM Loader'!$Y560,  " ",  ""),"-",  "")))),  "")</f>
        <v/>
      </c>
    </row>
    <row r="551">
      <c r="A551" t="str">
        <f t="array" ref="A551">IFERROR(IF(ISBLANK('BOM Loader'!$Y561), "", transpose(INDIRECT(SUBSTITUTE(SUBSTITUTE('BOM Loader'!$Y561,  " ",  ""),"-",  "")))),  "")</f>
        <v/>
      </c>
    </row>
    <row r="552">
      <c r="A552" t="str">
        <f t="array" ref="A552">IFERROR(IF(ISBLANK('BOM Loader'!$Y562), "", transpose(INDIRECT(SUBSTITUTE(SUBSTITUTE('BOM Loader'!$Y562,  " ",  ""),"-",  "")))),  "")</f>
        <v/>
      </c>
    </row>
    <row r="553">
      <c r="A553" t="str">
        <f t="array" ref="A553">IFERROR(IF(ISBLANK('BOM Loader'!$Y563), "", transpose(INDIRECT(SUBSTITUTE(SUBSTITUTE('BOM Loader'!$Y563,  " ",  ""),"-",  "")))),  "")</f>
        <v/>
      </c>
    </row>
    <row r="554">
      <c r="A554" t="str">
        <f t="array" ref="A554">IFERROR(IF(ISBLANK('BOM Loader'!$Y564), "", transpose(INDIRECT(SUBSTITUTE(SUBSTITUTE('BOM Loader'!$Y564,  " ",  ""),"-",  "")))),  "")</f>
        <v/>
      </c>
    </row>
    <row r="555">
      <c r="A555" t="str">
        <f t="array" ref="A555">IFERROR(IF(ISBLANK('BOM Loader'!$Y565), "", transpose(INDIRECT(SUBSTITUTE(SUBSTITUTE('BOM Loader'!$Y565,  " ",  ""),"-",  "")))),  "")</f>
        <v/>
      </c>
    </row>
    <row r="556">
      <c r="A556" t="str">
        <f t="array" ref="A556">IFERROR(IF(ISBLANK('BOM Loader'!$Y566), "", transpose(INDIRECT(SUBSTITUTE(SUBSTITUTE('BOM Loader'!$Y566,  " ",  ""),"-",  "")))),  "")</f>
        <v/>
      </c>
    </row>
    <row r="557">
      <c r="A557" t="str">
        <f t="array" ref="A557">IFERROR(IF(ISBLANK('BOM Loader'!$Y567), "", transpose(INDIRECT(SUBSTITUTE(SUBSTITUTE('BOM Loader'!$Y567,  " ",  ""),"-",  "")))),  "")</f>
        <v/>
      </c>
    </row>
    <row r="558">
      <c r="A558" t="str">
        <f t="array" ref="A558">IFERROR(IF(ISBLANK('BOM Loader'!$Y568), "", transpose(INDIRECT(SUBSTITUTE(SUBSTITUTE('BOM Loader'!$Y568,  " ",  ""),"-",  "")))),  "")</f>
        <v/>
      </c>
    </row>
    <row r="559">
      <c r="A559" t="str">
        <f t="array" ref="A559">IFERROR(IF(ISBLANK('BOM Loader'!$Y569), "", transpose(INDIRECT(SUBSTITUTE(SUBSTITUTE('BOM Loader'!$Y569,  " ",  ""),"-",  "")))),  "")</f>
        <v/>
      </c>
    </row>
    <row r="560">
      <c r="A560" t="str">
        <f t="array" ref="A560">IFERROR(IF(ISBLANK('BOM Loader'!$Y570), "", transpose(INDIRECT(SUBSTITUTE(SUBSTITUTE('BOM Loader'!$Y570,  " ",  ""),"-",  "")))),  "")</f>
        <v/>
      </c>
    </row>
    <row r="561">
      <c r="A561" t="str">
        <f t="array" ref="A561">IFERROR(IF(ISBLANK('BOM Loader'!$Y571), "", transpose(INDIRECT(SUBSTITUTE(SUBSTITUTE('BOM Loader'!$Y571,  " ",  ""),"-",  "")))),  "")</f>
        <v/>
      </c>
    </row>
    <row r="562">
      <c r="A562" t="str">
        <f t="array" ref="A562">IFERROR(IF(ISBLANK('BOM Loader'!$Y572), "", transpose(INDIRECT(SUBSTITUTE(SUBSTITUTE('BOM Loader'!$Y572,  " ",  ""),"-",  "")))),  "")</f>
        <v/>
      </c>
    </row>
    <row r="563">
      <c r="A563" t="str">
        <f t="array" ref="A563">IFERROR(IF(ISBLANK('BOM Loader'!$Y573), "", transpose(INDIRECT(SUBSTITUTE(SUBSTITUTE('BOM Loader'!$Y573,  " ",  ""),"-",  "")))),  "")</f>
        <v/>
      </c>
    </row>
    <row r="564">
      <c r="A564" t="str">
        <f t="array" ref="A564">IFERROR(IF(ISBLANK('BOM Loader'!$Y574), "", transpose(INDIRECT(SUBSTITUTE(SUBSTITUTE('BOM Loader'!$Y574,  " ",  ""),"-",  "")))),  "")</f>
        <v/>
      </c>
    </row>
    <row r="565">
      <c r="A565" t="str">
        <f t="array" ref="A565">IFERROR(IF(ISBLANK('BOM Loader'!$Y575), "", transpose(INDIRECT(SUBSTITUTE(SUBSTITUTE('BOM Loader'!$Y575,  " ",  ""),"-",  "")))),  "")</f>
        <v/>
      </c>
    </row>
    <row r="566">
      <c r="A566" t="str">
        <f t="array" ref="A566">IFERROR(IF(ISBLANK('BOM Loader'!$Y576), "", transpose(INDIRECT(SUBSTITUTE(SUBSTITUTE('BOM Loader'!$Y576,  " ",  ""),"-",  "")))),  "")</f>
        <v/>
      </c>
    </row>
    <row r="567">
      <c r="A567" t="str">
        <f t="array" ref="A567">IFERROR(IF(ISBLANK('BOM Loader'!$Y577), "", transpose(INDIRECT(SUBSTITUTE(SUBSTITUTE('BOM Loader'!$Y577,  " ",  ""),"-",  "")))),  "")</f>
        <v/>
      </c>
    </row>
    <row r="568">
      <c r="A568" t="str">
        <f t="array" ref="A568">IFERROR(IF(ISBLANK('BOM Loader'!$Y578), "", transpose(INDIRECT(SUBSTITUTE(SUBSTITUTE('BOM Loader'!$Y578,  " ",  ""),"-",  "")))),  "")</f>
        <v/>
      </c>
    </row>
    <row r="569">
      <c r="A569" t="str">
        <f t="array" ref="A569">IFERROR(IF(ISBLANK('BOM Loader'!$Y579), "", transpose(INDIRECT(SUBSTITUTE(SUBSTITUTE('BOM Loader'!$Y579,  " ",  ""),"-",  "")))),  "")</f>
        <v/>
      </c>
    </row>
    <row r="570">
      <c r="A570" t="str">
        <f t="array" ref="A570">IFERROR(IF(ISBLANK('BOM Loader'!$Y580), "", transpose(INDIRECT(SUBSTITUTE(SUBSTITUTE('BOM Loader'!$Y580,  " ",  ""),"-",  "")))),  "")</f>
        <v/>
      </c>
    </row>
    <row r="571">
      <c r="A571" t="str">
        <f t="array" ref="A571">IFERROR(IF(ISBLANK('BOM Loader'!$Y581), "", transpose(INDIRECT(SUBSTITUTE(SUBSTITUTE('BOM Loader'!$Y581,  " ",  ""),"-",  "")))),  "")</f>
        <v/>
      </c>
    </row>
    <row r="572">
      <c r="A572" t="str">
        <f t="array" ref="A572">IFERROR(IF(ISBLANK('BOM Loader'!$Y582), "", transpose(INDIRECT(SUBSTITUTE(SUBSTITUTE('BOM Loader'!$Y582,  " ",  ""),"-",  "")))),  "")</f>
        <v/>
      </c>
    </row>
    <row r="573">
      <c r="A573" t="str">
        <f t="array" ref="A573">IFERROR(IF(ISBLANK('BOM Loader'!$Y583), "", transpose(INDIRECT(SUBSTITUTE(SUBSTITUTE('BOM Loader'!$Y583,  " ",  ""),"-",  "")))),  "")</f>
        <v/>
      </c>
    </row>
    <row r="574">
      <c r="A574" t="str">
        <f t="array" ref="A574">IFERROR(IF(ISBLANK('BOM Loader'!$Y584), "", transpose(INDIRECT(SUBSTITUTE(SUBSTITUTE('BOM Loader'!$Y584,  " ",  ""),"-",  "")))),  "")</f>
        <v/>
      </c>
    </row>
    <row r="575">
      <c r="A575" t="str">
        <f t="array" ref="A575">IFERROR(IF(ISBLANK('BOM Loader'!$Y585), "", transpose(INDIRECT(SUBSTITUTE(SUBSTITUTE('BOM Loader'!$Y585,  " ",  ""),"-",  "")))),  "")</f>
        <v/>
      </c>
    </row>
    <row r="576">
      <c r="A576" t="str">
        <f t="array" ref="A576">IFERROR(IF(ISBLANK('BOM Loader'!$Y586), "", transpose(INDIRECT(SUBSTITUTE(SUBSTITUTE('BOM Loader'!$Y586,  " ",  ""),"-",  "")))),  "")</f>
        <v/>
      </c>
    </row>
    <row r="577">
      <c r="A577" t="str">
        <f t="array" ref="A577">IFERROR(IF(ISBLANK('BOM Loader'!$Y587), "", transpose(INDIRECT(SUBSTITUTE(SUBSTITUTE('BOM Loader'!$Y587,  " ",  ""),"-",  "")))),  "")</f>
        <v/>
      </c>
    </row>
    <row r="578">
      <c r="A578" t="str">
        <f t="array" ref="A578">IFERROR(IF(ISBLANK('BOM Loader'!$Y588), "", transpose(INDIRECT(SUBSTITUTE(SUBSTITUTE('BOM Loader'!$Y588,  " ",  ""),"-",  "")))),  "")</f>
        <v/>
      </c>
    </row>
    <row r="579">
      <c r="A579" t="str">
        <f t="array" ref="A579">IFERROR(IF(ISBLANK('BOM Loader'!$Y589), "", transpose(INDIRECT(SUBSTITUTE(SUBSTITUTE('BOM Loader'!$Y589,  " ",  ""),"-",  "")))),  "")</f>
        <v/>
      </c>
    </row>
    <row r="580">
      <c r="A580" t="str">
        <f t="array" ref="A580">IFERROR(IF(ISBLANK('BOM Loader'!$Y590), "", transpose(INDIRECT(SUBSTITUTE(SUBSTITUTE('BOM Loader'!$Y590,  " ",  ""),"-",  "")))),  "")</f>
        <v/>
      </c>
    </row>
    <row r="581">
      <c r="A581" t="str">
        <f t="array" ref="A581">IFERROR(IF(ISBLANK('BOM Loader'!$Y591), "", transpose(INDIRECT(SUBSTITUTE(SUBSTITUTE('BOM Loader'!$Y591,  " ",  ""),"-",  "")))),  "")</f>
        <v/>
      </c>
    </row>
    <row r="582">
      <c r="A582" t="str">
        <f t="array" ref="A582">IFERROR(IF(ISBLANK('BOM Loader'!$Y592), "", transpose(INDIRECT(SUBSTITUTE(SUBSTITUTE('BOM Loader'!$Y592,  " ",  ""),"-",  "")))),  "")</f>
        <v/>
      </c>
    </row>
    <row r="583">
      <c r="A583" t="str">
        <f t="array" ref="A583">IFERROR(IF(ISBLANK('BOM Loader'!$Y593), "", transpose(INDIRECT(SUBSTITUTE(SUBSTITUTE('BOM Loader'!$Y593,  " ",  ""),"-",  "")))),  "")</f>
        <v/>
      </c>
    </row>
    <row r="584">
      <c r="A584" t="str">
        <f t="array" ref="A584">IFERROR(IF(ISBLANK('BOM Loader'!$Y594), "", transpose(INDIRECT(SUBSTITUTE(SUBSTITUTE('BOM Loader'!$Y594,  " ",  ""),"-",  "")))),  "")</f>
        <v/>
      </c>
    </row>
    <row r="585">
      <c r="A585" t="str">
        <f t="array" ref="A585">IFERROR(IF(ISBLANK('BOM Loader'!$Y595), "", transpose(INDIRECT(SUBSTITUTE(SUBSTITUTE('BOM Loader'!$Y595,  " ",  ""),"-",  "")))),  "")</f>
        <v/>
      </c>
    </row>
    <row r="586">
      <c r="A586" t="str">
        <f t="array" ref="A586">IFERROR(IF(ISBLANK('BOM Loader'!$Y596), "", transpose(INDIRECT(SUBSTITUTE(SUBSTITUTE('BOM Loader'!$Y596,  " ",  ""),"-",  "")))),  "")</f>
        <v/>
      </c>
    </row>
    <row r="587">
      <c r="A587" t="str">
        <f t="array" ref="A587">IFERROR(IF(ISBLANK('BOM Loader'!$Y597), "", transpose(INDIRECT(SUBSTITUTE(SUBSTITUTE('BOM Loader'!$Y597,  " ",  ""),"-",  "")))),  "")</f>
        <v/>
      </c>
    </row>
    <row r="588">
      <c r="A588" t="str">
        <f t="array" ref="A588">IFERROR(IF(ISBLANK('BOM Loader'!$Y598), "", transpose(INDIRECT(SUBSTITUTE(SUBSTITUTE('BOM Loader'!$Y598,  " ",  ""),"-",  "")))),  "")</f>
        <v/>
      </c>
    </row>
    <row r="589">
      <c r="A589" t="str">
        <f t="array" ref="A589">IFERROR(IF(ISBLANK('BOM Loader'!$Y599), "", transpose(INDIRECT(SUBSTITUTE(SUBSTITUTE('BOM Loader'!$Y599,  " ",  ""),"-",  "")))),  "")</f>
        <v/>
      </c>
    </row>
    <row r="590">
      <c r="A590" t="str">
        <f t="array" ref="A590">IFERROR(IF(ISBLANK('BOM Loader'!$Y600), "", transpose(INDIRECT(SUBSTITUTE(SUBSTITUTE('BOM Loader'!$Y600,  " ",  ""),"-",  "")))),  "")</f>
        <v/>
      </c>
    </row>
    <row r="591">
      <c r="A591" t="str">
        <f t="array" ref="A591">IFERROR(IF(ISBLANK('BOM Loader'!$Y601), "", transpose(INDIRECT(SUBSTITUTE(SUBSTITUTE('BOM Loader'!$Y601,  " ",  ""),"-",  "")))),  "")</f>
        <v/>
      </c>
    </row>
    <row r="592">
      <c r="A592" t="str">
        <f t="array" ref="A592">IFERROR(IF(ISBLANK('BOM Loader'!$Y602), "", transpose(INDIRECT(SUBSTITUTE(SUBSTITUTE('BOM Loader'!$Y602,  " ",  ""),"-",  "")))),  "")</f>
        <v/>
      </c>
    </row>
    <row r="593">
      <c r="A593" t="str">
        <f t="array" ref="A593">IFERROR(IF(ISBLANK('BOM Loader'!$Y603), "", transpose(INDIRECT(SUBSTITUTE(SUBSTITUTE('BOM Loader'!$Y603,  " ",  ""),"-",  "")))),  "")</f>
        <v/>
      </c>
    </row>
    <row r="594">
      <c r="A594" t="str">
        <f t="array" ref="A594">IFERROR(IF(ISBLANK('BOM Loader'!$Y604), "", transpose(INDIRECT(SUBSTITUTE(SUBSTITUTE('BOM Loader'!$Y604,  " ",  ""),"-",  "")))),  "")</f>
        <v/>
      </c>
    </row>
    <row r="595">
      <c r="A595" t="str">
        <f t="array" ref="A595">IFERROR(IF(ISBLANK('BOM Loader'!$Y605), "", transpose(INDIRECT(SUBSTITUTE(SUBSTITUTE('BOM Loader'!$Y605,  " ",  ""),"-",  "")))),  "")</f>
        <v/>
      </c>
    </row>
    <row r="596">
      <c r="A596" t="str">
        <f t="array" ref="A596">IFERROR(IF(ISBLANK('BOM Loader'!$Y606), "", transpose(INDIRECT(SUBSTITUTE(SUBSTITUTE('BOM Loader'!$Y606,  " ",  ""),"-",  "")))),  "")</f>
        <v/>
      </c>
    </row>
    <row r="597">
      <c r="A597" t="str">
        <f t="array" ref="A597">IFERROR(IF(ISBLANK('BOM Loader'!$Y607), "", transpose(INDIRECT(SUBSTITUTE(SUBSTITUTE('BOM Loader'!$Y607,  " ",  ""),"-",  "")))),  "")</f>
        <v/>
      </c>
    </row>
    <row r="598">
      <c r="A598" t="str">
        <f t="array" ref="A598">IFERROR(IF(ISBLANK('BOM Loader'!$Y608), "", transpose(INDIRECT(SUBSTITUTE(SUBSTITUTE('BOM Loader'!$Y608,  " ",  ""),"-",  "")))),  "")</f>
        <v/>
      </c>
    </row>
    <row r="599">
      <c r="A599" t="str">
        <f t="array" ref="A599">IFERROR(IF(ISBLANK('BOM Loader'!$Y609), "", transpose(INDIRECT(SUBSTITUTE(SUBSTITUTE('BOM Loader'!$Y609,  " ",  ""),"-",  "")))),  "")</f>
        <v/>
      </c>
    </row>
    <row r="600">
      <c r="A600" t="str">
        <f t="array" ref="A600">IFERROR(IF(ISBLANK('BOM Loader'!$Y610), "", transpose(INDIRECT(SUBSTITUTE(SUBSTITUTE('BOM Loader'!$Y610,  " ",  ""),"-",  "")))),  "")</f>
        <v/>
      </c>
    </row>
    <row r="601">
      <c r="A601" t="str">
        <f t="array" ref="A601">IFERROR(IF(ISBLANK('BOM Loader'!$Y611), "", transpose(INDIRECT(SUBSTITUTE(SUBSTITUTE('BOM Loader'!$Y611,  " ",  ""),"-",  "")))),  "")</f>
        <v/>
      </c>
    </row>
    <row r="602">
      <c r="A602" t="str">
        <f t="array" ref="A602">IFERROR(IF(ISBLANK('BOM Loader'!$Y612), "", transpose(INDIRECT(SUBSTITUTE(SUBSTITUTE('BOM Loader'!$Y612,  " ",  ""),"-",  "")))),  "")</f>
        <v/>
      </c>
    </row>
    <row r="603">
      <c r="A603" t="str">
        <f t="array" ref="A603">IFERROR(IF(ISBLANK('BOM Loader'!$Y613), "", transpose(INDIRECT(SUBSTITUTE(SUBSTITUTE('BOM Loader'!$Y613,  " ",  ""),"-",  "")))),  "")</f>
        <v/>
      </c>
    </row>
    <row r="604">
      <c r="A604" t="str">
        <f t="array" ref="A604">IFERROR(IF(ISBLANK('BOM Loader'!$Y614), "", transpose(INDIRECT(SUBSTITUTE(SUBSTITUTE('BOM Loader'!$Y614,  " ",  ""),"-",  "")))),  "")</f>
        <v/>
      </c>
    </row>
    <row r="605">
      <c r="A605" t="str">
        <f t="array" ref="A605">IFERROR(IF(ISBLANK('BOM Loader'!$Y615), "", transpose(INDIRECT(SUBSTITUTE(SUBSTITUTE('BOM Loader'!$Y615,  " ",  ""),"-",  "")))),  "")</f>
        <v/>
      </c>
    </row>
    <row r="606">
      <c r="A606" t="str">
        <f t="array" ref="A606">IFERROR(IF(ISBLANK('BOM Loader'!$Y616), "", transpose(INDIRECT(SUBSTITUTE(SUBSTITUTE('BOM Loader'!$Y616,  " ",  ""),"-",  "")))),  "")</f>
        <v/>
      </c>
    </row>
    <row r="607">
      <c r="A607" t="str">
        <f t="array" ref="A607">IFERROR(IF(ISBLANK('BOM Loader'!$Y617), "", transpose(INDIRECT(SUBSTITUTE(SUBSTITUTE('BOM Loader'!$Y617,  " ",  ""),"-",  "")))),  "")</f>
        <v/>
      </c>
    </row>
    <row r="608">
      <c r="A608" t="str">
        <f t="array" ref="A608">IFERROR(IF(ISBLANK('BOM Loader'!$Y618), "", transpose(INDIRECT(SUBSTITUTE(SUBSTITUTE('BOM Loader'!$Y618,  " ",  ""),"-",  "")))),  "")</f>
        <v/>
      </c>
    </row>
    <row r="609">
      <c r="A609" t="str">
        <f t="array" ref="A609">IFERROR(IF(ISBLANK('BOM Loader'!$Y619), "", transpose(INDIRECT(SUBSTITUTE(SUBSTITUTE('BOM Loader'!$Y619,  " ",  ""),"-",  "")))),  "")</f>
        <v/>
      </c>
    </row>
    <row r="610">
      <c r="A610" t="str">
        <f t="array" ref="A610">IFERROR(IF(ISBLANK('BOM Loader'!$Y620), "", transpose(INDIRECT(SUBSTITUTE(SUBSTITUTE('BOM Loader'!$Y620,  " ",  ""),"-",  "")))),  "")</f>
        <v/>
      </c>
    </row>
    <row r="611">
      <c r="A611" t="str">
        <f t="array" ref="A611">IFERROR(IF(ISBLANK('BOM Loader'!$Y621), "", transpose(INDIRECT(SUBSTITUTE(SUBSTITUTE('BOM Loader'!$Y621,  " ",  ""),"-",  "")))),  "")</f>
        <v/>
      </c>
    </row>
    <row r="612">
      <c r="A612" t="str">
        <f t="array" ref="A612">IFERROR(IF(ISBLANK('BOM Loader'!$Y622), "", transpose(INDIRECT(SUBSTITUTE(SUBSTITUTE('BOM Loader'!$Y622,  " ",  ""),"-",  "")))),  "")</f>
        <v/>
      </c>
    </row>
    <row r="613">
      <c r="A613" t="str">
        <f t="array" ref="A613">IFERROR(IF(ISBLANK('BOM Loader'!$Y623), "", transpose(INDIRECT(SUBSTITUTE(SUBSTITUTE('BOM Loader'!$Y623,  " ",  ""),"-",  "")))),  "")</f>
        <v/>
      </c>
    </row>
    <row r="614">
      <c r="A614" t="str">
        <f t="array" ref="A614">IFERROR(IF(ISBLANK('BOM Loader'!$Y624), "", transpose(INDIRECT(SUBSTITUTE(SUBSTITUTE('BOM Loader'!$Y624,  " ",  ""),"-",  "")))),  "")</f>
        <v/>
      </c>
    </row>
    <row r="615">
      <c r="A615" t="str">
        <f t="array" ref="A615">IFERROR(IF(ISBLANK('BOM Loader'!$Y625), "", transpose(INDIRECT(SUBSTITUTE(SUBSTITUTE('BOM Loader'!$Y625,  " ",  ""),"-",  "")))),  "")</f>
        <v/>
      </c>
    </row>
    <row r="616">
      <c r="A616" t="str">
        <f t="array" ref="A616">IFERROR(IF(ISBLANK('BOM Loader'!$Y626), "", transpose(INDIRECT(SUBSTITUTE(SUBSTITUTE('BOM Loader'!$Y626,  " ",  ""),"-",  "")))),  "")</f>
        <v/>
      </c>
    </row>
    <row r="617">
      <c r="A617" t="str">
        <f t="array" ref="A617">IFERROR(IF(ISBLANK('BOM Loader'!$Y627), "", transpose(INDIRECT(SUBSTITUTE(SUBSTITUTE('BOM Loader'!$Y627,  " ",  ""),"-",  "")))),  "")</f>
        <v/>
      </c>
    </row>
    <row r="618">
      <c r="A618" t="str">
        <f t="array" ref="A618">IFERROR(IF(ISBLANK('BOM Loader'!$Y628), "", transpose(INDIRECT(SUBSTITUTE(SUBSTITUTE('BOM Loader'!$Y628,  " ",  ""),"-",  "")))),  "")</f>
        <v/>
      </c>
    </row>
    <row r="619">
      <c r="A619" t="str">
        <f t="array" ref="A619">IFERROR(IF(ISBLANK('BOM Loader'!$Y629), "", transpose(INDIRECT(SUBSTITUTE(SUBSTITUTE('BOM Loader'!$Y629,  " ",  ""),"-",  "")))),  "")</f>
        <v/>
      </c>
    </row>
    <row r="620">
      <c r="A620" t="str">
        <f t="array" ref="A620">IFERROR(IF(ISBLANK('BOM Loader'!$Y630), "", transpose(INDIRECT(SUBSTITUTE(SUBSTITUTE('BOM Loader'!$Y630,  " ",  ""),"-",  "")))),  "")</f>
        <v/>
      </c>
    </row>
    <row r="621">
      <c r="A621" t="str">
        <f t="array" ref="A621">IFERROR(IF(ISBLANK('BOM Loader'!$Y631), "", transpose(INDIRECT(SUBSTITUTE(SUBSTITUTE('BOM Loader'!$Y631,  " ",  ""),"-",  "")))),  "")</f>
        <v/>
      </c>
    </row>
    <row r="622">
      <c r="A622" t="str">
        <f t="array" ref="A622">IFERROR(IF(ISBLANK('BOM Loader'!$Y632), "", transpose(INDIRECT(SUBSTITUTE(SUBSTITUTE('BOM Loader'!$Y632,  " ",  ""),"-",  "")))),  "")</f>
        <v/>
      </c>
    </row>
    <row r="623">
      <c r="A623" t="str">
        <f t="array" ref="A623">IFERROR(IF(ISBLANK('BOM Loader'!$Y633), "", transpose(INDIRECT(SUBSTITUTE(SUBSTITUTE('BOM Loader'!$Y633,  " ",  ""),"-",  "")))),  "")</f>
        <v/>
      </c>
    </row>
    <row r="624">
      <c r="A624" t="str">
        <f t="array" ref="A624">IFERROR(IF(ISBLANK('BOM Loader'!$Y634), "", transpose(INDIRECT(SUBSTITUTE(SUBSTITUTE('BOM Loader'!$Y634,  " ",  ""),"-",  "")))),  "")</f>
        <v/>
      </c>
    </row>
    <row r="625">
      <c r="A625" t="str">
        <f t="array" ref="A625">IFERROR(IF(ISBLANK('BOM Loader'!$Y635), "", transpose(INDIRECT(SUBSTITUTE(SUBSTITUTE('BOM Loader'!$Y635,  " ",  ""),"-",  "")))),  "")</f>
        <v/>
      </c>
    </row>
    <row r="626">
      <c r="A626" t="str">
        <f t="array" ref="A626">IFERROR(IF(ISBLANK('BOM Loader'!$Y636), "", transpose(INDIRECT(SUBSTITUTE(SUBSTITUTE('BOM Loader'!$Y636,  " ",  ""),"-",  "")))),  "")</f>
        <v/>
      </c>
    </row>
    <row r="627">
      <c r="A627" t="str">
        <f t="array" ref="A627">IFERROR(IF(ISBLANK('BOM Loader'!$Y637), "", transpose(INDIRECT(SUBSTITUTE(SUBSTITUTE('BOM Loader'!$Y637,  " ",  ""),"-",  "")))),  "")</f>
        <v/>
      </c>
    </row>
    <row r="628">
      <c r="A628" t="str">
        <f t="array" ref="A628">IFERROR(IF(ISBLANK('BOM Loader'!$Y638), "", transpose(INDIRECT(SUBSTITUTE(SUBSTITUTE('BOM Loader'!$Y638,  " ",  ""),"-",  "")))),  "")</f>
        <v/>
      </c>
    </row>
    <row r="629">
      <c r="A629" t="str">
        <f t="array" ref="A629">IFERROR(IF(ISBLANK('BOM Loader'!$Y639), "", transpose(INDIRECT(SUBSTITUTE(SUBSTITUTE('BOM Loader'!$Y639,  " ",  ""),"-",  "")))),  "")</f>
        <v/>
      </c>
    </row>
    <row r="630">
      <c r="A630" t="str">
        <f t="array" ref="A630">IFERROR(IF(ISBLANK('BOM Loader'!$Y640), "", transpose(INDIRECT(SUBSTITUTE(SUBSTITUTE('BOM Loader'!$Y640,  " ",  ""),"-",  "")))),  "")</f>
        <v/>
      </c>
    </row>
    <row r="631">
      <c r="A631" t="str">
        <f t="array" ref="A631">IFERROR(IF(ISBLANK('BOM Loader'!$Y641), "", transpose(INDIRECT(SUBSTITUTE(SUBSTITUTE('BOM Loader'!$Y641,  " ",  ""),"-",  "")))),  "")</f>
        <v/>
      </c>
    </row>
    <row r="632">
      <c r="A632" t="str">
        <f t="array" ref="A632">IFERROR(IF(ISBLANK('BOM Loader'!$Y642), "", transpose(INDIRECT(SUBSTITUTE(SUBSTITUTE('BOM Loader'!$Y642,  " ",  ""),"-",  "")))),  "")</f>
        <v/>
      </c>
    </row>
    <row r="633">
      <c r="A633" t="str">
        <f t="array" ref="A633">IFERROR(IF(ISBLANK('BOM Loader'!$Y643), "", transpose(INDIRECT(SUBSTITUTE(SUBSTITUTE('BOM Loader'!$Y643,  " ",  ""),"-",  "")))),  "")</f>
        <v/>
      </c>
    </row>
    <row r="634">
      <c r="A634" t="str">
        <f t="array" ref="A634">IFERROR(IF(ISBLANK('BOM Loader'!$Y644), "", transpose(INDIRECT(SUBSTITUTE(SUBSTITUTE('BOM Loader'!$Y644,  " ",  ""),"-",  "")))),  "")</f>
        <v/>
      </c>
    </row>
    <row r="635">
      <c r="A635" t="str">
        <f t="array" ref="A635">IFERROR(IF(ISBLANK('BOM Loader'!$Y645), "", transpose(INDIRECT(SUBSTITUTE(SUBSTITUTE('BOM Loader'!$Y645,  " ",  ""),"-",  "")))),  "")</f>
        <v/>
      </c>
    </row>
    <row r="636">
      <c r="A636" t="str">
        <f t="array" ref="A636">IFERROR(IF(ISBLANK('BOM Loader'!$Y646), "", transpose(INDIRECT(SUBSTITUTE(SUBSTITUTE('BOM Loader'!$Y646,  " ",  ""),"-",  "")))),  "")</f>
        <v/>
      </c>
    </row>
    <row r="637">
      <c r="A637" t="str">
        <f t="array" ref="A637">IFERROR(IF(ISBLANK('BOM Loader'!$Y647), "", transpose(INDIRECT(SUBSTITUTE(SUBSTITUTE('BOM Loader'!$Y647,  " ",  ""),"-",  "")))),  "")</f>
        <v/>
      </c>
    </row>
    <row r="638">
      <c r="A638" t="str">
        <f t="array" ref="A638">IFERROR(IF(ISBLANK('BOM Loader'!$Y648), "", transpose(INDIRECT(SUBSTITUTE(SUBSTITUTE('BOM Loader'!$Y648,  " ",  ""),"-",  "")))),  "")</f>
        <v/>
      </c>
    </row>
    <row r="639">
      <c r="A639" t="str">
        <f t="array" ref="A639">IFERROR(IF(ISBLANK('BOM Loader'!$Y649), "", transpose(INDIRECT(SUBSTITUTE(SUBSTITUTE('BOM Loader'!$Y649,  " ",  ""),"-",  "")))),  "")</f>
        <v/>
      </c>
    </row>
    <row r="640">
      <c r="A640" t="str">
        <f t="array" ref="A640">IFERROR(IF(ISBLANK('BOM Loader'!$Y650), "", transpose(INDIRECT(SUBSTITUTE(SUBSTITUTE('BOM Loader'!$Y650,  " ",  ""),"-",  "")))),  "")</f>
        <v/>
      </c>
    </row>
    <row r="641">
      <c r="A641" t="str">
        <f t="array" ref="A641">IFERROR(IF(ISBLANK('BOM Loader'!$Y651), "", transpose(INDIRECT(SUBSTITUTE(SUBSTITUTE('BOM Loader'!$Y651,  " ",  ""),"-",  "")))),  "")</f>
        <v/>
      </c>
    </row>
    <row r="642">
      <c r="A642" t="str">
        <f t="array" ref="A642">IFERROR(IF(ISBLANK('BOM Loader'!$Y652), "", transpose(INDIRECT(SUBSTITUTE(SUBSTITUTE('BOM Loader'!$Y652,  " ",  ""),"-",  "")))),  "")</f>
        <v/>
      </c>
    </row>
    <row r="643">
      <c r="A643" t="str">
        <f t="array" ref="A643">IFERROR(IF(ISBLANK('BOM Loader'!$Y653), "", transpose(INDIRECT(SUBSTITUTE(SUBSTITUTE('BOM Loader'!$Y653,  " ",  ""),"-",  "")))),  "")</f>
        <v/>
      </c>
    </row>
    <row r="644">
      <c r="A644" t="str">
        <f t="array" ref="A644">IFERROR(IF(ISBLANK('BOM Loader'!$Y654), "", transpose(INDIRECT(SUBSTITUTE(SUBSTITUTE('BOM Loader'!$Y654,  " ",  ""),"-",  "")))),  "")</f>
        <v/>
      </c>
    </row>
    <row r="645">
      <c r="A645" t="str">
        <f t="array" ref="A645">IFERROR(IF(ISBLANK('BOM Loader'!$Y655), "", transpose(INDIRECT(SUBSTITUTE(SUBSTITUTE('BOM Loader'!$Y655,  " ",  ""),"-",  "")))),  "")</f>
        <v/>
      </c>
    </row>
    <row r="646">
      <c r="A646" t="str">
        <f t="array" ref="A646">IFERROR(IF(ISBLANK('BOM Loader'!$Y656), "", transpose(INDIRECT(SUBSTITUTE(SUBSTITUTE('BOM Loader'!$Y656,  " ",  ""),"-",  "")))),  "")</f>
        <v/>
      </c>
    </row>
    <row r="647">
      <c r="A647" t="str">
        <f t="array" ref="A647">IFERROR(IF(ISBLANK('BOM Loader'!$Y657), "", transpose(INDIRECT(SUBSTITUTE(SUBSTITUTE('BOM Loader'!$Y657,  " ",  ""),"-",  "")))),  "")</f>
        <v/>
      </c>
    </row>
    <row r="648">
      <c r="A648" t="str">
        <f t="array" ref="A648">IFERROR(IF(ISBLANK('BOM Loader'!$Y658), "", transpose(INDIRECT(SUBSTITUTE(SUBSTITUTE('BOM Loader'!$Y658,  " ",  ""),"-",  "")))),  "")</f>
        <v/>
      </c>
    </row>
    <row r="649">
      <c r="A649" t="str">
        <f t="array" ref="A649">IFERROR(IF(ISBLANK('BOM Loader'!$Y659), "", transpose(INDIRECT(SUBSTITUTE(SUBSTITUTE('BOM Loader'!$Y659,  " ",  ""),"-",  "")))),  "")</f>
        <v/>
      </c>
    </row>
    <row r="650">
      <c r="A650" t="str">
        <f t="array" ref="A650">IFERROR(IF(ISBLANK('BOM Loader'!$Y660), "", transpose(INDIRECT(SUBSTITUTE(SUBSTITUTE('BOM Loader'!$Y660,  " ",  ""),"-",  "")))),  "")</f>
        <v/>
      </c>
    </row>
    <row r="651">
      <c r="A651" t="str">
        <f t="array" ref="A651">IFERROR(IF(ISBLANK('BOM Loader'!$Y661), "", transpose(INDIRECT(SUBSTITUTE(SUBSTITUTE('BOM Loader'!$Y661,  " ",  ""),"-",  "")))),  "")</f>
        <v/>
      </c>
    </row>
    <row r="652">
      <c r="A652" t="str">
        <f t="array" ref="A652">IFERROR(IF(ISBLANK('BOM Loader'!$Y662), "", transpose(INDIRECT(SUBSTITUTE(SUBSTITUTE('BOM Loader'!$Y662,  " ",  ""),"-",  "")))),  "")</f>
        <v/>
      </c>
    </row>
    <row r="653">
      <c r="A653" t="str">
        <f t="array" ref="A653">IFERROR(IF(ISBLANK('BOM Loader'!$Y663), "", transpose(INDIRECT(SUBSTITUTE(SUBSTITUTE('BOM Loader'!$Y663,  " ",  ""),"-",  "")))),  "")</f>
        <v/>
      </c>
    </row>
    <row r="654">
      <c r="A654" t="str">
        <f t="array" ref="A654">IFERROR(IF(ISBLANK('BOM Loader'!$Y664), "", transpose(INDIRECT(SUBSTITUTE(SUBSTITUTE('BOM Loader'!$Y664,  " ",  ""),"-",  "")))),  "")</f>
        <v/>
      </c>
    </row>
    <row r="655">
      <c r="A655" t="str">
        <f t="array" ref="A655">IFERROR(IF(ISBLANK('BOM Loader'!$Y665), "", transpose(INDIRECT(SUBSTITUTE(SUBSTITUTE('BOM Loader'!$Y665,  " ",  ""),"-",  "")))),  "")</f>
        <v/>
      </c>
    </row>
    <row r="656">
      <c r="A656" t="str">
        <f t="array" ref="A656">IFERROR(IF(ISBLANK('BOM Loader'!$Y666), "", transpose(INDIRECT(SUBSTITUTE(SUBSTITUTE('BOM Loader'!$Y666,  " ",  ""),"-",  "")))),  "")</f>
        <v/>
      </c>
    </row>
    <row r="657">
      <c r="A657" t="str">
        <f t="array" ref="A657">IFERROR(IF(ISBLANK('BOM Loader'!$Y667), "", transpose(INDIRECT(SUBSTITUTE(SUBSTITUTE('BOM Loader'!$Y667,  " ",  ""),"-",  "")))),  "")</f>
        <v/>
      </c>
    </row>
    <row r="658">
      <c r="A658" t="str">
        <f t="array" ref="A658">IFERROR(IF(ISBLANK('BOM Loader'!$Y668), "", transpose(INDIRECT(SUBSTITUTE(SUBSTITUTE('BOM Loader'!$Y668,  " ",  ""),"-",  "")))),  "")</f>
        <v/>
      </c>
    </row>
    <row r="659">
      <c r="A659" t="str">
        <f t="array" ref="A659">IFERROR(IF(ISBLANK('BOM Loader'!$Y669), "", transpose(INDIRECT(SUBSTITUTE(SUBSTITUTE('BOM Loader'!$Y669,  " ",  ""),"-",  "")))),  "")</f>
        <v/>
      </c>
    </row>
    <row r="660">
      <c r="A660" t="str">
        <f t="array" ref="A660">IFERROR(IF(ISBLANK('BOM Loader'!$Y670), "", transpose(INDIRECT(SUBSTITUTE(SUBSTITUTE('BOM Loader'!$Y670,  " ",  ""),"-",  "")))),  "")</f>
        <v/>
      </c>
    </row>
    <row r="661">
      <c r="A661" t="str">
        <f t="array" ref="A661">IFERROR(IF(ISBLANK('BOM Loader'!$Y671), "", transpose(INDIRECT(SUBSTITUTE(SUBSTITUTE('BOM Loader'!$Y671,  " ",  ""),"-",  "")))),  "")</f>
        <v/>
      </c>
    </row>
    <row r="662">
      <c r="A662" t="str">
        <f t="array" ref="A662">IFERROR(IF(ISBLANK('BOM Loader'!$Y672), "", transpose(INDIRECT(SUBSTITUTE(SUBSTITUTE('BOM Loader'!$Y672,  " ",  ""),"-",  "")))),  "")</f>
        <v/>
      </c>
    </row>
    <row r="663">
      <c r="A663" t="str">
        <f t="array" ref="A663">IFERROR(IF(ISBLANK('BOM Loader'!$Y673), "", transpose(INDIRECT(SUBSTITUTE(SUBSTITUTE('BOM Loader'!$Y673,  " ",  ""),"-",  "")))),  "")</f>
        <v/>
      </c>
    </row>
    <row r="664">
      <c r="A664" t="str">
        <f t="array" ref="A664">IFERROR(IF(ISBLANK('BOM Loader'!$Y674), "", transpose(INDIRECT(SUBSTITUTE(SUBSTITUTE('BOM Loader'!$Y674,  " ",  ""),"-",  "")))),  "")</f>
        <v/>
      </c>
    </row>
    <row r="665">
      <c r="A665" t="str">
        <f t="array" ref="A665">IFERROR(IF(ISBLANK('BOM Loader'!$Y675), "", transpose(INDIRECT(SUBSTITUTE(SUBSTITUTE('BOM Loader'!$Y675,  " ",  ""),"-",  "")))),  "")</f>
        <v/>
      </c>
    </row>
    <row r="666">
      <c r="A666" t="str">
        <f t="array" ref="A666">IFERROR(IF(ISBLANK('BOM Loader'!$Y676), "", transpose(INDIRECT(SUBSTITUTE(SUBSTITUTE('BOM Loader'!$Y676,  " ",  ""),"-",  "")))),  "")</f>
        <v/>
      </c>
    </row>
    <row r="667">
      <c r="A667" t="str">
        <f t="array" ref="A667">IFERROR(IF(ISBLANK('BOM Loader'!$Y677), "", transpose(INDIRECT(SUBSTITUTE(SUBSTITUTE('BOM Loader'!$Y677,  " ",  ""),"-",  "")))),  "")</f>
        <v/>
      </c>
    </row>
    <row r="668">
      <c r="A668" t="str">
        <f t="array" ref="A668">IFERROR(IF(ISBLANK('BOM Loader'!$Y678), "", transpose(INDIRECT(SUBSTITUTE(SUBSTITUTE('BOM Loader'!$Y678,  " ",  ""),"-",  "")))),  "")</f>
        <v/>
      </c>
    </row>
    <row r="669">
      <c r="A669" t="str">
        <f t="array" ref="A669">IFERROR(IF(ISBLANK('BOM Loader'!$Y679), "", transpose(INDIRECT(SUBSTITUTE(SUBSTITUTE('BOM Loader'!$Y679,  " ",  ""),"-",  "")))),  "")</f>
        <v/>
      </c>
    </row>
    <row r="670">
      <c r="A670" t="str">
        <f t="array" ref="A670">IFERROR(IF(ISBLANK('BOM Loader'!$Y680), "", transpose(INDIRECT(SUBSTITUTE(SUBSTITUTE('BOM Loader'!$Y680,  " ",  ""),"-",  "")))),  "")</f>
        <v/>
      </c>
    </row>
    <row r="671">
      <c r="A671" t="str">
        <f t="array" ref="A671">IFERROR(IF(ISBLANK('BOM Loader'!$Y681), "", transpose(INDIRECT(SUBSTITUTE(SUBSTITUTE('BOM Loader'!$Y681,  " ",  ""),"-",  "")))),  "")</f>
        <v/>
      </c>
    </row>
    <row r="672">
      <c r="A672" t="str">
        <f t="array" ref="A672">IFERROR(IF(ISBLANK('BOM Loader'!$Y682), "", transpose(INDIRECT(SUBSTITUTE(SUBSTITUTE('BOM Loader'!$Y682,  " ",  ""),"-",  "")))),  "")</f>
        <v/>
      </c>
    </row>
    <row r="673">
      <c r="A673" t="str">
        <f t="array" ref="A673">IFERROR(IF(ISBLANK('BOM Loader'!$Y683), "", transpose(INDIRECT(SUBSTITUTE(SUBSTITUTE('BOM Loader'!$Y683,  " ",  ""),"-",  "")))),  "")</f>
        <v/>
      </c>
    </row>
    <row r="674">
      <c r="A674" t="str">
        <f t="array" ref="A674">IFERROR(IF(ISBLANK('BOM Loader'!$Y684), "", transpose(INDIRECT(SUBSTITUTE(SUBSTITUTE('BOM Loader'!$Y684,  " ",  ""),"-",  "")))),  "")</f>
        <v/>
      </c>
    </row>
    <row r="675">
      <c r="A675" t="str">
        <f t="array" ref="A675">IFERROR(IF(ISBLANK('BOM Loader'!$Y685), "", transpose(INDIRECT(SUBSTITUTE(SUBSTITUTE('BOM Loader'!$Y685,  " ",  ""),"-",  "")))),  "")</f>
        <v/>
      </c>
    </row>
    <row r="676">
      <c r="A676" t="str">
        <f t="array" ref="A676">IFERROR(IF(ISBLANK('BOM Loader'!$Y686), "", transpose(INDIRECT(SUBSTITUTE(SUBSTITUTE('BOM Loader'!$Y686,  " ",  ""),"-",  "")))),  "")</f>
        <v/>
      </c>
    </row>
    <row r="677">
      <c r="A677" t="str">
        <f t="array" ref="A677">IFERROR(IF(ISBLANK('BOM Loader'!$Y687), "", transpose(INDIRECT(SUBSTITUTE(SUBSTITUTE('BOM Loader'!$Y687,  " ",  ""),"-",  "")))),  "")</f>
        <v/>
      </c>
    </row>
    <row r="678">
      <c r="A678" t="str">
        <f t="array" ref="A678">IFERROR(IF(ISBLANK('BOM Loader'!$Y688), "", transpose(INDIRECT(SUBSTITUTE(SUBSTITUTE('BOM Loader'!$Y688,  " ",  ""),"-",  "")))),  "")</f>
        <v/>
      </c>
    </row>
    <row r="679">
      <c r="A679" t="str">
        <f t="array" ref="A679">IFERROR(IF(ISBLANK('BOM Loader'!$Y689), "", transpose(INDIRECT(SUBSTITUTE(SUBSTITUTE('BOM Loader'!$Y689,  " ",  ""),"-",  "")))),  "")</f>
        <v/>
      </c>
    </row>
    <row r="680">
      <c r="A680" t="str">
        <f t="array" ref="A680">IFERROR(IF(ISBLANK('BOM Loader'!$Y690), "", transpose(INDIRECT(SUBSTITUTE(SUBSTITUTE('BOM Loader'!$Y690,  " ",  ""),"-",  "")))),  "")</f>
        <v/>
      </c>
    </row>
    <row r="681">
      <c r="A681" t="str">
        <f t="array" ref="A681">IFERROR(IF(ISBLANK('BOM Loader'!$Y691), "", transpose(INDIRECT(SUBSTITUTE(SUBSTITUTE('BOM Loader'!$Y691,  " ",  ""),"-",  "")))),  "")</f>
        <v/>
      </c>
    </row>
    <row r="682">
      <c r="A682" t="str">
        <f t="array" ref="A682">IFERROR(IF(ISBLANK('BOM Loader'!$Y692), "", transpose(INDIRECT(SUBSTITUTE(SUBSTITUTE('BOM Loader'!$Y692,  " ",  ""),"-",  "")))),  "")</f>
        <v/>
      </c>
    </row>
    <row r="683">
      <c r="A683" t="str">
        <f t="array" ref="A683">IFERROR(IF(ISBLANK('BOM Loader'!$Y693), "", transpose(INDIRECT(SUBSTITUTE(SUBSTITUTE('BOM Loader'!$Y693,  " ",  ""),"-",  "")))),  "")</f>
        <v/>
      </c>
    </row>
    <row r="684">
      <c r="A684" t="str">
        <f t="array" ref="A684">IFERROR(IF(ISBLANK('BOM Loader'!$Y694), "", transpose(INDIRECT(SUBSTITUTE(SUBSTITUTE('BOM Loader'!$Y694,  " ",  ""),"-",  "")))),  "")</f>
        <v/>
      </c>
    </row>
    <row r="685">
      <c r="A685" t="str">
        <f t="array" ref="A685">IFERROR(IF(ISBLANK('BOM Loader'!$Y695), "", transpose(INDIRECT(SUBSTITUTE(SUBSTITUTE('BOM Loader'!$Y695,  " ",  ""),"-",  "")))),  "")</f>
        <v/>
      </c>
    </row>
    <row r="686">
      <c r="A686" t="str">
        <f t="array" ref="A686">IFERROR(IF(ISBLANK('BOM Loader'!$Y696), "", transpose(INDIRECT(SUBSTITUTE(SUBSTITUTE('BOM Loader'!$Y696,  " ",  ""),"-",  "")))),  "")</f>
        <v/>
      </c>
    </row>
    <row r="687">
      <c r="A687" t="str">
        <f t="array" ref="A687">IFERROR(IF(ISBLANK('BOM Loader'!$Y697), "", transpose(INDIRECT(SUBSTITUTE(SUBSTITUTE('BOM Loader'!$Y697,  " ",  ""),"-",  "")))),  "")</f>
        <v/>
      </c>
    </row>
    <row r="688">
      <c r="A688" t="str">
        <f t="array" ref="A688">IFERROR(IF(ISBLANK('BOM Loader'!$Y698), "", transpose(INDIRECT(SUBSTITUTE(SUBSTITUTE('BOM Loader'!$Y698,  " ",  ""),"-",  "")))),  "")</f>
        <v/>
      </c>
    </row>
    <row r="689">
      <c r="A689" t="str">
        <f t="array" ref="A689">IFERROR(IF(ISBLANK('BOM Loader'!$Y699), "", transpose(INDIRECT(SUBSTITUTE(SUBSTITUTE('BOM Loader'!$Y699,  " ",  ""),"-",  "")))),  "")</f>
        <v/>
      </c>
    </row>
    <row r="690">
      <c r="A690" t="str">
        <f t="array" ref="A690">IFERROR(IF(ISBLANK('BOM Loader'!$Y700), "", transpose(INDIRECT(SUBSTITUTE(SUBSTITUTE('BOM Loader'!$Y700,  " ",  ""),"-",  "")))),  "")</f>
        <v/>
      </c>
    </row>
    <row r="691">
      <c r="A691" t="str">
        <f t="array" ref="A691">IFERROR(IF(ISBLANK('BOM Loader'!$Y701), "", transpose(INDIRECT(SUBSTITUTE(SUBSTITUTE('BOM Loader'!$Y701,  " ",  ""),"-",  "")))),  "")</f>
        <v/>
      </c>
    </row>
    <row r="692">
      <c r="A692" t="str">
        <f t="array" ref="A692">IFERROR(IF(ISBLANK('BOM Loader'!$Y702), "", transpose(INDIRECT(SUBSTITUTE(SUBSTITUTE('BOM Loader'!$Y702,  " ",  ""),"-",  "")))),  "")</f>
        <v/>
      </c>
    </row>
    <row r="693">
      <c r="A693" t="str">
        <f t="array" ref="A693">IFERROR(IF(ISBLANK('BOM Loader'!$Y703), "", transpose(INDIRECT(SUBSTITUTE(SUBSTITUTE('BOM Loader'!$Y703,  " ",  ""),"-",  "")))),  "")</f>
        <v/>
      </c>
    </row>
    <row r="694">
      <c r="A694" t="str">
        <f t="array" ref="A694">IFERROR(IF(ISBLANK('BOM Loader'!$Y704), "", transpose(INDIRECT(SUBSTITUTE(SUBSTITUTE('BOM Loader'!$Y704,  " ",  ""),"-",  "")))),  "")</f>
        <v/>
      </c>
    </row>
    <row r="695">
      <c r="A695" t="str">
        <f t="array" ref="A695">IFERROR(IF(ISBLANK('BOM Loader'!$Y705), "", transpose(INDIRECT(SUBSTITUTE(SUBSTITUTE('BOM Loader'!$Y705,  " ",  ""),"-",  "")))),  "")</f>
        <v/>
      </c>
    </row>
    <row r="696">
      <c r="A696" t="str">
        <f t="array" ref="A696">IFERROR(IF(ISBLANK('BOM Loader'!$Y706), "", transpose(INDIRECT(SUBSTITUTE(SUBSTITUTE('BOM Loader'!$Y706,  " ",  ""),"-",  "")))),  "")</f>
        <v/>
      </c>
    </row>
    <row r="697">
      <c r="A697" t="str">
        <f t="array" ref="A697">IFERROR(IF(ISBLANK('BOM Loader'!$Y707), "", transpose(INDIRECT(SUBSTITUTE(SUBSTITUTE('BOM Loader'!$Y707,  " ",  ""),"-",  "")))),  "")</f>
        <v/>
      </c>
    </row>
    <row r="698">
      <c r="A698" t="str">
        <f t="array" ref="A698">IFERROR(IF(ISBLANK('BOM Loader'!$Y708), "", transpose(INDIRECT(SUBSTITUTE(SUBSTITUTE('BOM Loader'!$Y708,  " ",  ""),"-",  "")))),  "")</f>
        <v/>
      </c>
    </row>
    <row r="699">
      <c r="A699" t="str">
        <f t="array" ref="A699">IFERROR(IF(ISBLANK('BOM Loader'!$Y709), "", transpose(INDIRECT(SUBSTITUTE(SUBSTITUTE('BOM Loader'!$Y709,  " ",  ""),"-",  "")))),  "")</f>
        <v/>
      </c>
    </row>
    <row r="700">
      <c r="A700" t="str">
        <f t="array" ref="A700">IFERROR(IF(ISBLANK('BOM Loader'!$Y710), "", transpose(INDIRECT(SUBSTITUTE(SUBSTITUTE('BOM Loader'!$Y710,  " ",  ""),"-",  "")))),  "")</f>
        <v/>
      </c>
    </row>
    <row r="701">
      <c r="A701" t="str">
        <f t="array" ref="A701">IFERROR(IF(ISBLANK('BOM Loader'!$Y711), "", transpose(INDIRECT(SUBSTITUTE(SUBSTITUTE('BOM Loader'!$Y711,  " ",  ""),"-",  "")))),  "")</f>
        <v/>
      </c>
    </row>
    <row r="702">
      <c r="A702" t="str">
        <f t="array" ref="A702">IFERROR(IF(ISBLANK('BOM Loader'!$Y712), "", transpose(INDIRECT(SUBSTITUTE(SUBSTITUTE('BOM Loader'!$Y712,  " ",  ""),"-",  "")))),  "")</f>
        <v/>
      </c>
    </row>
    <row r="703">
      <c r="A703" t="str">
        <f t="array" ref="A703">IFERROR(IF(ISBLANK('BOM Loader'!$Y713), "", transpose(INDIRECT(SUBSTITUTE(SUBSTITUTE('BOM Loader'!$Y713,  " ",  ""),"-",  "")))),  "")</f>
        <v/>
      </c>
    </row>
    <row r="704">
      <c r="A704" t="str">
        <f t="array" ref="A704">IFERROR(IF(ISBLANK('BOM Loader'!$Y714), "", transpose(INDIRECT(SUBSTITUTE(SUBSTITUTE('BOM Loader'!$Y714,  " ",  ""),"-",  "")))),  "")</f>
        <v/>
      </c>
    </row>
    <row r="705">
      <c r="A705" t="str">
        <f t="array" ref="A705">IFERROR(IF(ISBLANK('BOM Loader'!$Y715), "", transpose(INDIRECT(SUBSTITUTE(SUBSTITUTE('BOM Loader'!$Y715,  " ",  ""),"-",  "")))),  "")</f>
        <v/>
      </c>
    </row>
    <row r="706">
      <c r="A706" t="str">
        <f t="array" ref="A706">IFERROR(IF(ISBLANK('BOM Loader'!$Y716), "", transpose(INDIRECT(SUBSTITUTE(SUBSTITUTE('BOM Loader'!$Y716,  " ",  ""),"-",  "")))),  "")</f>
        <v/>
      </c>
    </row>
    <row r="707">
      <c r="A707" t="str">
        <f t="array" ref="A707">IFERROR(IF(ISBLANK('BOM Loader'!$Y717), "", transpose(INDIRECT(SUBSTITUTE(SUBSTITUTE('BOM Loader'!$Y717,  " ",  ""),"-",  "")))),  "")</f>
        <v/>
      </c>
    </row>
    <row r="708">
      <c r="A708" t="str">
        <f t="array" ref="A708">IFERROR(IF(ISBLANK('BOM Loader'!$Y718), "", transpose(INDIRECT(SUBSTITUTE(SUBSTITUTE('BOM Loader'!$Y718,  " ",  ""),"-",  "")))),  "")</f>
        <v/>
      </c>
    </row>
    <row r="709">
      <c r="A709" t="str">
        <f t="array" ref="A709">IFERROR(IF(ISBLANK('BOM Loader'!$Y719), "", transpose(INDIRECT(SUBSTITUTE(SUBSTITUTE('BOM Loader'!$Y719,  " ",  ""),"-",  "")))),  "")</f>
        <v/>
      </c>
    </row>
    <row r="710">
      <c r="A710" t="str">
        <f t="array" ref="A710">IFERROR(IF(ISBLANK('BOM Loader'!$Y720), "", transpose(INDIRECT(SUBSTITUTE(SUBSTITUTE('BOM Loader'!$Y720,  " ",  ""),"-",  "")))),  "")</f>
        <v/>
      </c>
    </row>
    <row r="711">
      <c r="A711" t="str">
        <f t="array" ref="A711">IFERROR(IF(ISBLANK('BOM Loader'!$Y721), "", transpose(INDIRECT(SUBSTITUTE(SUBSTITUTE('BOM Loader'!$Y721,  " ",  ""),"-",  "")))),  "")</f>
        <v/>
      </c>
    </row>
    <row r="712">
      <c r="A712" t="str">
        <f t="array" ref="A712">IFERROR(IF(ISBLANK('BOM Loader'!$Y722), "", transpose(INDIRECT(SUBSTITUTE(SUBSTITUTE('BOM Loader'!$Y722,  " ",  ""),"-",  "")))),  "")</f>
        <v/>
      </c>
    </row>
    <row r="713">
      <c r="A713" t="str">
        <f t="array" ref="A713">IFERROR(IF(ISBLANK('BOM Loader'!$Y723), "", transpose(INDIRECT(SUBSTITUTE(SUBSTITUTE('BOM Loader'!$Y723,  " ",  ""),"-",  "")))),  "")</f>
        <v/>
      </c>
    </row>
    <row r="714">
      <c r="A714" t="str">
        <f t="array" ref="A714">IFERROR(IF(ISBLANK('BOM Loader'!$Y724), "", transpose(INDIRECT(SUBSTITUTE(SUBSTITUTE('BOM Loader'!$Y724,  " ",  ""),"-",  "")))),  "")</f>
        <v/>
      </c>
    </row>
    <row r="715">
      <c r="A715" t="str">
        <f t="array" ref="A715">IFERROR(IF(ISBLANK('BOM Loader'!$Y725), "", transpose(INDIRECT(SUBSTITUTE(SUBSTITUTE('BOM Loader'!$Y725,  " ",  ""),"-",  "")))),  "")</f>
        <v/>
      </c>
    </row>
    <row r="716">
      <c r="A716" t="str">
        <f t="array" ref="A716">IFERROR(IF(ISBLANK('BOM Loader'!$Y726), "", transpose(INDIRECT(SUBSTITUTE(SUBSTITUTE('BOM Loader'!$Y726,  " ",  ""),"-",  "")))),  "")</f>
        <v/>
      </c>
    </row>
    <row r="717">
      <c r="A717" t="str">
        <f t="array" ref="A717">IFERROR(IF(ISBLANK('BOM Loader'!$Y727), "", transpose(INDIRECT(SUBSTITUTE(SUBSTITUTE('BOM Loader'!$Y727,  " ",  ""),"-",  "")))),  "")</f>
        <v/>
      </c>
    </row>
    <row r="718">
      <c r="A718" t="str">
        <f t="array" ref="A718">IFERROR(IF(ISBLANK('BOM Loader'!$Y728), "", transpose(INDIRECT(SUBSTITUTE(SUBSTITUTE('BOM Loader'!$Y728,  " ",  ""),"-",  "")))),  "")</f>
        <v/>
      </c>
    </row>
    <row r="719">
      <c r="A719" t="str">
        <f t="array" ref="A719">IFERROR(IF(ISBLANK('BOM Loader'!$Y729), "", transpose(INDIRECT(SUBSTITUTE(SUBSTITUTE('BOM Loader'!$Y729,  " ",  ""),"-",  "")))),  "")</f>
        <v/>
      </c>
    </row>
    <row r="720">
      <c r="A720" t="str">
        <f t="array" ref="A720">IFERROR(IF(ISBLANK('BOM Loader'!$Y730), "", transpose(INDIRECT(SUBSTITUTE(SUBSTITUTE('BOM Loader'!$Y730,  " ",  ""),"-",  "")))),  "")</f>
        <v/>
      </c>
    </row>
    <row r="721">
      <c r="A721" t="str">
        <f t="array" ref="A721">IFERROR(IF(ISBLANK('BOM Loader'!$Y731), "", transpose(INDIRECT(SUBSTITUTE(SUBSTITUTE('BOM Loader'!$Y731,  " ",  ""),"-",  "")))),  "")</f>
        <v/>
      </c>
    </row>
    <row r="722">
      <c r="A722" t="str">
        <f t="array" ref="A722">IFERROR(IF(ISBLANK('BOM Loader'!$Y732), "", transpose(INDIRECT(SUBSTITUTE(SUBSTITUTE('BOM Loader'!$Y732,  " ",  ""),"-",  "")))),  "")</f>
        <v/>
      </c>
    </row>
    <row r="723">
      <c r="A723" t="str">
        <f t="array" ref="A723">IFERROR(IF(ISBLANK('BOM Loader'!$Y733), "", transpose(INDIRECT(SUBSTITUTE(SUBSTITUTE('BOM Loader'!$Y733,  " ",  ""),"-",  "")))),  "")</f>
        <v/>
      </c>
    </row>
    <row r="724">
      <c r="A724" t="str">
        <f t="array" ref="A724">IFERROR(IF(ISBLANK('BOM Loader'!$Y734), "", transpose(INDIRECT(SUBSTITUTE(SUBSTITUTE('BOM Loader'!$Y734,  " ",  ""),"-",  "")))),  "")</f>
        <v/>
      </c>
    </row>
    <row r="725">
      <c r="A725" t="str">
        <f t="array" ref="A725">IFERROR(IF(ISBLANK('BOM Loader'!$Y735), "", transpose(INDIRECT(SUBSTITUTE(SUBSTITUTE('BOM Loader'!$Y735,  " ",  ""),"-",  "")))),  "")</f>
        <v/>
      </c>
    </row>
    <row r="726">
      <c r="A726" t="str">
        <f t="array" ref="A726">IFERROR(IF(ISBLANK('BOM Loader'!$Y736), "", transpose(INDIRECT(SUBSTITUTE(SUBSTITUTE('BOM Loader'!$Y736,  " ",  ""),"-",  "")))),  "")</f>
        <v/>
      </c>
    </row>
    <row r="727">
      <c r="A727" t="str">
        <f t="array" ref="A727">IFERROR(IF(ISBLANK('BOM Loader'!$Y737), "", transpose(INDIRECT(SUBSTITUTE(SUBSTITUTE('BOM Loader'!$Y737,  " ",  ""),"-",  "")))),  "")</f>
        <v/>
      </c>
    </row>
    <row r="728">
      <c r="A728" t="str">
        <f t="array" ref="A728">IFERROR(IF(ISBLANK('BOM Loader'!$Y738), "", transpose(INDIRECT(SUBSTITUTE(SUBSTITUTE('BOM Loader'!$Y738,  " ",  ""),"-",  "")))),  "")</f>
        <v/>
      </c>
    </row>
    <row r="729">
      <c r="A729" t="str">
        <f t="array" ref="A729">IFERROR(IF(ISBLANK('BOM Loader'!$Y739), "", transpose(INDIRECT(SUBSTITUTE(SUBSTITUTE('BOM Loader'!$Y739,  " ",  ""),"-",  "")))),  "")</f>
        <v/>
      </c>
    </row>
    <row r="730">
      <c r="A730" t="str">
        <f t="array" ref="A730">IFERROR(IF(ISBLANK('BOM Loader'!$Y740), "", transpose(INDIRECT(SUBSTITUTE(SUBSTITUTE('BOM Loader'!$Y740,  " ",  ""),"-",  "")))),  "")</f>
        <v/>
      </c>
    </row>
    <row r="731">
      <c r="A731" t="str">
        <f t="array" ref="A731">IFERROR(IF(ISBLANK('BOM Loader'!$Y741), "", transpose(INDIRECT(SUBSTITUTE(SUBSTITUTE('BOM Loader'!$Y741,  " ",  ""),"-",  "")))),  "")</f>
        <v/>
      </c>
    </row>
    <row r="732">
      <c r="A732" t="str">
        <f t="array" ref="A732">IFERROR(IF(ISBLANK('BOM Loader'!$Y742), "", transpose(INDIRECT(SUBSTITUTE(SUBSTITUTE('BOM Loader'!$Y742,  " ",  ""),"-",  "")))),  "")</f>
        <v/>
      </c>
    </row>
    <row r="733">
      <c r="A733" t="str">
        <f t="array" ref="A733">IFERROR(IF(ISBLANK('BOM Loader'!$Y743), "", transpose(INDIRECT(SUBSTITUTE(SUBSTITUTE('BOM Loader'!$Y743,  " ",  ""),"-",  "")))),  "")</f>
        <v/>
      </c>
    </row>
    <row r="734">
      <c r="A734" t="str">
        <f t="array" ref="A734">IFERROR(IF(ISBLANK('BOM Loader'!$Y744), "", transpose(INDIRECT(SUBSTITUTE(SUBSTITUTE('BOM Loader'!$Y744,  " ",  ""),"-",  "")))),  "")</f>
        <v/>
      </c>
    </row>
    <row r="735">
      <c r="A735" t="str">
        <f t="array" ref="A735">IFERROR(IF(ISBLANK('BOM Loader'!$Y745), "", transpose(INDIRECT(SUBSTITUTE(SUBSTITUTE('BOM Loader'!$Y745,  " ",  ""),"-",  "")))),  "")</f>
        <v/>
      </c>
    </row>
    <row r="736">
      <c r="A736" t="str">
        <f t="array" ref="A736">IFERROR(IF(ISBLANK('BOM Loader'!$Y746), "", transpose(INDIRECT(SUBSTITUTE(SUBSTITUTE('BOM Loader'!$Y746,  " ",  ""),"-",  "")))),  "")</f>
        <v/>
      </c>
    </row>
    <row r="737">
      <c r="A737" t="str">
        <f t="array" ref="A737">IFERROR(IF(ISBLANK('BOM Loader'!$Y747), "", transpose(INDIRECT(SUBSTITUTE(SUBSTITUTE('BOM Loader'!$Y747,  " ",  ""),"-",  "")))),  "")</f>
        <v/>
      </c>
    </row>
    <row r="738">
      <c r="A738" t="str">
        <f t="array" ref="A738">IFERROR(IF(ISBLANK('BOM Loader'!$Y748), "", transpose(INDIRECT(SUBSTITUTE(SUBSTITUTE('BOM Loader'!$Y748,  " ",  ""),"-",  "")))),  "")</f>
        <v/>
      </c>
    </row>
    <row r="739">
      <c r="A739" t="str">
        <f t="array" ref="A739">IFERROR(IF(ISBLANK('BOM Loader'!$Y749), "", transpose(INDIRECT(SUBSTITUTE(SUBSTITUTE('BOM Loader'!$Y749,  " ",  ""),"-",  "")))),  "")</f>
        <v/>
      </c>
    </row>
    <row r="740">
      <c r="A740" t="str">
        <f t="array" ref="A740">IFERROR(IF(ISBLANK('BOM Loader'!$Y750), "", transpose(INDIRECT(SUBSTITUTE(SUBSTITUTE('BOM Loader'!$Y750,  " ",  ""),"-",  "")))),  "")</f>
        <v/>
      </c>
    </row>
    <row r="741">
      <c r="A741" t="str">
        <f t="array" ref="A741">IFERROR(IF(ISBLANK('BOM Loader'!$Y751), "", transpose(INDIRECT(SUBSTITUTE(SUBSTITUTE('BOM Loader'!$Y751,  " ",  ""),"-",  "")))),  "")</f>
        <v/>
      </c>
    </row>
    <row r="742">
      <c r="A742" t="str">
        <f t="array" ref="A742">IFERROR(IF(ISBLANK('BOM Loader'!$Y752), "", transpose(INDIRECT(SUBSTITUTE(SUBSTITUTE('BOM Loader'!$Y752,  " ",  ""),"-",  "")))),  "")</f>
        <v/>
      </c>
    </row>
    <row r="743">
      <c r="A743" t="str">
        <f t="array" ref="A743">IFERROR(IF(ISBLANK('BOM Loader'!$Y753), "", transpose(INDIRECT(SUBSTITUTE(SUBSTITUTE('BOM Loader'!$Y753,  " ",  ""),"-",  "")))),  "")</f>
        <v/>
      </c>
    </row>
    <row r="744">
      <c r="A744" t="str">
        <f t="array" ref="A744">IFERROR(IF(ISBLANK('BOM Loader'!$Y754), "", transpose(INDIRECT(SUBSTITUTE(SUBSTITUTE('BOM Loader'!$Y754,  " ",  ""),"-",  "")))),  "")</f>
        <v/>
      </c>
    </row>
    <row r="745">
      <c r="A745" t="str">
        <f t="array" ref="A745">IFERROR(IF(ISBLANK('BOM Loader'!$Y755), "", transpose(INDIRECT(SUBSTITUTE(SUBSTITUTE('BOM Loader'!$Y755,  " ",  ""),"-",  "")))),  "")</f>
        <v/>
      </c>
    </row>
    <row r="746">
      <c r="A746" t="str">
        <f t="array" ref="A746">IFERROR(IF(ISBLANK('BOM Loader'!$Y756), "", transpose(INDIRECT(SUBSTITUTE(SUBSTITUTE('BOM Loader'!$Y756,  " ",  ""),"-",  "")))),  "")</f>
        <v/>
      </c>
    </row>
    <row r="747">
      <c r="A747" t="str">
        <f t="array" ref="A747">IFERROR(IF(ISBLANK('BOM Loader'!$Y757), "", transpose(INDIRECT(SUBSTITUTE(SUBSTITUTE('BOM Loader'!$Y757,  " ",  ""),"-",  "")))),  "")</f>
        <v/>
      </c>
    </row>
    <row r="748">
      <c r="A748" t="str">
        <f t="array" ref="A748">IFERROR(IF(ISBLANK('BOM Loader'!$Y758), "", transpose(INDIRECT(SUBSTITUTE(SUBSTITUTE('BOM Loader'!$Y758,  " ",  ""),"-",  "")))),  "")</f>
        <v/>
      </c>
    </row>
    <row r="749">
      <c r="A749" t="str">
        <f t="array" ref="A749">IFERROR(IF(ISBLANK('BOM Loader'!$Y759), "", transpose(INDIRECT(SUBSTITUTE(SUBSTITUTE('BOM Loader'!$Y759,  " ",  ""),"-",  "")))),  "")</f>
        <v/>
      </c>
    </row>
    <row r="750">
      <c r="A750" t="str">
        <f t="array" ref="A750">IFERROR(IF(ISBLANK('BOM Loader'!$Y760), "", transpose(INDIRECT(SUBSTITUTE(SUBSTITUTE('BOM Loader'!$Y760,  " ",  ""),"-",  "")))),  "")</f>
        <v/>
      </c>
    </row>
    <row r="751">
      <c r="A751" t="str">
        <f t="array" ref="A751">IFERROR(IF(ISBLANK('BOM Loader'!$Y761), "", transpose(INDIRECT(SUBSTITUTE(SUBSTITUTE('BOM Loader'!$Y761,  " ",  ""),"-",  "")))),  "")</f>
        <v/>
      </c>
    </row>
    <row r="752">
      <c r="A752" t="str">
        <f t="array" ref="A752">IFERROR(IF(ISBLANK('BOM Loader'!$Y762), "", transpose(INDIRECT(SUBSTITUTE(SUBSTITUTE('BOM Loader'!$Y762,  " ",  ""),"-",  "")))),  "")</f>
        <v/>
      </c>
    </row>
    <row r="753">
      <c r="A753" t="str">
        <f t="array" ref="A753">IFERROR(IF(ISBLANK('BOM Loader'!$Y763), "", transpose(INDIRECT(SUBSTITUTE(SUBSTITUTE('BOM Loader'!$Y763,  " ",  ""),"-",  "")))),  "")</f>
        <v/>
      </c>
    </row>
    <row r="754">
      <c r="A754" t="str">
        <f t="array" ref="A754">IFERROR(IF(ISBLANK('BOM Loader'!$Y764), "", transpose(INDIRECT(SUBSTITUTE(SUBSTITUTE('BOM Loader'!$Y764,  " ",  ""),"-",  "")))),  "")</f>
        <v/>
      </c>
    </row>
    <row r="755">
      <c r="A755" t="str">
        <f t="array" ref="A755">IFERROR(IF(ISBLANK('BOM Loader'!$Y765), "", transpose(INDIRECT(SUBSTITUTE(SUBSTITUTE('BOM Loader'!$Y765,  " ",  ""),"-",  "")))),  "")</f>
        <v/>
      </c>
    </row>
    <row r="756">
      <c r="A756" t="str">
        <f t="array" ref="A756">IFERROR(IF(ISBLANK('BOM Loader'!$Y766), "", transpose(INDIRECT(SUBSTITUTE(SUBSTITUTE('BOM Loader'!$Y766,  " ",  ""),"-",  "")))),  "")</f>
        <v/>
      </c>
    </row>
    <row r="757">
      <c r="A757" t="str">
        <f t="array" ref="A757">IFERROR(IF(ISBLANK('BOM Loader'!$Y767), "", transpose(INDIRECT(SUBSTITUTE(SUBSTITUTE('BOM Loader'!$Y767,  " ",  ""),"-",  "")))),  "")</f>
        <v/>
      </c>
    </row>
    <row r="758">
      <c r="A758" t="str">
        <f t="array" ref="A758">IFERROR(IF(ISBLANK('BOM Loader'!$Y768), "", transpose(INDIRECT(SUBSTITUTE(SUBSTITUTE('BOM Loader'!$Y768,  " ",  ""),"-",  "")))),  "")</f>
        <v/>
      </c>
    </row>
    <row r="759">
      <c r="A759" t="str">
        <f t="array" ref="A759">IFERROR(IF(ISBLANK('BOM Loader'!$Y769), "", transpose(INDIRECT(SUBSTITUTE(SUBSTITUTE('BOM Loader'!$Y769,  " ",  ""),"-",  "")))),  "")</f>
        <v/>
      </c>
    </row>
    <row r="760">
      <c r="A760" t="str">
        <f t="array" ref="A760">IFERROR(IF(ISBLANK('BOM Loader'!$Y770), "", transpose(INDIRECT(SUBSTITUTE(SUBSTITUTE('BOM Loader'!$Y770,  " ",  ""),"-",  "")))),  "")</f>
        <v/>
      </c>
    </row>
    <row r="761">
      <c r="A761" t="str">
        <f t="array" ref="A761">IFERROR(IF(ISBLANK('BOM Loader'!$Y771), "", transpose(INDIRECT(SUBSTITUTE(SUBSTITUTE('BOM Loader'!$Y771,  " ",  ""),"-",  "")))),  "")</f>
        <v/>
      </c>
    </row>
    <row r="762">
      <c r="A762" t="str">
        <f t="array" ref="A762">IFERROR(IF(ISBLANK('BOM Loader'!$Y772), "", transpose(INDIRECT(SUBSTITUTE(SUBSTITUTE('BOM Loader'!$Y772,  " ",  ""),"-",  "")))),  "")</f>
        <v/>
      </c>
    </row>
    <row r="763">
      <c r="A763" t="str">
        <f t="array" ref="A763">IFERROR(IF(ISBLANK('BOM Loader'!$Y773), "", transpose(INDIRECT(SUBSTITUTE(SUBSTITUTE('BOM Loader'!$Y773,  " ",  ""),"-",  "")))),  "")</f>
        <v/>
      </c>
    </row>
    <row r="764">
      <c r="A764" t="str">
        <f t="array" ref="A764">IFERROR(IF(ISBLANK('BOM Loader'!$Y774), "", transpose(INDIRECT(SUBSTITUTE(SUBSTITUTE('BOM Loader'!$Y774,  " ",  ""),"-",  "")))),  "")</f>
        <v/>
      </c>
    </row>
    <row r="765">
      <c r="A765" t="str">
        <f t="array" ref="A765">IFERROR(IF(ISBLANK('BOM Loader'!$Y775), "", transpose(INDIRECT(SUBSTITUTE(SUBSTITUTE('BOM Loader'!$Y775,  " ",  ""),"-",  "")))),  "")</f>
        <v/>
      </c>
    </row>
    <row r="766">
      <c r="A766" t="str">
        <f t="array" ref="A766">IFERROR(IF(ISBLANK('BOM Loader'!$Y776), "", transpose(INDIRECT(SUBSTITUTE(SUBSTITUTE('BOM Loader'!$Y776,  " ",  ""),"-",  "")))),  "")</f>
        <v/>
      </c>
    </row>
    <row r="767">
      <c r="A767" t="str">
        <f t="array" ref="A767">IFERROR(IF(ISBLANK('BOM Loader'!$Y777), "", transpose(INDIRECT(SUBSTITUTE(SUBSTITUTE('BOM Loader'!$Y777,  " ",  ""),"-",  "")))),  "")</f>
        <v/>
      </c>
    </row>
    <row r="768">
      <c r="A768" t="str">
        <f t="array" ref="A768">IFERROR(IF(ISBLANK('BOM Loader'!$Y778), "", transpose(INDIRECT(SUBSTITUTE(SUBSTITUTE('BOM Loader'!$Y778,  " ",  ""),"-",  "")))),  "")</f>
        <v/>
      </c>
    </row>
    <row r="769">
      <c r="A769" t="str">
        <f t="array" ref="A769">IFERROR(IF(ISBLANK('BOM Loader'!$Y779), "", transpose(INDIRECT(SUBSTITUTE(SUBSTITUTE('BOM Loader'!$Y779,  " ",  ""),"-",  "")))),  "")</f>
        <v/>
      </c>
    </row>
    <row r="770">
      <c r="A770" t="str">
        <f t="array" ref="A770">IFERROR(IF(ISBLANK('BOM Loader'!$Y780), "", transpose(INDIRECT(SUBSTITUTE(SUBSTITUTE('BOM Loader'!$Y780,  " ",  ""),"-",  "")))),  "")</f>
        <v/>
      </c>
    </row>
    <row r="771">
      <c r="A771" t="str">
        <f t="array" ref="A771">IFERROR(IF(ISBLANK('BOM Loader'!$Y781), "", transpose(INDIRECT(SUBSTITUTE(SUBSTITUTE('BOM Loader'!$Y781,  " ",  ""),"-",  "")))),  "")</f>
        <v/>
      </c>
    </row>
    <row r="772">
      <c r="A772" t="str">
        <f t="array" ref="A772">IFERROR(IF(ISBLANK('BOM Loader'!$Y782), "", transpose(INDIRECT(SUBSTITUTE(SUBSTITUTE('BOM Loader'!$Y782,  " ",  ""),"-",  "")))),  "")</f>
        <v/>
      </c>
    </row>
    <row r="773">
      <c r="A773" t="str">
        <f t="array" ref="A773">IFERROR(IF(ISBLANK('BOM Loader'!$Y783), "", transpose(INDIRECT(SUBSTITUTE(SUBSTITUTE('BOM Loader'!$Y783,  " ",  ""),"-",  "")))),  "")</f>
        <v/>
      </c>
    </row>
    <row r="774">
      <c r="A774" t="str">
        <f t="array" ref="A774">IFERROR(IF(ISBLANK('BOM Loader'!$Y784), "", transpose(INDIRECT(SUBSTITUTE(SUBSTITUTE('BOM Loader'!$Y784,  " ",  ""),"-",  "")))),  "")</f>
        <v/>
      </c>
    </row>
    <row r="775">
      <c r="A775" t="str">
        <f t="array" ref="A775">IFERROR(IF(ISBLANK('BOM Loader'!$Y785), "", transpose(INDIRECT(SUBSTITUTE(SUBSTITUTE('BOM Loader'!$Y785,  " ",  ""),"-",  "")))),  "")</f>
        <v/>
      </c>
    </row>
    <row r="776">
      <c r="A776" t="str">
        <f t="array" ref="A776">IFERROR(IF(ISBLANK('BOM Loader'!$Y786), "", transpose(INDIRECT(SUBSTITUTE(SUBSTITUTE('BOM Loader'!$Y786,  " ",  ""),"-",  "")))),  "")</f>
        <v/>
      </c>
    </row>
    <row r="777">
      <c r="A777" t="str">
        <f t="array" ref="A777">IFERROR(IF(ISBLANK('BOM Loader'!$Y787), "", transpose(INDIRECT(SUBSTITUTE(SUBSTITUTE('BOM Loader'!$Y787,  " ",  ""),"-",  "")))),  "")</f>
        <v/>
      </c>
    </row>
    <row r="778">
      <c r="A778" t="str">
        <f t="array" ref="A778">IFERROR(IF(ISBLANK('BOM Loader'!$Y788), "", transpose(INDIRECT(SUBSTITUTE(SUBSTITUTE('BOM Loader'!$Y788,  " ",  ""),"-",  "")))),  "")</f>
        <v/>
      </c>
    </row>
    <row r="779">
      <c r="A779" t="str">
        <f t="array" ref="A779">IFERROR(IF(ISBLANK('BOM Loader'!$Y789), "", transpose(INDIRECT(SUBSTITUTE(SUBSTITUTE('BOM Loader'!$Y789,  " ",  ""),"-",  "")))),  "")</f>
        <v/>
      </c>
    </row>
    <row r="780">
      <c r="A780" t="str">
        <f t="array" ref="A780">IFERROR(IF(ISBLANK('BOM Loader'!$Y790), "", transpose(INDIRECT(SUBSTITUTE(SUBSTITUTE('BOM Loader'!$Y790,  " ",  ""),"-",  "")))),  "")</f>
        <v/>
      </c>
    </row>
    <row r="781">
      <c r="A781" t="str">
        <f t="array" ref="A781">IFERROR(IF(ISBLANK('BOM Loader'!$Y791), "", transpose(INDIRECT(SUBSTITUTE(SUBSTITUTE('BOM Loader'!$Y791,  " ",  ""),"-",  "")))),  "")</f>
        <v/>
      </c>
    </row>
    <row r="782">
      <c r="A782" t="str">
        <f t="array" ref="A782">IFERROR(IF(ISBLANK('BOM Loader'!$Y792), "", transpose(INDIRECT(SUBSTITUTE(SUBSTITUTE('BOM Loader'!$Y792,  " ",  ""),"-",  "")))),  "")</f>
        <v/>
      </c>
    </row>
    <row r="783">
      <c r="A783" t="str">
        <f t="array" ref="A783">IFERROR(IF(ISBLANK('BOM Loader'!$Y793), "", transpose(INDIRECT(SUBSTITUTE(SUBSTITUTE('BOM Loader'!$Y793,  " ",  ""),"-",  "")))),  "")</f>
        <v/>
      </c>
    </row>
    <row r="784">
      <c r="A784" t="str">
        <f t="array" ref="A784">IFERROR(IF(ISBLANK('BOM Loader'!$Y794), "", transpose(INDIRECT(SUBSTITUTE(SUBSTITUTE('BOM Loader'!$Y794,  " ",  ""),"-",  "")))),  "")</f>
        <v/>
      </c>
    </row>
    <row r="785">
      <c r="A785" t="str">
        <f t="array" ref="A785">IFERROR(IF(ISBLANK('BOM Loader'!$Y795), "", transpose(INDIRECT(SUBSTITUTE(SUBSTITUTE('BOM Loader'!$Y795,  " ",  ""),"-",  "")))),  "")</f>
        <v/>
      </c>
    </row>
    <row r="786">
      <c r="A786" t="str">
        <f t="array" ref="A786">IFERROR(IF(ISBLANK('BOM Loader'!$Y796), "", transpose(INDIRECT(SUBSTITUTE(SUBSTITUTE('BOM Loader'!$Y796,  " ",  ""),"-",  "")))),  "")</f>
        <v/>
      </c>
    </row>
    <row r="787">
      <c r="A787" t="str">
        <f t="array" ref="A787">IFERROR(IF(ISBLANK('BOM Loader'!$Y797), "", transpose(INDIRECT(SUBSTITUTE(SUBSTITUTE('BOM Loader'!$Y797,  " ",  ""),"-",  "")))),  "")</f>
        <v/>
      </c>
    </row>
    <row r="788">
      <c r="A788" t="str">
        <f t="array" ref="A788">IFERROR(IF(ISBLANK('BOM Loader'!$Y798), "", transpose(INDIRECT(SUBSTITUTE(SUBSTITUTE('BOM Loader'!$Y798,  " ",  ""),"-",  "")))),  "")</f>
        <v/>
      </c>
    </row>
    <row r="789">
      <c r="A789" t="str">
        <f t="array" ref="A789">IFERROR(IF(ISBLANK('BOM Loader'!$Y799), "", transpose(INDIRECT(SUBSTITUTE(SUBSTITUTE('BOM Loader'!$Y799,  " ",  ""),"-",  "")))),  "")</f>
        <v/>
      </c>
    </row>
    <row r="790">
      <c r="A790" t="str">
        <f t="array" ref="A790">IFERROR(IF(ISBLANK('BOM Loader'!$Y800), "", transpose(INDIRECT(SUBSTITUTE(SUBSTITUTE('BOM Loader'!$Y800,  " ",  ""),"-",  "")))),  "")</f>
        <v/>
      </c>
    </row>
    <row r="791">
      <c r="A791" t="str">
        <f t="array" ref="A791">IFERROR(IF(ISBLANK('BOM Loader'!$Y801), "", transpose(INDIRECT(SUBSTITUTE(SUBSTITUTE('BOM Loader'!$Y801,  " ",  ""),"-",  "")))),  "")</f>
        <v/>
      </c>
    </row>
    <row r="792">
      <c r="A792" t="str">
        <f t="array" ref="A792">IFERROR(IF(ISBLANK('BOM Loader'!$Y802), "", transpose(INDIRECT(SUBSTITUTE(SUBSTITUTE('BOM Loader'!$Y802,  " ",  ""),"-",  "")))),  "")</f>
        <v/>
      </c>
    </row>
    <row r="793">
      <c r="A793" t="str">
        <f t="array" ref="A793">IFERROR(IF(ISBLANK('BOM Loader'!$Y803), "", transpose(INDIRECT(SUBSTITUTE(SUBSTITUTE('BOM Loader'!$Y803,  " ",  ""),"-",  "")))),  "")</f>
        <v/>
      </c>
    </row>
    <row r="794">
      <c r="A794" t="str">
        <f t="array" ref="A794">IFERROR(IF(ISBLANK('BOM Loader'!$Y804), "", transpose(INDIRECT(SUBSTITUTE(SUBSTITUTE('BOM Loader'!$Y804,  " ",  ""),"-",  "")))),  "")</f>
        <v/>
      </c>
    </row>
    <row r="795">
      <c r="A795" t="str">
        <f t="array" ref="A795">IFERROR(IF(ISBLANK('BOM Loader'!$Y805), "", transpose(INDIRECT(SUBSTITUTE(SUBSTITUTE('BOM Loader'!$Y805,  " ",  ""),"-",  "")))),  "")</f>
        <v/>
      </c>
    </row>
    <row r="796">
      <c r="A796" t="str">
        <f t="array" ref="A796">IFERROR(IF(ISBLANK('BOM Loader'!$Y806), "", transpose(INDIRECT(SUBSTITUTE(SUBSTITUTE('BOM Loader'!$Y806,  " ",  ""),"-",  "")))),  "")</f>
        <v/>
      </c>
    </row>
    <row r="797">
      <c r="A797" t="str">
        <f t="array" ref="A797">IFERROR(IF(ISBLANK('BOM Loader'!$Y807), "", transpose(INDIRECT(SUBSTITUTE(SUBSTITUTE('BOM Loader'!$Y807,  " ",  ""),"-",  "")))),  "")</f>
        <v/>
      </c>
    </row>
    <row r="798">
      <c r="A798" t="str">
        <f t="array" ref="A798">IFERROR(IF(ISBLANK('BOM Loader'!$Y808), "", transpose(INDIRECT(SUBSTITUTE(SUBSTITUTE('BOM Loader'!$Y808,  " ",  ""),"-",  "")))),  "")</f>
        <v/>
      </c>
    </row>
    <row r="799">
      <c r="A799" t="str">
        <f t="array" ref="A799">IFERROR(IF(ISBLANK('BOM Loader'!$Y809), "", transpose(INDIRECT(SUBSTITUTE(SUBSTITUTE('BOM Loader'!$Y809,  " ",  ""),"-",  "")))),  "")</f>
        <v/>
      </c>
    </row>
    <row r="800">
      <c r="A800" t="str">
        <f t="array" ref="A800">IFERROR(IF(ISBLANK('BOM Loader'!$Y810), "", transpose(INDIRECT(SUBSTITUTE(SUBSTITUTE('BOM Loader'!$Y810,  " ",  ""),"-",  "")))),  "")</f>
        <v/>
      </c>
    </row>
    <row r="801">
      <c r="A801" t="str">
        <f t="array" ref="A801">IFERROR(IF(ISBLANK('BOM Loader'!$Y811), "", transpose(INDIRECT(SUBSTITUTE(SUBSTITUTE('BOM Loader'!$Y811,  " ",  ""),"-",  "")))),  "")</f>
        <v/>
      </c>
    </row>
    <row r="802">
      <c r="A802" t="str">
        <f t="array" ref="A802">IFERROR(IF(ISBLANK('BOM Loader'!$Y812), "", transpose(INDIRECT(SUBSTITUTE(SUBSTITUTE('BOM Loader'!$Y812,  " ",  ""),"-",  "")))),  "")</f>
        <v/>
      </c>
    </row>
    <row r="803">
      <c r="A803" t="str">
        <f t="array" ref="A803">IFERROR(IF(ISBLANK('BOM Loader'!$Y813), "", transpose(INDIRECT(SUBSTITUTE(SUBSTITUTE('BOM Loader'!$Y813,  " ",  ""),"-",  "")))),  "")</f>
        <v/>
      </c>
    </row>
    <row r="804">
      <c r="A804" t="str">
        <f t="array" ref="A804">IFERROR(IF(ISBLANK('BOM Loader'!$Y814), "", transpose(INDIRECT(SUBSTITUTE(SUBSTITUTE('BOM Loader'!$Y814,  " ",  ""),"-",  "")))),  "")</f>
        <v/>
      </c>
    </row>
    <row r="805">
      <c r="A805" t="str">
        <f t="array" ref="A805">IFERROR(IF(ISBLANK('BOM Loader'!$Y815), "", transpose(INDIRECT(SUBSTITUTE(SUBSTITUTE('BOM Loader'!$Y815,  " ",  ""),"-",  "")))),  "")</f>
        <v/>
      </c>
    </row>
    <row r="806">
      <c r="A806" t="str">
        <f t="array" ref="A806">IFERROR(IF(ISBLANK('BOM Loader'!$Y816), "", transpose(INDIRECT(SUBSTITUTE(SUBSTITUTE('BOM Loader'!$Y816,  " ",  ""),"-",  "")))),  "")</f>
        <v/>
      </c>
    </row>
    <row r="807">
      <c r="A807" t="str">
        <f t="array" ref="A807">IFERROR(IF(ISBLANK('BOM Loader'!$Y817), "", transpose(INDIRECT(SUBSTITUTE(SUBSTITUTE('BOM Loader'!$Y817,  " ",  ""),"-",  "")))),  "")</f>
        <v/>
      </c>
    </row>
    <row r="808">
      <c r="A808" t="str">
        <f t="array" ref="A808">IFERROR(IF(ISBLANK('BOM Loader'!$Y818), "", transpose(INDIRECT(SUBSTITUTE(SUBSTITUTE('BOM Loader'!$Y818,  " ",  ""),"-",  "")))),  "")</f>
        <v/>
      </c>
    </row>
    <row r="809">
      <c r="A809" t="str">
        <f t="array" ref="A809">IFERROR(IF(ISBLANK('BOM Loader'!$Y819), "", transpose(INDIRECT(SUBSTITUTE(SUBSTITUTE('BOM Loader'!$Y819,  " ",  ""),"-",  "")))),  "")</f>
        <v/>
      </c>
    </row>
    <row r="810">
      <c r="A810" t="str">
        <f t="array" ref="A810">IFERROR(IF(ISBLANK('BOM Loader'!$Y820), "", transpose(INDIRECT(SUBSTITUTE(SUBSTITUTE('BOM Loader'!$Y820,  " ",  ""),"-",  "")))),  "")</f>
        <v/>
      </c>
    </row>
    <row r="811">
      <c r="A811" t="str">
        <f t="array" ref="A811">IFERROR(IF(ISBLANK('BOM Loader'!$Y821), "", transpose(INDIRECT(SUBSTITUTE(SUBSTITUTE('BOM Loader'!$Y821,  " ",  ""),"-",  "")))),  "")</f>
        <v/>
      </c>
    </row>
    <row r="812">
      <c r="A812" t="str">
        <f t="array" ref="A812">IFERROR(IF(ISBLANK('BOM Loader'!$Y822), "", transpose(INDIRECT(SUBSTITUTE(SUBSTITUTE('BOM Loader'!$Y822,  " ",  ""),"-",  "")))),  "")</f>
        <v/>
      </c>
    </row>
    <row r="813">
      <c r="A813" t="str">
        <f t="array" ref="A813">IFERROR(IF(ISBLANK('BOM Loader'!$Y823), "", transpose(INDIRECT(SUBSTITUTE(SUBSTITUTE('BOM Loader'!$Y823,  " ",  ""),"-",  "")))),  "")</f>
        <v/>
      </c>
    </row>
    <row r="814">
      <c r="A814" t="str">
        <f t="array" ref="A814">IFERROR(IF(ISBLANK('BOM Loader'!$Y824), "", transpose(INDIRECT(SUBSTITUTE(SUBSTITUTE('BOM Loader'!$Y824,  " ",  ""),"-",  "")))),  "")</f>
        <v/>
      </c>
    </row>
    <row r="815">
      <c r="A815" t="str">
        <f t="array" ref="A815">IFERROR(IF(ISBLANK('BOM Loader'!$Y825), "", transpose(INDIRECT(SUBSTITUTE(SUBSTITUTE('BOM Loader'!$Y825,  " ",  ""),"-",  "")))),  "")</f>
        <v/>
      </c>
    </row>
    <row r="816">
      <c r="A816" t="str">
        <f t="array" ref="A816">IFERROR(IF(ISBLANK('BOM Loader'!$Y826), "", transpose(INDIRECT(SUBSTITUTE(SUBSTITUTE('BOM Loader'!$Y826,  " ",  ""),"-",  "")))),  "")</f>
        <v/>
      </c>
    </row>
    <row r="817">
      <c r="A817" t="str">
        <f t="array" ref="A817">IFERROR(IF(ISBLANK('BOM Loader'!$Y827), "", transpose(INDIRECT(SUBSTITUTE(SUBSTITUTE('BOM Loader'!$Y827,  " ",  ""),"-",  "")))),  "")</f>
        <v/>
      </c>
    </row>
    <row r="818">
      <c r="A818" t="str">
        <f t="array" ref="A818">IFERROR(IF(ISBLANK('BOM Loader'!$Y828), "", transpose(INDIRECT(SUBSTITUTE(SUBSTITUTE('BOM Loader'!$Y828,  " ",  ""),"-",  "")))),  "")</f>
        <v/>
      </c>
    </row>
    <row r="819">
      <c r="A819" t="str">
        <f t="array" ref="A819">IFERROR(IF(ISBLANK('BOM Loader'!$Y829), "", transpose(INDIRECT(SUBSTITUTE(SUBSTITUTE('BOM Loader'!$Y829,  " ",  ""),"-",  "")))),  "")</f>
        <v/>
      </c>
    </row>
    <row r="820">
      <c r="A820" t="str">
        <f t="array" ref="A820">IFERROR(IF(ISBLANK('BOM Loader'!$Y830), "", transpose(INDIRECT(SUBSTITUTE(SUBSTITUTE('BOM Loader'!$Y830,  " ",  ""),"-",  "")))),  "")</f>
        <v/>
      </c>
    </row>
    <row r="821">
      <c r="A821" t="str">
        <f t="array" ref="A821">IFERROR(IF(ISBLANK('BOM Loader'!$Y831), "", transpose(INDIRECT(SUBSTITUTE(SUBSTITUTE('BOM Loader'!$Y831,  " ",  ""),"-",  "")))),  "")</f>
        <v/>
      </c>
    </row>
    <row r="822">
      <c r="A822" t="str">
        <f t="array" ref="A822">IFERROR(IF(ISBLANK('BOM Loader'!$Y832), "", transpose(INDIRECT(SUBSTITUTE(SUBSTITUTE('BOM Loader'!$Y832,  " ",  ""),"-",  "")))),  "")</f>
        <v/>
      </c>
    </row>
    <row r="823">
      <c r="A823" t="str">
        <f t="array" ref="A823">IFERROR(IF(ISBLANK('BOM Loader'!$Y833), "", transpose(INDIRECT(SUBSTITUTE(SUBSTITUTE('BOM Loader'!$Y833,  " ",  ""),"-",  "")))),  "")</f>
        <v/>
      </c>
    </row>
    <row r="824">
      <c r="A824" t="str">
        <f t="array" ref="A824">IFERROR(IF(ISBLANK('BOM Loader'!$Y834), "", transpose(INDIRECT(SUBSTITUTE(SUBSTITUTE('BOM Loader'!$Y834,  " ",  ""),"-",  "")))),  "")</f>
        <v/>
      </c>
    </row>
    <row r="825">
      <c r="A825" t="str">
        <f t="array" ref="A825">IFERROR(IF(ISBLANK('BOM Loader'!$Y835), "", transpose(INDIRECT(SUBSTITUTE(SUBSTITUTE('BOM Loader'!$Y835,  " ",  ""),"-",  "")))),  "")</f>
        <v/>
      </c>
    </row>
    <row r="826">
      <c r="A826" t="str">
        <f t="array" ref="A826">IFERROR(IF(ISBLANK('BOM Loader'!$Y836), "", transpose(INDIRECT(SUBSTITUTE(SUBSTITUTE('BOM Loader'!$Y836,  " ",  ""),"-",  "")))),  "")</f>
        <v/>
      </c>
    </row>
    <row r="827">
      <c r="A827" t="str">
        <f t="array" ref="A827">IFERROR(IF(ISBLANK('BOM Loader'!$Y837), "", transpose(INDIRECT(SUBSTITUTE(SUBSTITUTE('BOM Loader'!$Y837,  " ",  ""),"-",  "")))),  "")</f>
        <v/>
      </c>
    </row>
    <row r="828">
      <c r="A828" t="str">
        <f t="array" ref="A828">IFERROR(IF(ISBLANK('BOM Loader'!$Y838), "", transpose(INDIRECT(SUBSTITUTE(SUBSTITUTE('BOM Loader'!$Y838,  " ",  ""),"-",  "")))),  "")</f>
        <v/>
      </c>
    </row>
    <row r="829">
      <c r="A829" t="str">
        <f t="array" ref="A829">IFERROR(IF(ISBLANK('BOM Loader'!$Y839), "", transpose(INDIRECT(SUBSTITUTE(SUBSTITUTE('BOM Loader'!$Y839,  " ",  ""),"-",  "")))),  "")</f>
        <v/>
      </c>
    </row>
    <row r="830">
      <c r="A830" t="str">
        <f t="array" ref="A830">IFERROR(IF(ISBLANK('BOM Loader'!$Y840), "", transpose(INDIRECT(SUBSTITUTE(SUBSTITUTE('BOM Loader'!$Y840,  " ",  ""),"-",  "")))),  "")</f>
        <v/>
      </c>
    </row>
    <row r="831">
      <c r="A831" t="str">
        <f t="array" ref="A831">IFERROR(IF(ISBLANK('BOM Loader'!$Y841), "", transpose(INDIRECT(SUBSTITUTE(SUBSTITUTE('BOM Loader'!$Y841,  " ",  ""),"-",  "")))),  "")</f>
        <v/>
      </c>
    </row>
    <row r="832">
      <c r="A832" t="str">
        <f t="array" ref="A832">IFERROR(IF(ISBLANK('BOM Loader'!$Y842), "", transpose(INDIRECT(SUBSTITUTE(SUBSTITUTE('BOM Loader'!$Y842,  " ",  ""),"-",  "")))),  "")</f>
        <v/>
      </c>
    </row>
    <row r="833">
      <c r="A833" t="str">
        <f t="array" ref="A833">IFERROR(IF(ISBLANK('BOM Loader'!$Y843), "", transpose(INDIRECT(SUBSTITUTE(SUBSTITUTE('BOM Loader'!$Y843,  " ",  ""),"-",  "")))),  "")</f>
        <v/>
      </c>
    </row>
    <row r="834">
      <c r="A834" t="str">
        <f t="array" ref="A834">IFERROR(IF(ISBLANK('BOM Loader'!$Y844), "", transpose(INDIRECT(SUBSTITUTE(SUBSTITUTE('BOM Loader'!$Y844,  " ",  ""),"-",  "")))),  "")</f>
        <v/>
      </c>
    </row>
    <row r="835">
      <c r="A835" t="str">
        <f t="array" ref="A835">IFERROR(IF(ISBLANK('BOM Loader'!$Y845), "", transpose(INDIRECT(SUBSTITUTE(SUBSTITUTE('BOM Loader'!$Y845,  " ",  ""),"-",  "")))),  "")</f>
        <v/>
      </c>
    </row>
    <row r="836">
      <c r="A836" t="str">
        <f t="array" ref="A836">IFERROR(IF(ISBLANK('BOM Loader'!$Y846), "", transpose(INDIRECT(SUBSTITUTE(SUBSTITUTE('BOM Loader'!$Y846,  " ",  ""),"-",  "")))),  "")</f>
        <v/>
      </c>
    </row>
    <row r="837">
      <c r="A837" t="str">
        <f t="array" ref="A837">IFERROR(IF(ISBLANK('BOM Loader'!$Y847), "", transpose(INDIRECT(SUBSTITUTE(SUBSTITUTE('BOM Loader'!$Y847,  " ",  ""),"-",  "")))),  "")</f>
        <v/>
      </c>
    </row>
    <row r="838">
      <c r="A838" t="str">
        <f t="array" ref="A838">IFERROR(IF(ISBLANK('BOM Loader'!$Y848), "", transpose(INDIRECT(SUBSTITUTE(SUBSTITUTE('BOM Loader'!$Y848,  " ",  ""),"-",  "")))),  "")</f>
        <v/>
      </c>
    </row>
    <row r="839">
      <c r="A839" t="str">
        <f t="array" ref="A839">IFERROR(IF(ISBLANK('BOM Loader'!$Y849), "", transpose(INDIRECT(SUBSTITUTE(SUBSTITUTE('BOM Loader'!$Y849,  " ",  ""),"-",  "")))),  "")</f>
        <v/>
      </c>
    </row>
    <row r="840">
      <c r="A840" t="str">
        <f t="array" ref="A840">IFERROR(IF(ISBLANK('BOM Loader'!$Y850), "", transpose(INDIRECT(SUBSTITUTE(SUBSTITUTE('BOM Loader'!$Y850,  " ",  ""),"-",  "")))),  "")</f>
        <v/>
      </c>
    </row>
    <row r="841">
      <c r="A841" t="str">
        <f t="array" ref="A841">IFERROR(IF(ISBLANK('BOM Loader'!$Y851), "", transpose(INDIRECT(SUBSTITUTE(SUBSTITUTE('BOM Loader'!$Y851,  " ",  ""),"-",  "")))),  "")</f>
        <v/>
      </c>
    </row>
    <row r="842">
      <c r="A842" t="str">
        <f t="array" ref="A842">IFERROR(IF(ISBLANK('BOM Loader'!$Y852), "", transpose(INDIRECT(SUBSTITUTE(SUBSTITUTE('BOM Loader'!$Y852,  " ",  ""),"-",  "")))),  "")</f>
        <v/>
      </c>
    </row>
    <row r="843">
      <c r="A843" t="str">
        <f t="array" ref="A843">IFERROR(IF(ISBLANK('BOM Loader'!$Y853), "", transpose(INDIRECT(SUBSTITUTE(SUBSTITUTE('BOM Loader'!$Y853,  " ",  ""),"-",  "")))),  "")</f>
        <v/>
      </c>
    </row>
    <row r="844">
      <c r="A844" t="str">
        <f t="array" ref="A844">IFERROR(IF(ISBLANK('BOM Loader'!$Y854), "", transpose(INDIRECT(SUBSTITUTE(SUBSTITUTE('BOM Loader'!$Y854,  " ",  ""),"-",  "")))),  "")</f>
        <v/>
      </c>
    </row>
    <row r="845">
      <c r="A845" t="str">
        <f t="array" ref="A845">IFERROR(IF(ISBLANK('BOM Loader'!$Y855), "", transpose(INDIRECT(SUBSTITUTE(SUBSTITUTE('BOM Loader'!$Y855,  " ",  ""),"-",  "")))),  "")</f>
        <v/>
      </c>
    </row>
    <row r="846">
      <c r="A846" t="str">
        <f t="array" ref="A846">IFERROR(IF(ISBLANK('BOM Loader'!$Y856), "", transpose(INDIRECT(SUBSTITUTE(SUBSTITUTE('BOM Loader'!$Y856,  " ",  ""),"-",  "")))),  "")</f>
        <v/>
      </c>
    </row>
    <row r="847">
      <c r="A847" t="str">
        <f t="array" ref="A847">IFERROR(IF(ISBLANK('BOM Loader'!$Y857), "", transpose(INDIRECT(SUBSTITUTE(SUBSTITUTE('BOM Loader'!$Y857,  " ",  ""),"-",  "")))),  "")</f>
        <v/>
      </c>
    </row>
    <row r="848">
      <c r="A848" t="str">
        <f t="array" ref="A848">IFERROR(IF(ISBLANK('BOM Loader'!$Y858), "", transpose(INDIRECT(SUBSTITUTE(SUBSTITUTE('BOM Loader'!$Y858,  " ",  ""),"-",  "")))),  "")</f>
        <v/>
      </c>
    </row>
    <row r="849">
      <c r="A849" t="str">
        <f t="array" ref="A849">IFERROR(IF(ISBLANK('BOM Loader'!$Y859), "", transpose(INDIRECT(SUBSTITUTE(SUBSTITUTE('BOM Loader'!$Y859,  " ",  ""),"-",  "")))),  "")</f>
        <v/>
      </c>
    </row>
    <row r="850">
      <c r="A850" t="str">
        <f t="array" ref="A850">IFERROR(IF(ISBLANK('BOM Loader'!$Y860), "", transpose(INDIRECT(SUBSTITUTE(SUBSTITUTE('BOM Loader'!$Y860,  " ",  ""),"-",  "")))),  "")</f>
        <v/>
      </c>
    </row>
    <row r="851">
      <c r="A851" t="str">
        <f t="array" ref="A851">IFERROR(IF(ISBLANK('BOM Loader'!$Y861), "", transpose(INDIRECT(SUBSTITUTE(SUBSTITUTE('BOM Loader'!$Y861,  " ",  ""),"-",  "")))),  "")</f>
        <v/>
      </c>
    </row>
    <row r="852">
      <c r="A852" t="str">
        <f t="array" ref="A852">IFERROR(IF(ISBLANK('BOM Loader'!$Y862), "", transpose(INDIRECT(SUBSTITUTE(SUBSTITUTE('BOM Loader'!$Y862,  " ",  ""),"-",  "")))),  "")</f>
        <v/>
      </c>
    </row>
    <row r="853">
      <c r="A853" t="str">
        <f t="array" ref="A853">IFERROR(IF(ISBLANK('BOM Loader'!$Y863), "", transpose(INDIRECT(SUBSTITUTE(SUBSTITUTE('BOM Loader'!$Y863,  " ",  ""),"-",  "")))),  "")</f>
        <v/>
      </c>
    </row>
    <row r="854">
      <c r="A854" t="str">
        <f t="array" ref="A854">IFERROR(IF(ISBLANK('BOM Loader'!$Y864), "", transpose(INDIRECT(SUBSTITUTE(SUBSTITUTE('BOM Loader'!$Y864,  " ",  ""),"-",  "")))),  "")</f>
        <v/>
      </c>
    </row>
    <row r="855">
      <c r="A855" t="str">
        <f t="array" ref="A855">IFERROR(IF(ISBLANK('BOM Loader'!$Y865), "", transpose(INDIRECT(SUBSTITUTE(SUBSTITUTE('BOM Loader'!$Y865,  " ",  ""),"-",  "")))),  "")</f>
        <v/>
      </c>
    </row>
    <row r="856">
      <c r="A856" t="str">
        <f t="array" ref="A856">IFERROR(IF(ISBLANK('BOM Loader'!$Y866), "", transpose(INDIRECT(SUBSTITUTE(SUBSTITUTE('BOM Loader'!$Y866,  " ",  ""),"-",  "")))),  "")</f>
        <v/>
      </c>
    </row>
    <row r="857">
      <c r="A857" t="str">
        <f t="array" ref="A857">IFERROR(IF(ISBLANK('BOM Loader'!$Y867), "", transpose(INDIRECT(SUBSTITUTE(SUBSTITUTE('BOM Loader'!$Y867,  " ",  ""),"-",  "")))),  "")</f>
        <v/>
      </c>
    </row>
    <row r="858">
      <c r="A858" t="str">
        <f t="array" ref="A858">IFERROR(IF(ISBLANK('BOM Loader'!$Y868), "", transpose(INDIRECT(SUBSTITUTE(SUBSTITUTE('BOM Loader'!$Y868,  " ",  ""),"-",  "")))),  "")</f>
        <v/>
      </c>
    </row>
    <row r="859">
      <c r="A859" t="str">
        <f t="array" ref="A859">IFERROR(IF(ISBLANK('BOM Loader'!$Y869), "", transpose(INDIRECT(SUBSTITUTE(SUBSTITUTE('BOM Loader'!$Y869,  " ",  ""),"-",  "")))),  "")</f>
        <v/>
      </c>
    </row>
    <row r="860">
      <c r="A860" t="str">
        <f t="array" ref="A860">IFERROR(IF(ISBLANK('BOM Loader'!$Y870), "", transpose(INDIRECT(SUBSTITUTE(SUBSTITUTE('BOM Loader'!$Y870,  " ",  ""),"-",  "")))),  "")</f>
        <v/>
      </c>
    </row>
    <row r="861">
      <c r="A861" t="str">
        <f t="array" ref="A861">IFERROR(IF(ISBLANK('BOM Loader'!$Y871), "", transpose(INDIRECT(SUBSTITUTE(SUBSTITUTE('BOM Loader'!$Y871,  " ",  ""),"-",  "")))),  "")</f>
        <v/>
      </c>
    </row>
    <row r="862">
      <c r="A862" t="str">
        <f t="array" ref="A862">IFERROR(IF(ISBLANK('BOM Loader'!$Y872), "", transpose(INDIRECT(SUBSTITUTE(SUBSTITUTE('BOM Loader'!$Y872,  " ",  ""),"-",  "")))),  "")</f>
        <v/>
      </c>
    </row>
    <row r="863">
      <c r="A863" t="str">
        <f t="array" ref="A863">IFERROR(IF(ISBLANK('BOM Loader'!$Y873), "", transpose(INDIRECT(SUBSTITUTE(SUBSTITUTE('BOM Loader'!$Y873,  " ",  ""),"-",  "")))),  "")</f>
        <v/>
      </c>
    </row>
    <row r="864">
      <c r="A864" t="str">
        <f t="array" ref="A864">IFERROR(IF(ISBLANK('BOM Loader'!$Y874), "", transpose(INDIRECT(SUBSTITUTE(SUBSTITUTE('BOM Loader'!$Y874,  " ",  ""),"-",  "")))),  "")</f>
        <v/>
      </c>
    </row>
    <row r="865">
      <c r="A865" t="str">
        <f t="array" ref="A865">IFERROR(IF(ISBLANK('BOM Loader'!$Y875), "", transpose(INDIRECT(SUBSTITUTE(SUBSTITUTE('BOM Loader'!$Y875,  " ",  ""),"-",  "")))),  "")</f>
        <v/>
      </c>
    </row>
    <row r="866">
      <c r="A866" t="str">
        <f t="array" ref="A866">IFERROR(IF(ISBLANK('BOM Loader'!$Y876), "", transpose(INDIRECT(SUBSTITUTE(SUBSTITUTE('BOM Loader'!$Y876,  " ",  ""),"-",  "")))),  "")</f>
        <v/>
      </c>
    </row>
    <row r="867">
      <c r="A867" t="str">
        <f t="array" ref="A867">IFERROR(IF(ISBLANK('BOM Loader'!$Y877), "", transpose(INDIRECT(SUBSTITUTE(SUBSTITUTE('BOM Loader'!$Y877,  " ",  ""),"-",  "")))),  "")</f>
        <v/>
      </c>
    </row>
    <row r="868">
      <c r="A868" t="str">
        <f t="array" ref="A868">IFERROR(IF(ISBLANK('BOM Loader'!$Y878), "", transpose(INDIRECT(SUBSTITUTE(SUBSTITUTE('BOM Loader'!$Y878,  " ",  ""),"-",  "")))),  "")</f>
        <v/>
      </c>
    </row>
    <row r="869">
      <c r="A869" t="str">
        <f t="array" ref="A869">IFERROR(IF(ISBLANK('BOM Loader'!$Y879), "", transpose(INDIRECT(SUBSTITUTE(SUBSTITUTE('BOM Loader'!$Y879,  " ",  ""),"-",  "")))),  "")</f>
        <v/>
      </c>
    </row>
    <row r="870">
      <c r="A870" t="str">
        <f t="array" ref="A870">IFERROR(IF(ISBLANK('BOM Loader'!$Y880), "", transpose(INDIRECT(SUBSTITUTE(SUBSTITUTE('BOM Loader'!$Y880,  " ",  ""),"-",  "")))),  "")</f>
        <v/>
      </c>
    </row>
    <row r="871">
      <c r="A871" t="str">
        <f t="array" ref="A871">IFERROR(IF(ISBLANK('BOM Loader'!$Y881), "", transpose(INDIRECT(SUBSTITUTE(SUBSTITUTE('BOM Loader'!$Y881,  " ",  ""),"-",  "")))),  "")</f>
        <v/>
      </c>
    </row>
    <row r="872">
      <c r="A872" t="str">
        <f t="array" ref="A872">IFERROR(IF(ISBLANK('BOM Loader'!$Y882), "", transpose(INDIRECT(SUBSTITUTE(SUBSTITUTE('BOM Loader'!$Y882,  " ",  ""),"-",  "")))),  "")</f>
        <v/>
      </c>
    </row>
    <row r="873">
      <c r="A873" t="str">
        <f t="array" ref="A873">IFERROR(IF(ISBLANK('BOM Loader'!$Y883), "", transpose(INDIRECT(SUBSTITUTE(SUBSTITUTE('BOM Loader'!$Y883,  " ",  ""),"-",  "")))),  "")</f>
        <v/>
      </c>
    </row>
    <row r="874">
      <c r="A874" t="str">
        <f t="array" ref="A874">IFERROR(IF(ISBLANK('BOM Loader'!$Y884), "", transpose(INDIRECT(SUBSTITUTE(SUBSTITUTE('BOM Loader'!$Y884,  " ",  ""),"-",  "")))),  "")</f>
        <v/>
      </c>
    </row>
    <row r="875">
      <c r="A875" t="str">
        <f t="array" ref="A875">IFERROR(IF(ISBLANK('BOM Loader'!$Y885), "", transpose(INDIRECT(SUBSTITUTE(SUBSTITUTE('BOM Loader'!$Y885,  " ",  ""),"-",  "")))),  "")</f>
        <v/>
      </c>
    </row>
    <row r="876">
      <c r="A876" t="str">
        <f t="array" ref="A876">IFERROR(IF(ISBLANK('BOM Loader'!$Y886), "", transpose(INDIRECT(SUBSTITUTE(SUBSTITUTE('BOM Loader'!$Y886,  " ",  ""),"-",  "")))),  "")</f>
        <v/>
      </c>
    </row>
    <row r="877">
      <c r="A877" t="str">
        <f t="array" ref="A877">IFERROR(IF(ISBLANK('BOM Loader'!$Y887), "", transpose(INDIRECT(SUBSTITUTE(SUBSTITUTE('BOM Loader'!$Y887,  " ",  ""),"-",  "")))),  "")</f>
        <v/>
      </c>
    </row>
    <row r="878">
      <c r="A878" t="str">
        <f t="array" ref="A878">IFERROR(IF(ISBLANK('BOM Loader'!$Y888), "", transpose(INDIRECT(SUBSTITUTE(SUBSTITUTE('BOM Loader'!$Y888,  " ",  ""),"-",  "")))),  "")</f>
        <v/>
      </c>
    </row>
    <row r="879">
      <c r="A879" t="str">
        <f t="array" ref="A879">IFERROR(IF(ISBLANK('BOM Loader'!$Y889), "", transpose(INDIRECT(SUBSTITUTE(SUBSTITUTE('BOM Loader'!$Y889,  " ",  ""),"-",  "")))),  "")</f>
        <v/>
      </c>
    </row>
    <row r="880">
      <c r="A880" t="str">
        <f t="array" ref="A880">IFERROR(IF(ISBLANK('BOM Loader'!$Y890), "", transpose(INDIRECT(SUBSTITUTE(SUBSTITUTE('BOM Loader'!$Y890,  " ",  ""),"-",  "")))),  "")</f>
        <v/>
      </c>
    </row>
    <row r="881">
      <c r="A881" t="str">
        <f t="array" ref="A881">IFERROR(IF(ISBLANK('BOM Loader'!$Y891), "", transpose(INDIRECT(SUBSTITUTE(SUBSTITUTE('BOM Loader'!$Y891,  " ",  ""),"-",  "")))),  "")</f>
        <v/>
      </c>
    </row>
    <row r="882">
      <c r="A882" t="str">
        <f t="array" ref="A882">IFERROR(IF(ISBLANK('BOM Loader'!$Y892), "", transpose(INDIRECT(SUBSTITUTE(SUBSTITUTE('BOM Loader'!$Y892,  " ",  ""),"-",  "")))),  "")</f>
        <v/>
      </c>
    </row>
    <row r="883">
      <c r="A883" t="str">
        <f t="array" ref="A883">IFERROR(IF(ISBLANK('BOM Loader'!$Y893), "", transpose(INDIRECT(SUBSTITUTE(SUBSTITUTE('BOM Loader'!$Y893,  " ",  ""),"-",  "")))),  "")</f>
        <v/>
      </c>
    </row>
    <row r="884">
      <c r="A884" t="str">
        <f t="array" ref="A884">IFERROR(IF(ISBLANK('BOM Loader'!$Y894), "", transpose(INDIRECT(SUBSTITUTE(SUBSTITUTE('BOM Loader'!$Y894,  " ",  ""),"-",  "")))),  "")</f>
        <v/>
      </c>
    </row>
    <row r="885">
      <c r="A885" t="str">
        <f t="array" ref="A885">IFERROR(IF(ISBLANK('BOM Loader'!$Y895), "", transpose(INDIRECT(SUBSTITUTE(SUBSTITUTE('BOM Loader'!$Y895,  " ",  ""),"-",  "")))),  "")</f>
        <v/>
      </c>
    </row>
    <row r="886">
      <c r="A886" t="str">
        <f t="array" ref="A886">IFERROR(IF(ISBLANK('BOM Loader'!$Y896), "", transpose(INDIRECT(SUBSTITUTE(SUBSTITUTE('BOM Loader'!$Y896,  " ",  ""),"-",  "")))),  "")</f>
        <v/>
      </c>
    </row>
    <row r="887">
      <c r="A887" t="str">
        <f t="array" ref="A887">IFERROR(IF(ISBLANK('BOM Loader'!$Y897), "", transpose(INDIRECT(SUBSTITUTE(SUBSTITUTE('BOM Loader'!$Y897,  " ",  ""),"-",  "")))),  "")</f>
        <v/>
      </c>
    </row>
    <row r="888">
      <c r="A888" t="str">
        <f t="array" ref="A888">IFERROR(IF(ISBLANK('BOM Loader'!$Y898), "", transpose(INDIRECT(SUBSTITUTE(SUBSTITUTE('BOM Loader'!$Y898,  " ",  ""),"-",  "")))),  "")</f>
        <v/>
      </c>
    </row>
    <row r="889">
      <c r="A889" t="str">
        <f t="array" ref="A889">IFERROR(IF(ISBLANK('BOM Loader'!$Y899), "", transpose(INDIRECT(SUBSTITUTE(SUBSTITUTE('BOM Loader'!$Y899,  " ",  ""),"-",  "")))),  "")</f>
        <v/>
      </c>
    </row>
    <row r="890">
      <c r="A890" t="str">
        <f t="array" ref="A890">IFERROR(IF(ISBLANK('BOM Loader'!$Y900), "", transpose(INDIRECT(SUBSTITUTE(SUBSTITUTE('BOM Loader'!$Y900,  " ",  ""),"-",  "")))),  "")</f>
        <v/>
      </c>
    </row>
    <row r="891">
      <c r="A891" t="str">
        <f t="array" ref="A891">IFERROR(IF(ISBLANK('BOM Loader'!$Y901), "", transpose(INDIRECT(SUBSTITUTE(SUBSTITUTE('BOM Loader'!$Y901,  " ",  ""),"-",  "")))),  "")</f>
        <v/>
      </c>
    </row>
    <row r="892">
      <c r="A892" t="str">
        <f t="array" ref="A892">IFERROR(IF(ISBLANK('BOM Loader'!$Y902), "", transpose(INDIRECT(SUBSTITUTE(SUBSTITUTE('BOM Loader'!$Y902,  " ",  ""),"-",  "")))),  "")</f>
        <v/>
      </c>
    </row>
    <row r="893">
      <c r="A893" t="str">
        <f t="array" ref="A893">IFERROR(IF(ISBLANK('BOM Loader'!$Y903), "", transpose(INDIRECT(SUBSTITUTE(SUBSTITUTE('BOM Loader'!$Y903,  " ",  ""),"-",  "")))),  "")</f>
        <v/>
      </c>
    </row>
    <row r="894">
      <c r="A894" t="str">
        <f t="array" ref="A894">IFERROR(IF(ISBLANK('BOM Loader'!$Y904), "", transpose(INDIRECT(SUBSTITUTE(SUBSTITUTE('BOM Loader'!$Y904,  " ",  ""),"-",  "")))),  "")</f>
        <v/>
      </c>
    </row>
    <row r="895">
      <c r="A895" t="str">
        <f t="array" ref="A895">IFERROR(IF(ISBLANK('BOM Loader'!$Y905), "", transpose(INDIRECT(SUBSTITUTE(SUBSTITUTE('BOM Loader'!$Y905,  " ",  ""),"-",  "")))),  "")</f>
        <v/>
      </c>
    </row>
    <row r="896">
      <c r="A896" t="str">
        <f t="array" ref="A896">IFERROR(IF(ISBLANK('BOM Loader'!$Y906), "", transpose(INDIRECT(SUBSTITUTE(SUBSTITUTE('BOM Loader'!$Y906,  " ",  ""),"-",  "")))),  "")</f>
        <v/>
      </c>
    </row>
    <row r="897">
      <c r="A897" t="str">
        <f t="array" ref="A897">IFERROR(IF(ISBLANK('BOM Loader'!$Y907), "", transpose(INDIRECT(SUBSTITUTE(SUBSTITUTE('BOM Loader'!$Y907,  " ",  ""),"-",  "")))),  "")</f>
        <v/>
      </c>
    </row>
    <row r="898">
      <c r="A898" t="str">
        <f t="array" ref="A898">IFERROR(IF(ISBLANK('BOM Loader'!$Y908), "", transpose(INDIRECT(SUBSTITUTE(SUBSTITUTE('BOM Loader'!$Y908,  " ",  ""),"-",  "")))),  "")</f>
        <v/>
      </c>
    </row>
    <row r="899">
      <c r="A899" t="str">
        <f t="array" ref="A899">IFERROR(IF(ISBLANK('BOM Loader'!$Y909), "", transpose(INDIRECT(SUBSTITUTE(SUBSTITUTE('BOM Loader'!$Y909,  " ",  ""),"-",  "")))),  "")</f>
        <v/>
      </c>
    </row>
    <row r="900">
      <c r="A900" t="str">
        <f t="array" ref="A900">IFERROR(IF(ISBLANK('BOM Loader'!$Y910), "", transpose(INDIRECT(SUBSTITUTE(SUBSTITUTE('BOM Loader'!$Y910,  " ",  ""),"-",  "")))),  "")</f>
        <v/>
      </c>
    </row>
    <row r="901">
      <c r="A901" t="str">
        <f t="array" ref="A901">IFERROR(IF(ISBLANK('BOM Loader'!$Y911), "", transpose(INDIRECT(SUBSTITUTE(SUBSTITUTE('BOM Loader'!$Y911,  " ",  ""),"-",  "")))),  "")</f>
        <v/>
      </c>
    </row>
    <row r="902">
      <c r="A902" t="str">
        <f t="array" ref="A902">IFERROR(IF(ISBLANK('BOM Loader'!$Y912), "", transpose(INDIRECT(SUBSTITUTE(SUBSTITUTE('BOM Loader'!$Y912,  " ",  ""),"-",  "")))),  "")</f>
        <v/>
      </c>
    </row>
    <row r="903">
      <c r="A903" t="str">
        <f t="array" ref="A903">IFERROR(IF(ISBLANK('BOM Loader'!$Y913), "", transpose(INDIRECT(SUBSTITUTE(SUBSTITUTE('BOM Loader'!$Y913,  " ",  ""),"-",  "")))),  "")</f>
        <v/>
      </c>
    </row>
    <row r="904">
      <c r="A904" t="str">
        <f t="array" ref="A904">IFERROR(IF(ISBLANK('BOM Loader'!$Y914), "", transpose(INDIRECT(SUBSTITUTE(SUBSTITUTE('BOM Loader'!$Y914,  " ",  ""),"-",  "")))),  "")</f>
        <v/>
      </c>
    </row>
    <row r="905">
      <c r="A905" t="str">
        <f t="array" ref="A905">IFERROR(IF(ISBLANK('BOM Loader'!$Y915), "", transpose(INDIRECT(SUBSTITUTE(SUBSTITUTE('BOM Loader'!$Y915,  " ",  ""),"-",  "")))),  "")</f>
        <v/>
      </c>
    </row>
    <row r="906">
      <c r="A906" t="str">
        <f t="array" ref="A906">IFERROR(IF(ISBLANK('BOM Loader'!$Y916), "", transpose(INDIRECT(SUBSTITUTE(SUBSTITUTE('BOM Loader'!$Y916,  " ",  ""),"-",  "")))),  "")</f>
        <v/>
      </c>
    </row>
    <row r="907">
      <c r="A907" t="str">
        <f t="array" ref="A907">IFERROR(IF(ISBLANK('BOM Loader'!$Y917), "", transpose(INDIRECT(SUBSTITUTE(SUBSTITUTE('BOM Loader'!$Y917,  " ",  ""),"-",  "")))),  "")</f>
        <v/>
      </c>
    </row>
    <row r="908">
      <c r="A908" t="str">
        <f t="array" ref="A908">IFERROR(IF(ISBLANK('BOM Loader'!$Y918), "", transpose(INDIRECT(SUBSTITUTE(SUBSTITUTE('BOM Loader'!$Y918,  " ",  ""),"-",  "")))),  "")</f>
        <v/>
      </c>
    </row>
    <row r="909">
      <c r="A909" t="str">
        <f t="array" ref="A909">IFERROR(IF(ISBLANK('BOM Loader'!$Y919), "", transpose(INDIRECT(SUBSTITUTE(SUBSTITUTE('BOM Loader'!$Y919,  " ",  ""),"-",  "")))),  "")</f>
        <v/>
      </c>
    </row>
    <row r="910">
      <c r="A910" t="str">
        <f t="array" ref="A910">IFERROR(IF(ISBLANK('BOM Loader'!$Y920), "", transpose(INDIRECT(SUBSTITUTE(SUBSTITUTE('BOM Loader'!$Y920,  " ",  ""),"-",  "")))),  "")</f>
        <v/>
      </c>
    </row>
    <row r="911">
      <c r="A911" t="str">
        <f t="array" ref="A911">IFERROR(IF(ISBLANK('BOM Loader'!$Y921), "", transpose(INDIRECT(SUBSTITUTE(SUBSTITUTE('BOM Loader'!$Y921,  " ",  ""),"-",  "")))),  "")</f>
        <v/>
      </c>
    </row>
    <row r="912">
      <c r="A912" t="str">
        <f t="array" ref="A912">IFERROR(IF(ISBLANK('BOM Loader'!$Y922), "", transpose(INDIRECT(SUBSTITUTE(SUBSTITUTE('BOM Loader'!$Y922,  " ",  ""),"-",  "")))),  "")</f>
        <v/>
      </c>
    </row>
    <row r="913">
      <c r="A913" t="str">
        <f t="array" ref="A913">IFERROR(IF(ISBLANK('BOM Loader'!$Y923), "", transpose(INDIRECT(SUBSTITUTE(SUBSTITUTE('BOM Loader'!$Y923,  " ",  ""),"-",  "")))),  "")</f>
        <v/>
      </c>
    </row>
    <row r="914">
      <c r="A914" t="str">
        <f t="array" ref="A914">IFERROR(IF(ISBLANK('BOM Loader'!$Y924), "", transpose(INDIRECT(SUBSTITUTE(SUBSTITUTE('BOM Loader'!$Y924,  " ",  ""),"-",  "")))),  "")</f>
        <v/>
      </c>
    </row>
    <row r="915">
      <c r="A915" t="str">
        <f t="array" ref="A915">IFERROR(IF(ISBLANK('BOM Loader'!$Y925), "", transpose(INDIRECT(SUBSTITUTE(SUBSTITUTE('BOM Loader'!$Y925,  " ",  ""),"-",  "")))),  "")</f>
        <v/>
      </c>
    </row>
    <row r="916">
      <c r="A916" t="str">
        <f t="array" ref="A916">IFERROR(IF(ISBLANK('BOM Loader'!$Y926), "", transpose(INDIRECT(SUBSTITUTE(SUBSTITUTE('BOM Loader'!$Y926,  " ",  ""),"-",  "")))),  "")</f>
        <v/>
      </c>
    </row>
    <row r="917">
      <c r="A917" t="str">
        <f t="array" ref="A917">IFERROR(IF(ISBLANK('BOM Loader'!$Y927), "", transpose(INDIRECT(SUBSTITUTE(SUBSTITUTE('BOM Loader'!$Y927,  " ",  ""),"-",  "")))),  "")</f>
        <v/>
      </c>
    </row>
    <row r="918">
      <c r="A918" t="str">
        <f t="array" ref="A918">IFERROR(IF(ISBLANK('BOM Loader'!$Y928), "", transpose(INDIRECT(SUBSTITUTE(SUBSTITUTE('BOM Loader'!$Y928,  " ",  ""),"-",  "")))),  "")</f>
        <v/>
      </c>
    </row>
    <row r="919">
      <c r="A919" t="str">
        <f t="array" ref="A919">IFERROR(IF(ISBLANK('BOM Loader'!$Y929), "", transpose(INDIRECT(SUBSTITUTE(SUBSTITUTE('BOM Loader'!$Y929,  " ",  ""),"-",  "")))),  "")</f>
        <v/>
      </c>
    </row>
    <row r="920">
      <c r="A920" t="str">
        <f t="array" ref="A920">IFERROR(IF(ISBLANK('BOM Loader'!$Y930), "", transpose(INDIRECT(SUBSTITUTE(SUBSTITUTE('BOM Loader'!$Y930,  " ",  ""),"-",  "")))),  "")</f>
        <v/>
      </c>
    </row>
    <row r="921">
      <c r="A921" t="str">
        <f t="array" ref="A921">IFERROR(IF(ISBLANK('BOM Loader'!$Y931), "", transpose(INDIRECT(SUBSTITUTE(SUBSTITUTE('BOM Loader'!$Y931,  " ",  ""),"-",  "")))),  "")</f>
        <v/>
      </c>
    </row>
    <row r="922">
      <c r="A922" t="str">
        <f t="array" ref="A922">IFERROR(IF(ISBLANK('BOM Loader'!$Y932), "", transpose(INDIRECT(SUBSTITUTE(SUBSTITUTE('BOM Loader'!$Y932,  " ",  ""),"-",  "")))),  "")</f>
        <v/>
      </c>
    </row>
    <row r="923">
      <c r="A923" t="str">
        <f t="array" ref="A923">IFERROR(IF(ISBLANK('BOM Loader'!$Y933), "", transpose(INDIRECT(SUBSTITUTE(SUBSTITUTE('BOM Loader'!$Y933,  " ",  ""),"-",  "")))),  "")</f>
        <v/>
      </c>
    </row>
    <row r="924">
      <c r="A924" t="str">
        <f t="array" ref="A924">IFERROR(IF(ISBLANK('BOM Loader'!$Y934), "", transpose(INDIRECT(SUBSTITUTE(SUBSTITUTE('BOM Loader'!$Y934,  " ",  ""),"-",  "")))),  "")</f>
        <v/>
      </c>
    </row>
    <row r="925">
      <c r="A925" t="str">
        <f t="array" ref="A925">IFERROR(IF(ISBLANK('BOM Loader'!$Y935), "", transpose(INDIRECT(SUBSTITUTE(SUBSTITUTE('BOM Loader'!$Y935,  " ",  ""),"-",  "")))),  "")</f>
        <v/>
      </c>
    </row>
    <row r="926">
      <c r="A926" t="str">
        <f t="array" ref="A926">IFERROR(IF(ISBLANK('BOM Loader'!$Y936), "", transpose(INDIRECT(SUBSTITUTE(SUBSTITUTE('BOM Loader'!$Y936,  " ",  ""),"-",  "")))),  "")</f>
        <v/>
      </c>
    </row>
    <row r="927">
      <c r="A927" t="str">
        <f t="array" ref="A927">IFERROR(IF(ISBLANK('BOM Loader'!$Y937), "", transpose(INDIRECT(SUBSTITUTE(SUBSTITUTE('BOM Loader'!$Y937,  " ",  ""),"-",  "")))),  "")</f>
        <v/>
      </c>
    </row>
    <row r="928">
      <c r="A928" t="str">
        <f t="array" ref="A928">IFERROR(IF(ISBLANK('BOM Loader'!$Y938), "", transpose(INDIRECT(SUBSTITUTE(SUBSTITUTE('BOM Loader'!$Y938,  " ",  ""),"-",  "")))),  "")</f>
        <v/>
      </c>
    </row>
    <row r="929">
      <c r="A929" t="str">
        <f t="array" ref="A929">IFERROR(IF(ISBLANK('BOM Loader'!$Y939), "", transpose(INDIRECT(SUBSTITUTE(SUBSTITUTE('BOM Loader'!$Y939,  " ",  ""),"-",  "")))),  "")</f>
        <v/>
      </c>
    </row>
    <row r="930">
      <c r="A930" t="str">
        <f t="array" ref="A930">IFERROR(IF(ISBLANK('BOM Loader'!$Y940), "", transpose(INDIRECT(SUBSTITUTE(SUBSTITUTE('BOM Loader'!$Y940,  " ",  ""),"-",  "")))),  "")</f>
        <v/>
      </c>
    </row>
    <row r="931">
      <c r="A931" t="str">
        <f t="array" ref="A931">IFERROR(IF(ISBLANK('BOM Loader'!$Y941), "", transpose(INDIRECT(SUBSTITUTE(SUBSTITUTE('BOM Loader'!$Y941,  " ",  ""),"-",  "")))),  "")</f>
        <v/>
      </c>
    </row>
    <row r="932">
      <c r="A932" t="str">
        <f t="array" ref="A932">IFERROR(IF(ISBLANK('BOM Loader'!$Y942), "", transpose(INDIRECT(SUBSTITUTE(SUBSTITUTE('BOM Loader'!$Y942,  " ",  ""),"-",  "")))),  "")</f>
        <v/>
      </c>
    </row>
    <row r="933">
      <c r="A933" t="str">
        <f t="array" ref="A933">IFERROR(IF(ISBLANK('BOM Loader'!$Y943), "", transpose(INDIRECT(SUBSTITUTE(SUBSTITUTE('BOM Loader'!$Y943,  " ",  ""),"-",  "")))),  "")</f>
        <v/>
      </c>
    </row>
    <row r="934">
      <c r="A934" t="str">
        <f t="array" ref="A934">IFERROR(IF(ISBLANK('BOM Loader'!$Y944), "", transpose(INDIRECT(SUBSTITUTE(SUBSTITUTE('BOM Loader'!$Y944,  " ",  ""),"-",  "")))),  "")</f>
        <v/>
      </c>
    </row>
    <row r="935">
      <c r="A935" t="str">
        <f t="array" ref="A935">IFERROR(IF(ISBLANK('BOM Loader'!$Y945), "", transpose(INDIRECT(SUBSTITUTE(SUBSTITUTE('BOM Loader'!$Y945,  " ",  ""),"-",  "")))),  "")</f>
        <v/>
      </c>
    </row>
    <row r="936">
      <c r="A936" t="str">
        <f t="array" ref="A936">IFERROR(IF(ISBLANK('BOM Loader'!$Y946), "", transpose(INDIRECT(SUBSTITUTE(SUBSTITUTE('BOM Loader'!$Y946,  " ",  ""),"-",  "")))),  "")</f>
        <v/>
      </c>
    </row>
    <row r="937">
      <c r="A937" t="str">
        <f t="array" ref="A937">IFERROR(IF(ISBLANK('BOM Loader'!$Y947), "", transpose(INDIRECT(SUBSTITUTE(SUBSTITUTE('BOM Loader'!$Y947,  " ",  ""),"-",  "")))),  "")</f>
        <v/>
      </c>
    </row>
    <row r="938">
      <c r="A938" t="str">
        <f t="array" ref="A938">IFERROR(IF(ISBLANK('BOM Loader'!$Y948), "", transpose(INDIRECT(SUBSTITUTE(SUBSTITUTE('BOM Loader'!$Y948,  " ",  ""),"-",  "")))),  "")</f>
        <v/>
      </c>
    </row>
    <row r="939">
      <c r="A939" t="str">
        <f t="array" ref="A939">IFERROR(IF(ISBLANK('BOM Loader'!$Y949), "", transpose(INDIRECT(SUBSTITUTE(SUBSTITUTE('BOM Loader'!$Y949,  " ",  ""),"-",  "")))),  "")</f>
        <v/>
      </c>
    </row>
    <row r="940">
      <c r="A940" t="str">
        <f t="array" ref="A940">IFERROR(IF(ISBLANK('BOM Loader'!$Y950), "", transpose(INDIRECT(SUBSTITUTE(SUBSTITUTE('BOM Loader'!$Y950,  " ",  ""),"-",  "")))),  "")</f>
        <v/>
      </c>
    </row>
    <row r="941">
      <c r="A941" t="str">
        <f t="array" ref="A941">IFERROR(IF(ISBLANK('BOM Loader'!$Y951), "", transpose(INDIRECT(SUBSTITUTE(SUBSTITUTE('BOM Loader'!$Y951,  " ",  ""),"-",  "")))),  "")</f>
        <v/>
      </c>
    </row>
    <row r="942">
      <c r="A942" t="str">
        <f t="array" ref="A942">IFERROR(IF(ISBLANK('BOM Loader'!$Y952), "", transpose(INDIRECT(SUBSTITUTE(SUBSTITUTE('BOM Loader'!$Y952,  " ",  ""),"-",  "")))),  "")</f>
        <v/>
      </c>
    </row>
    <row r="943">
      <c r="A943" t="str">
        <f t="array" ref="A943">IFERROR(IF(ISBLANK('BOM Loader'!$Y953), "", transpose(INDIRECT(SUBSTITUTE(SUBSTITUTE('BOM Loader'!$Y953,  " ",  ""),"-",  "")))),  "")</f>
        <v/>
      </c>
    </row>
    <row r="944">
      <c r="A944" t="str">
        <f t="array" ref="A944">IFERROR(IF(ISBLANK('BOM Loader'!$Y954), "", transpose(INDIRECT(SUBSTITUTE(SUBSTITUTE('BOM Loader'!$Y954,  " ",  ""),"-",  "")))),  "")</f>
        <v/>
      </c>
    </row>
    <row r="945">
      <c r="A945" t="str">
        <f t="array" ref="A945">IFERROR(IF(ISBLANK('BOM Loader'!$Y955), "", transpose(INDIRECT(SUBSTITUTE(SUBSTITUTE('BOM Loader'!$Y955,  " ",  ""),"-",  "")))),  "")</f>
        <v/>
      </c>
    </row>
    <row r="946">
      <c r="A946" t="str">
        <f t="array" ref="A946">IFERROR(IF(ISBLANK('BOM Loader'!$Y956), "", transpose(INDIRECT(SUBSTITUTE(SUBSTITUTE('BOM Loader'!$Y956,  " ",  ""),"-",  "")))),  "")</f>
        <v/>
      </c>
    </row>
    <row r="947">
      <c r="A947" t="str">
        <f t="array" ref="A947">IFERROR(IF(ISBLANK('BOM Loader'!$Y957), "", transpose(INDIRECT(SUBSTITUTE(SUBSTITUTE('BOM Loader'!$Y957,  " ",  ""),"-",  "")))),  "")</f>
        <v/>
      </c>
    </row>
    <row r="948">
      <c r="A948" t="str">
        <f t="array" ref="A948">IFERROR(IF(ISBLANK('BOM Loader'!$Y958), "", transpose(INDIRECT(SUBSTITUTE(SUBSTITUTE('BOM Loader'!$Y958,  " ",  ""),"-",  "")))),  "")</f>
        <v/>
      </c>
    </row>
    <row r="949">
      <c r="A949" t="str">
        <f t="array" ref="A949">IFERROR(IF(ISBLANK('BOM Loader'!$Y959), "", transpose(INDIRECT(SUBSTITUTE(SUBSTITUTE('BOM Loader'!$Y959,  " ",  ""),"-",  "")))),  "")</f>
        <v/>
      </c>
    </row>
    <row r="950">
      <c r="A950" t="str">
        <f t="array" ref="A950">IFERROR(IF(ISBLANK('BOM Loader'!$Y960), "", transpose(INDIRECT(SUBSTITUTE(SUBSTITUTE('BOM Loader'!$Y960,  " ",  ""),"-",  "")))),  "")</f>
        <v/>
      </c>
    </row>
    <row r="951">
      <c r="A951" t="str">
        <f t="array" ref="A951">IFERROR(IF(ISBLANK('BOM Loader'!$Y961), "", transpose(INDIRECT(SUBSTITUTE(SUBSTITUTE('BOM Loader'!$Y961,  " ",  ""),"-",  "")))),  "")</f>
        <v/>
      </c>
    </row>
    <row r="952">
      <c r="A952" t="str">
        <f t="array" ref="A952">IFERROR(IF(ISBLANK('BOM Loader'!$Y962), "", transpose(INDIRECT(SUBSTITUTE(SUBSTITUTE('BOM Loader'!$Y962,  " ",  ""),"-",  "")))),  "")</f>
        <v/>
      </c>
    </row>
    <row r="953">
      <c r="A953" t="str">
        <f t="array" ref="A953">IFERROR(IF(ISBLANK('BOM Loader'!$Y963), "", transpose(INDIRECT(SUBSTITUTE(SUBSTITUTE('BOM Loader'!$Y963,  " ",  ""),"-",  "")))),  "")</f>
        <v/>
      </c>
    </row>
    <row r="954">
      <c r="A954" t="str">
        <f t="array" ref="A954">IFERROR(IF(ISBLANK('BOM Loader'!$Y964), "", transpose(INDIRECT(SUBSTITUTE(SUBSTITUTE('BOM Loader'!$Y964,  " ",  ""),"-",  "")))),  "")</f>
        <v/>
      </c>
    </row>
    <row r="955">
      <c r="A955" t="str">
        <f t="array" ref="A955">IFERROR(IF(ISBLANK('BOM Loader'!$Y965), "", transpose(INDIRECT(SUBSTITUTE(SUBSTITUTE('BOM Loader'!$Y965,  " ",  ""),"-",  "")))),  "")</f>
        <v/>
      </c>
    </row>
    <row r="956">
      <c r="A956" t="str">
        <f t="array" ref="A956">IFERROR(IF(ISBLANK('BOM Loader'!$Y966), "", transpose(INDIRECT(SUBSTITUTE(SUBSTITUTE('BOM Loader'!$Y966,  " ",  ""),"-",  "")))),  "")</f>
        <v/>
      </c>
    </row>
    <row r="957">
      <c r="A957" t="str">
        <f t="array" ref="A957">IFERROR(IF(ISBLANK('BOM Loader'!$Y967), "", transpose(INDIRECT(SUBSTITUTE(SUBSTITUTE('BOM Loader'!$Y967,  " ",  ""),"-",  "")))),  "")</f>
        <v/>
      </c>
    </row>
    <row r="958">
      <c r="A958" t="str">
        <f t="array" ref="A958">IFERROR(IF(ISBLANK('BOM Loader'!$Y968), "", transpose(INDIRECT(SUBSTITUTE(SUBSTITUTE('BOM Loader'!$Y968,  " ",  ""),"-",  "")))),  "")</f>
        <v/>
      </c>
    </row>
    <row r="959">
      <c r="A959" t="str">
        <f t="array" ref="A959">IFERROR(IF(ISBLANK('BOM Loader'!$Y969), "", transpose(INDIRECT(SUBSTITUTE(SUBSTITUTE('BOM Loader'!$Y969,  " ",  ""),"-",  "")))),  "")</f>
        <v/>
      </c>
    </row>
    <row r="960">
      <c r="A960" t="str">
        <f t="array" ref="A960">IFERROR(IF(ISBLANK('BOM Loader'!$Y970), "", transpose(INDIRECT(SUBSTITUTE(SUBSTITUTE('BOM Loader'!$Y970,  " ",  ""),"-",  "")))),  "")</f>
        <v/>
      </c>
    </row>
    <row r="961">
      <c r="A961" t="str">
        <f t="array" ref="A961">IFERROR(IF(ISBLANK('BOM Loader'!$Y971), "", transpose(INDIRECT(SUBSTITUTE(SUBSTITUTE('BOM Loader'!$Y971,  " ",  ""),"-",  "")))),  "")</f>
        <v/>
      </c>
    </row>
    <row r="962">
      <c r="A962" t="str">
        <f t="array" ref="A962">IFERROR(IF(ISBLANK('BOM Loader'!$Y972), "", transpose(INDIRECT(SUBSTITUTE(SUBSTITUTE('BOM Loader'!$Y972,  " ",  ""),"-",  "")))),  "")</f>
        <v/>
      </c>
    </row>
    <row r="963">
      <c r="A963" t="str">
        <f t="array" ref="A963">IFERROR(IF(ISBLANK('BOM Loader'!$Y973), "", transpose(INDIRECT(SUBSTITUTE(SUBSTITUTE('BOM Loader'!$Y973,  " ",  ""),"-",  "")))),  "")</f>
        <v/>
      </c>
    </row>
    <row r="964">
      <c r="A964" t="str">
        <f t="array" ref="A964">IFERROR(IF(ISBLANK('BOM Loader'!$Y974), "", transpose(INDIRECT(SUBSTITUTE(SUBSTITUTE('BOM Loader'!$Y974,  " ",  ""),"-",  "")))),  "")</f>
        <v/>
      </c>
    </row>
    <row r="965">
      <c r="A965" t="str">
        <f t="array" ref="A965">IFERROR(IF(ISBLANK('BOM Loader'!$Y975), "", transpose(INDIRECT(SUBSTITUTE(SUBSTITUTE('BOM Loader'!$Y975,  " ",  ""),"-",  "")))),  "")</f>
        <v/>
      </c>
    </row>
    <row r="966">
      <c r="A966" t="str">
        <f t="array" ref="A966">IFERROR(IF(ISBLANK('BOM Loader'!$Y976), "", transpose(INDIRECT(SUBSTITUTE(SUBSTITUTE('BOM Loader'!$Y976,  " ",  ""),"-",  "")))),  "")</f>
        <v/>
      </c>
    </row>
    <row r="967">
      <c r="A967" t="str">
        <f t="array" ref="A967">IFERROR(IF(ISBLANK('BOM Loader'!$Y977), "", transpose(INDIRECT(SUBSTITUTE(SUBSTITUTE('BOM Loader'!$Y977,  " ",  ""),"-",  "")))),  "")</f>
        <v/>
      </c>
    </row>
    <row r="968">
      <c r="A968" t="str">
        <f t="array" ref="A968">IFERROR(IF(ISBLANK('BOM Loader'!$Y978), "", transpose(INDIRECT(SUBSTITUTE(SUBSTITUTE('BOM Loader'!$Y978,  " ",  ""),"-",  "")))),  "")</f>
        <v/>
      </c>
    </row>
    <row r="969">
      <c r="A969" t="str">
        <f t="array" ref="A969">IFERROR(IF(ISBLANK('BOM Loader'!$Y979), "", transpose(INDIRECT(SUBSTITUTE(SUBSTITUTE('BOM Loader'!$Y979,  " ",  ""),"-",  "")))),  "")</f>
        <v/>
      </c>
    </row>
    <row r="970">
      <c r="A970" t="str">
        <f t="array" ref="A970">IFERROR(IF(ISBLANK('BOM Loader'!$Y980), "", transpose(INDIRECT(SUBSTITUTE(SUBSTITUTE('BOM Loader'!$Y980,  " ",  ""),"-",  "")))),  "")</f>
        <v/>
      </c>
    </row>
    <row r="971">
      <c r="A971" t="str">
        <f t="array" ref="A971">IFERROR(IF(ISBLANK('BOM Loader'!$Y981), "", transpose(INDIRECT(SUBSTITUTE(SUBSTITUTE('BOM Loader'!$Y981,  " ",  ""),"-",  "")))),  "")</f>
        <v/>
      </c>
    </row>
    <row r="972">
      <c r="A972" t="str">
        <f t="array" ref="A972">IFERROR(IF(ISBLANK('BOM Loader'!$Y982), "", transpose(INDIRECT(SUBSTITUTE(SUBSTITUTE('BOM Loader'!$Y982,  " ",  ""),"-",  "")))),  "")</f>
        <v/>
      </c>
    </row>
    <row r="973">
      <c r="A973" t="str">
        <f t="array" ref="A973">IFERROR(IF(ISBLANK('BOM Loader'!$Y983), "", transpose(INDIRECT(SUBSTITUTE(SUBSTITUTE('BOM Loader'!$Y983,  " ",  ""),"-",  "")))),  "")</f>
        <v/>
      </c>
    </row>
    <row r="974">
      <c r="A974" t="str">
        <f t="array" ref="A974">IFERROR(IF(ISBLANK('BOM Loader'!$Y984), "", transpose(INDIRECT(SUBSTITUTE(SUBSTITUTE('BOM Loader'!$Y984,  " ",  ""),"-",  "")))),  "")</f>
        <v/>
      </c>
    </row>
    <row r="975">
      <c r="A975" t="str">
        <f t="array" ref="A975">IFERROR(IF(ISBLANK('BOM Loader'!$Y985), "", transpose(INDIRECT(SUBSTITUTE(SUBSTITUTE('BOM Loader'!$Y985,  " ",  ""),"-",  "")))),  "")</f>
        <v/>
      </c>
    </row>
    <row r="976">
      <c r="A976" t="str">
        <f t="array" ref="A976">IFERROR(IF(ISBLANK('BOM Loader'!$Y986), "", transpose(INDIRECT(SUBSTITUTE(SUBSTITUTE('BOM Loader'!$Y986,  " ",  ""),"-",  "")))),  "")</f>
        <v/>
      </c>
    </row>
    <row r="977">
      <c r="A977" t="str">
        <f t="array" ref="A977">IFERROR(IF(ISBLANK('BOM Loader'!$Y987), "", transpose(INDIRECT(SUBSTITUTE(SUBSTITUTE('BOM Loader'!$Y987,  " ",  ""),"-",  "")))),  "")</f>
        <v/>
      </c>
    </row>
    <row r="978">
      <c r="A978" t="str">
        <f t="array" ref="A978">IFERROR(IF(ISBLANK('BOM Loader'!$Y988), "", transpose(INDIRECT(SUBSTITUTE(SUBSTITUTE('BOM Loader'!$Y988,  " ",  ""),"-",  "")))),  "")</f>
        <v/>
      </c>
    </row>
    <row r="979">
      <c r="A979" t="str">
        <f t="array" ref="A979">IFERROR(IF(ISBLANK('BOM Loader'!$Y989), "", transpose(INDIRECT(SUBSTITUTE(SUBSTITUTE('BOM Loader'!$Y989,  " ",  ""),"-",  "")))),  "")</f>
        <v/>
      </c>
    </row>
    <row r="980">
      <c r="A980" t="str">
        <f t="array" ref="A980">IFERROR(IF(ISBLANK('BOM Loader'!$Y990), "", transpose(INDIRECT(SUBSTITUTE(SUBSTITUTE('BOM Loader'!$Y990,  " ",  ""),"-",  "")))),  "")</f>
        <v/>
      </c>
    </row>
    <row r="981">
      <c r="A981" t="str">
        <f t="array" ref="A981">IFERROR(IF(ISBLANK('BOM Loader'!$Y991), "", transpose(INDIRECT(SUBSTITUTE(SUBSTITUTE('BOM Loader'!$Y991,  " ",  ""),"-",  "")))),  "")</f>
        <v/>
      </c>
    </row>
    <row r="982">
      <c r="A982" t="str">
        <f t="array" ref="A982">IFERROR(IF(ISBLANK('BOM Loader'!$Y992), "", transpose(INDIRECT(SUBSTITUTE(SUBSTITUTE('BOM Loader'!$Y992,  " ",  ""),"-",  "")))),  "")</f>
        <v/>
      </c>
    </row>
    <row r="983">
      <c r="A983" t="str">
        <f t="array" ref="A983">IFERROR(IF(ISBLANK('BOM Loader'!$Y993), "", transpose(INDIRECT(SUBSTITUTE(SUBSTITUTE('BOM Loader'!$Y993,  " ",  ""),"-",  "")))),  "")</f>
        <v/>
      </c>
    </row>
    <row r="984">
      <c r="A984" t="str">
        <f t="array" ref="A984">IFERROR(IF(ISBLANK('BOM Loader'!$Y994), "", transpose(INDIRECT(SUBSTITUTE(SUBSTITUTE('BOM Loader'!$Y994,  " ",  ""),"-",  "")))),  "")</f>
        <v/>
      </c>
    </row>
    <row r="985">
      <c r="A985" t="str">
        <f t="array" ref="A985">IFERROR(IF(ISBLANK('BOM Loader'!$Y995), "", transpose(INDIRECT(SUBSTITUTE(SUBSTITUTE('BOM Loader'!$Y995,  " ",  ""),"-",  "")))),  "")</f>
        <v/>
      </c>
    </row>
    <row r="986">
      <c r="A986" t="str">
        <f t="array" ref="A986">IFERROR(IF(ISBLANK('BOM Loader'!$Y996), "", transpose(INDIRECT(SUBSTITUTE(SUBSTITUTE('BOM Loader'!$Y996,  " ",  ""),"-",  "")))),  "")</f>
        <v/>
      </c>
    </row>
    <row r="987">
      <c r="A987" t="str">
        <f t="array" ref="A987">IFERROR(IF(ISBLANK('BOM Loader'!$Y997), "", transpose(INDIRECT(SUBSTITUTE(SUBSTITUTE('BOM Loader'!$Y997,  " ",  ""),"-",  "")))),  "")</f>
        <v/>
      </c>
    </row>
    <row r="988">
      <c r="A988" t="str">
        <f t="array" ref="A988">IFERROR(IF(ISBLANK('BOM Loader'!$Y998), "", transpose(INDIRECT(SUBSTITUTE(SUBSTITUTE('BOM Loader'!$Y998,  " ",  ""),"-",  "")))),  "")</f>
        <v/>
      </c>
    </row>
    <row r="989">
      <c r="A989" t="str">
        <f t="array" ref="A989">IFERROR(IF(ISBLANK('BOM Loader'!$Y999), "", transpose(INDIRECT(SUBSTITUTE(SUBSTITUTE('BOM Loader'!$Y999,  " ",  ""),"-",  "")))),  "")</f>
        <v/>
      </c>
    </row>
    <row r="990">
      <c r="A990" t="str">
        <f t="array" ref="A990">IFERROR(IF(ISBLANK('BOM Loader'!$Y1000), "", transpose(INDIRECT(SUBSTITUTE(SUBSTITUTE('BOM Loader'!$Y1000,  " ",  ""),"-",  "")))),  "")</f>
        <v/>
      </c>
    </row>
    <row r="991">
      <c r="A991" t="str">
        <f t="array" ref="A991">IFERROR(IF(ISBLANK('BOM Loader'!$Y1001), "", transpose(INDIRECT(SUBSTITUTE(SUBSTITUTE('BOM Loader'!$Y1001,  " ",  ""),"-",  "")))),  "")</f>
        <v/>
      </c>
    </row>
    <row r="992">
      <c r="A992" t="str">
        <f t="array" ref="A992">IFERROR(IF(ISBLANK('BOM Loader'!$Y1002), "", transpose(INDIRECT(SUBSTITUTE(SUBSTITUTE('BOM Loader'!$Y1002,  " ",  ""),"-",  "")))),  "")</f>
        <v/>
      </c>
    </row>
    <row r="993">
      <c r="A993" t="str">
        <f t="array" ref="A993">IFERROR(IF(ISBLANK('BOM Loader'!$Y1003), "", transpose(INDIRECT(SUBSTITUTE(SUBSTITUTE('BOM Loader'!$Y1003,  " ",  ""),"-",  "")))),  "")</f>
        <v/>
      </c>
    </row>
    <row r="994">
      <c r="A994" t="str">
        <f t="array" ref="A994">IFERROR(IF(ISBLANK('BOM Loader'!$Y1004), "", transpose(INDIRECT(SUBSTITUTE(SUBSTITUTE('BOM Loader'!$Y1004,  " ",  ""),"-",  "")))),  "")</f>
        <v/>
      </c>
    </row>
    <row r="995">
      <c r="A995" t="str">
        <f t="array" ref="A995">IFERROR(IF(ISBLANK('BOM Loader'!$Y1005), "", transpose(INDIRECT(SUBSTITUTE(SUBSTITUTE('BOM Loader'!$Y1005,  " ",  ""),"-",  "")))),  "")</f>
        <v/>
      </c>
    </row>
    <row r="996">
      <c r="A996" t="str">
        <f t="array" ref="A996">IFERROR(IF(ISBLANK('BOM Loader'!$Y1006), "", transpose(INDIRECT(SUBSTITUTE(SUBSTITUTE('BOM Loader'!$Y1006,  " ",  ""),"-",  "")))),  "")</f>
        <v/>
      </c>
    </row>
    <row r="997">
      <c r="A997" t="str">
        <f t="array" ref="A997">IFERROR(IF(ISBLANK('BOM Loader'!$Y1007), "", transpose(INDIRECT(SUBSTITUTE(SUBSTITUTE('BOM Loader'!$Y1007,  " ",  ""),"-",  "")))),  "")</f>
        <v/>
      </c>
    </row>
    <row r="998">
      <c r="A998" t="str">
        <f t="array" ref="A998">IFERROR(IF(ISBLANK('BOM Loader'!$Y1008), "", transpose(INDIRECT(SUBSTITUTE(SUBSTITUTE('BOM Loader'!$Y1008,  " ",  ""),"-",  "")))),  "")</f>
        <v/>
      </c>
    </row>
    <row r="999">
      <c r="A999" t="str">
        <f t="array" ref="A999">IFERROR(IF(ISBLANK('BOM Loader'!$Y1009), "", transpose(INDIRECT(SUBSTITUTE(SUBSTITUTE('BOM Loader'!$Y1009,  " ",  ""),"-",  "")))),  "")</f>
        <v/>
      </c>
    </row>
    <row r="1000">
      <c r="A1000" t="str">
        <f t="array" ref="A1000">IFERROR(IF(ISBLANK('BOM Loader'!$Y1010), "", transpose(INDIRECT(SUBSTITUTE(SUBSTITUTE('BOM Loader'!$Y1010,  " ",  ""),"-",  "")))),  "")</f>
        <v/>
      </c>
    </row>
  </sheetData>
  <drawing r:id="rId1"/>
</worksheet>
</file>