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11791017" sheetId="1" r:id="rId5"/>
    <sheet state="visible" name="W11791018" sheetId="2" r:id="rId6"/>
    <sheet state="visible" name="W11796808" sheetId="3" r:id="rId7"/>
    <sheet state="visible" name="W11796809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4">
      <text>
        <t xml:space="preserve">Qty - 2</t>
      </text>
    </comment>
    <comment authorId="0" ref="M15">
      <text>
        <t xml:space="preserve">Qty - 2</t>
      </text>
    </comment>
    <comment authorId="0" ref="F28">
      <text>
        <t xml:space="preserve">Labor Rate $/hr</t>
      </text>
    </comment>
    <comment authorId="0" ref="K28">
      <text>
        <t xml:space="preserve">Labor Rate $/hr</t>
      </text>
    </comment>
    <comment authorId="0" ref="P28">
      <text>
        <t xml:space="preserve">Labor Rate $/hr</t>
      </text>
    </comment>
    <comment authorId="0" ref="F29">
      <text>
        <t xml:space="preserve">Total Overhead rate $/Hr</t>
      </text>
    </comment>
    <comment authorId="0" ref="K29">
      <text>
        <t xml:space="preserve">Total Overhead rate $/Hr</t>
      </text>
    </comment>
    <comment authorId="0" ref="B30">
      <text>
        <t xml:space="preserve">Labor plus burden cost. Examples: pad printing, painting, plating, laser marking, etc.</t>
      </text>
    </comment>
    <comment authorId="0" ref="F30">
      <text>
        <t xml:space="preserve">Parts per hr</t>
      </text>
    </comment>
    <comment authorId="0" ref="G30">
      <text>
        <t xml:space="preserve">Labor plus burden cost. Examples: pad printing, painting, plating, laser marking, etc.</t>
      </text>
    </comment>
    <comment authorId="0" ref="K30">
      <text>
        <t xml:space="preserve">Parts per hr</t>
      </text>
    </comment>
    <comment authorId="0" ref="L30">
      <text>
        <t xml:space="preserve">Labor plus burden cost. Examples: pad printing, painting, plating, laser marking, etc.</t>
      </text>
    </comment>
    <comment authorId="0" ref="P30">
      <text>
        <t xml:space="preserve">Parts per hr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4">
      <text>
        <t xml:space="preserve">Qty - 2</t>
      </text>
    </comment>
    <comment authorId="0" ref="M15">
      <text>
        <t xml:space="preserve">Qty - 2</t>
      </text>
    </comment>
    <comment authorId="0" ref="F28">
      <text>
        <t xml:space="preserve">Labor Rate $/hr</t>
      </text>
    </comment>
    <comment authorId="0" ref="K28">
      <text>
        <t xml:space="preserve">Labor Rate $/hr</t>
      </text>
    </comment>
    <comment authorId="0" ref="P28">
      <text>
        <t xml:space="preserve">Labor Rate $/hr</t>
      </text>
    </comment>
    <comment authorId="0" ref="F29">
      <text>
        <t xml:space="preserve">Total Overhead rate $/Hr</t>
      </text>
    </comment>
    <comment authorId="0" ref="K29">
      <text>
        <t xml:space="preserve">Total Overhead rate $/Hr</t>
      </text>
    </comment>
    <comment authorId="0" ref="B30">
      <text>
        <t xml:space="preserve">Labor plus burden cost. Examples: pad printing, painting, plating, laser marking, etc.</t>
      </text>
    </comment>
    <comment authorId="0" ref="F30">
      <text>
        <t xml:space="preserve">Parts per hr</t>
      </text>
    </comment>
    <comment authorId="0" ref="G30">
      <text>
        <t xml:space="preserve">Labor plus burden cost. Examples: pad printing, painting, plating, laser marking, etc.</t>
      </text>
    </comment>
    <comment authorId="0" ref="K30">
      <text>
        <t xml:space="preserve">Parts per hr</t>
      </text>
    </comment>
    <comment authorId="0" ref="L30">
      <text>
        <t xml:space="preserve">Labor plus burden cost. Examples: pad printing, painting, plating, laser marking, etc.</t>
      </text>
    </comment>
    <comment authorId="0" ref="P30">
      <text>
        <t xml:space="preserve">Parts per hr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4">
      <text>
        <t xml:space="preserve">Qty - 2</t>
      </text>
    </comment>
    <comment authorId="0" ref="M15">
      <text>
        <t xml:space="preserve">Qty - 2</t>
      </text>
    </comment>
    <comment authorId="0" ref="F28">
      <text>
        <t xml:space="preserve">Labor Rate $/hr</t>
      </text>
    </comment>
    <comment authorId="0" ref="K28">
      <text>
        <t xml:space="preserve">Labor Rate $/hr</t>
      </text>
    </comment>
    <comment authorId="0" ref="P28">
      <text>
        <t xml:space="preserve">Labor Rate $/hr</t>
      </text>
    </comment>
    <comment authorId="0" ref="F29">
      <text>
        <t xml:space="preserve">Total Overhead rate $/Hr</t>
      </text>
    </comment>
    <comment authorId="0" ref="K29">
      <text>
        <t xml:space="preserve">Total Overhead rate $/Hr</t>
      </text>
    </comment>
    <comment authorId="0" ref="B30">
      <text>
        <t xml:space="preserve">Labor plus burden cost. Examples: pad printing, painting, plating, laser marking, etc.</t>
      </text>
    </comment>
    <comment authorId="0" ref="F30">
      <text>
        <t xml:space="preserve">Parts per hr</t>
      </text>
    </comment>
    <comment authorId="0" ref="G30">
      <text>
        <t xml:space="preserve">Labor plus burden cost. Examples: pad printing, painting, plating, laser marking, etc.</t>
      </text>
    </comment>
    <comment authorId="0" ref="K30">
      <text>
        <t xml:space="preserve">Parts per hr</t>
      </text>
    </comment>
    <comment authorId="0" ref="L30">
      <text>
        <t xml:space="preserve">Labor plus burden cost. Examples: pad printing, painting, plating, laser marking, etc.</t>
      </text>
    </comment>
    <comment authorId="0" ref="P30">
      <text>
        <t xml:space="preserve">Parts per hr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4">
      <text>
        <t xml:space="preserve">Qty - 2</t>
      </text>
    </comment>
    <comment authorId="0" ref="M15">
      <text>
        <t xml:space="preserve">Qty - 2</t>
      </text>
    </comment>
    <comment authorId="0" ref="F28">
      <text>
        <t xml:space="preserve">Labor Rate $/hr</t>
      </text>
    </comment>
    <comment authorId="0" ref="K28">
      <text>
        <t xml:space="preserve">Labor Rate $/hr</t>
      </text>
    </comment>
    <comment authorId="0" ref="P28">
      <text>
        <t xml:space="preserve">Labor Rate $/hr</t>
      </text>
    </comment>
    <comment authorId="0" ref="F29">
      <text>
        <t xml:space="preserve">Total Overhead rate $/Hr</t>
      </text>
    </comment>
    <comment authorId="0" ref="K29">
      <text>
        <t xml:space="preserve">Total Overhead rate $/Hr</t>
      </text>
    </comment>
    <comment authorId="0" ref="B30">
      <text>
        <t xml:space="preserve">Labor plus burden cost. Examples: pad printing, painting, plating, laser marking, etc.</t>
      </text>
    </comment>
    <comment authorId="0" ref="F30">
      <text>
        <t xml:space="preserve">Parts per hr</t>
      </text>
    </comment>
    <comment authorId="0" ref="G30">
      <text>
        <t xml:space="preserve">Labor plus burden cost. Examples: pad printing, painting, plating, laser marking, etc.</t>
      </text>
    </comment>
    <comment authorId="0" ref="K30">
      <text>
        <t xml:space="preserve">Parts per hr</t>
      </text>
    </comment>
    <comment authorId="0" ref="L30">
      <text>
        <t xml:space="preserve">Labor plus burden cost. Examples: pad printing, painting, plating, laser marking, etc.</t>
      </text>
    </comment>
    <comment authorId="0" ref="P30">
      <text>
        <t xml:space="preserve">Parts per hr</t>
      </text>
    </comment>
  </commentList>
</comments>
</file>

<file path=xl/sharedStrings.xml><?xml version="1.0" encoding="utf-8"?>
<sst xmlns="http://schemas.openxmlformats.org/spreadsheetml/2006/main" count="629" uniqueCount="74">
  <si>
    <t>Part Details</t>
  </si>
  <si>
    <t xml:space="preserve"> </t>
  </si>
  <si>
    <t>Part Number</t>
  </si>
  <si>
    <t>W11791013</t>
  </si>
  <si>
    <t>W11242122</t>
  </si>
  <si>
    <t>W11791017</t>
  </si>
  <si>
    <t>Description</t>
  </si>
  <si>
    <t>PROSTAR POCKET PANEL</t>
  </si>
  <si>
    <t>POCKET HANDLE</t>
  </si>
  <si>
    <t>POCKET PANEL ASM - BLK</t>
  </si>
  <si>
    <t>Cost Model</t>
  </si>
  <si>
    <t>Quote</t>
  </si>
  <si>
    <t xml:space="preserve">Gap </t>
  </si>
  <si>
    <t>Revision or Package No.</t>
  </si>
  <si>
    <t>Annual Volume</t>
  </si>
  <si>
    <t>Manufacturing Region</t>
  </si>
  <si>
    <t>NAR-USA</t>
  </si>
  <si>
    <t>Cost Currency</t>
  </si>
  <si>
    <t>USD</t>
  </si>
  <si>
    <t xml:space="preserve">Total Part Cost </t>
  </si>
  <si>
    <t>Material</t>
  </si>
  <si>
    <t>Sub components</t>
  </si>
  <si>
    <t>Material Type</t>
  </si>
  <si>
    <t>PC -ABS</t>
  </si>
  <si>
    <t>PVC</t>
  </si>
  <si>
    <t>Weight Unit (kg or lb)</t>
  </si>
  <si>
    <t>lb</t>
  </si>
  <si>
    <t>Material Cost / Weight Unit</t>
  </si>
  <si>
    <t>W11480174</t>
  </si>
  <si>
    <t>Material Net Weight</t>
  </si>
  <si>
    <t>W10189731</t>
  </si>
  <si>
    <t>Material Gross Weight</t>
  </si>
  <si>
    <t>Colorant Specification</t>
  </si>
  <si>
    <t>Colorant Cost / Weight Unit</t>
  </si>
  <si>
    <t>Colorant Net Weight</t>
  </si>
  <si>
    <t>Colorant Gross Weight</t>
  </si>
  <si>
    <t xml:space="preserve">Total Material Cost  </t>
  </si>
  <si>
    <t>Sub component cost</t>
  </si>
  <si>
    <t>Process cost</t>
  </si>
  <si>
    <t>Assembly process cost</t>
  </si>
  <si>
    <t>No. of Cavities</t>
  </si>
  <si>
    <t>Press Size (Ton)</t>
  </si>
  <si>
    <t>500T</t>
  </si>
  <si>
    <t>180T</t>
  </si>
  <si>
    <t>170T</t>
  </si>
  <si>
    <t>Cycle Time (s)</t>
  </si>
  <si>
    <t>.</t>
  </si>
  <si>
    <t>No. of Operators</t>
  </si>
  <si>
    <t xml:space="preserve">Assembly </t>
  </si>
  <si>
    <t>Labor Cost</t>
  </si>
  <si>
    <t xml:space="preserve">labor since </t>
  </si>
  <si>
    <t>Burden Cost</t>
  </si>
  <si>
    <t>2023 has been</t>
  </si>
  <si>
    <t>Secondary Operation Cost</t>
  </si>
  <si>
    <t>Total Process Cost</t>
  </si>
  <si>
    <t>Other Adders</t>
  </si>
  <si>
    <t>Profit and SG&amp;A %</t>
  </si>
  <si>
    <t>13%%</t>
  </si>
  <si>
    <t>Profit and SG&amp;A Cost</t>
  </si>
  <si>
    <t>Scrap Cost</t>
  </si>
  <si>
    <t>Freight Cost</t>
  </si>
  <si>
    <t>Total Other Cost</t>
  </si>
  <si>
    <t>W11791014</t>
  </si>
  <si>
    <t>W11242123</t>
  </si>
  <si>
    <t>W11791018</t>
  </si>
  <si>
    <t>POCKET PANEL ASM - WHT</t>
  </si>
  <si>
    <t>W11796805</t>
  </si>
  <si>
    <t>W11242124</t>
  </si>
  <si>
    <t>W11796808</t>
  </si>
  <si>
    <t>POCKET PANEL ASM - UNI SILVER</t>
  </si>
  <si>
    <t>W11796806</t>
  </si>
  <si>
    <t>W11242125</t>
  </si>
  <si>
    <t>W11796809</t>
  </si>
  <si>
    <t>POCKET PANEL ASM - BIS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</si>
</sst>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0"/>
    <numFmt numFmtId="165" formatCode="&quot;$&quot;#,##0.00"/>
    <numFmt numFmtId="166" formatCode="#,##0.000"/>
    <numFmt numFmtId="167" formatCode="[$₹]#,##0.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Roboto"/>
    </font>
    <font/>
    <font>
      <b/>
      <color theme="1"/>
      <name val="Arial"/>
    </font>
    <font>
      <sz val="11.0"/>
      <color rgb="FF000000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1" fillId="2" fontId="1" numFmtId="0" xfId="0" applyAlignment="1" applyBorder="1" applyFont="1">
      <alignment horizontal="left" readingOrder="0"/>
    </xf>
    <xf borderId="0" fillId="0" fontId="2" numFmtId="164" xfId="0" applyAlignment="1" applyFont="1" applyNumberForma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0" fontId="1" numFmtId="0" xfId="0" applyAlignment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2" fillId="0" fontId="2" numFmtId="164" xfId="0" applyAlignment="1" applyBorder="1" applyFont="1" applyNumberForma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5" fillId="0" fontId="2" numFmtId="164" xfId="0" applyAlignment="1" applyBorder="1" applyFont="1" applyNumberFormat="1">
      <alignment horizontal="center" readingOrder="0"/>
    </xf>
    <xf borderId="5" fillId="0" fontId="4" numFmtId="0" xfId="0" applyBorder="1" applyFont="1"/>
    <xf borderId="6" fillId="0" fontId="4" numFmtId="0" xfId="0" applyBorder="1" applyFont="1"/>
    <xf borderId="0" fillId="0" fontId="2" numFmtId="0" xfId="0" applyAlignment="1" applyFont="1">
      <alignment horizontal="center"/>
    </xf>
    <xf borderId="1" fillId="2" fontId="1" numFmtId="164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3" xfId="0" applyAlignment="1" applyBorder="1" applyFont="1" applyNumberFormat="1">
      <alignment horizontal="center" readingOrder="0"/>
    </xf>
    <xf borderId="1" fillId="4" fontId="1" numFmtId="0" xfId="0" applyAlignment="1" applyBorder="1" applyFill="1" applyFont="1">
      <alignment readingOrder="0"/>
    </xf>
    <xf borderId="1" fillId="4" fontId="1" numFmtId="164" xfId="0" applyAlignment="1" applyBorder="1" applyFont="1" applyNumberFormat="1">
      <alignment horizontal="center"/>
    </xf>
    <xf borderId="1" fillId="5" fontId="1" numFmtId="165" xfId="0" applyAlignment="1" applyBorder="1" applyFill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4" xfId="0" applyAlignment="1" applyFont="1" applyNumberFormat="1">
      <alignment horizontal="center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5" numFmtId="164" xfId="0" applyAlignment="1" applyBorder="1" applyFont="1" applyNumberFormat="1">
      <alignment readingOrder="0" vertical="bottom"/>
    </xf>
    <xf borderId="1" fillId="0" fontId="2" numFmtId="4" xfId="0" applyAlignment="1" applyBorder="1" applyFont="1" applyNumberFormat="1">
      <alignment horizontal="center"/>
    </xf>
    <xf borderId="7" fillId="0" fontId="5" numFmtId="0" xfId="0" applyAlignment="1" applyBorder="1" applyFont="1">
      <alignment vertical="bottom"/>
    </xf>
    <xf borderId="7" fillId="0" fontId="5" numFmtId="164" xfId="0" applyAlignment="1" applyBorder="1" applyFont="1" applyNumberFormat="1">
      <alignment readingOrder="0" vertical="bottom"/>
    </xf>
    <xf borderId="1" fillId="6" fontId="1" numFmtId="164" xfId="0" applyAlignment="1" applyBorder="1" applyFill="1" applyFont="1" applyNumberFormat="1">
      <alignment horizontal="center" readingOrder="0"/>
    </xf>
    <xf borderId="1" fillId="7" fontId="1" numFmtId="164" xfId="0" applyAlignment="1" applyBorder="1" applyFill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/>
    </xf>
    <xf borderId="7" fillId="0" fontId="5" numFmtId="0" xfId="0" applyAlignment="1" applyBorder="1" applyFont="1">
      <alignment readingOrder="0" vertical="bottom"/>
    </xf>
    <xf borderId="1" fillId="7" fontId="2" numFmtId="164" xfId="0" applyAlignment="1" applyBorder="1" applyFont="1" applyNumberFormat="1">
      <alignment horizontal="center" readingOrder="0"/>
    </xf>
    <xf borderId="1" fillId="5" fontId="1" numFmtId="4" xfId="0" applyAlignment="1" applyBorder="1" applyFont="1" applyNumberFormat="1">
      <alignment horizontal="center"/>
    </xf>
    <xf borderId="1" fillId="5" fontId="1" numFmtId="164" xfId="0" applyAlignment="1" applyBorder="1" applyFont="1" applyNumberFormat="1">
      <alignment horizontal="center"/>
    </xf>
    <xf borderId="0" fillId="0" fontId="2" numFmtId="2" xfId="0" applyAlignment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1" fillId="3" fontId="2" numFmtId="3" xfId="0" applyAlignment="1" applyBorder="1" applyFont="1" applyNumberFormat="1">
      <alignment horizontal="center" readingOrder="0"/>
    </xf>
    <xf borderId="1" fillId="5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2" numFmtId="4" xfId="0" applyAlignment="1" applyBorder="1" applyFont="1" applyNumberFormat="1">
      <alignment horizontal="center" readingOrder="0"/>
    </xf>
    <xf borderId="1" fillId="0" fontId="2" numFmtId="166" xfId="0" applyAlignment="1" applyBorder="1" applyFont="1" applyNumberFormat="1">
      <alignment horizontal="center"/>
    </xf>
    <xf borderId="0" fillId="8" fontId="2" numFmtId="0" xfId="0" applyAlignment="1" applyFill="1" applyFont="1">
      <alignment readingOrder="0"/>
    </xf>
    <xf borderId="1" fillId="4" fontId="2" numFmtId="165" xfId="0" applyAlignment="1" applyBorder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8" fontId="2" numFmtId="165" xfId="0" applyAlignment="1" applyFont="1" applyNumberFormat="1">
      <alignment readingOrder="0"/>
    </xf>
    <xf borderId="1" fillId="0" fontId="2" numFmtId="9" xfId="0" applyAlignment="1" applyBorder="1" applyFont="1" applyNumberFormat="1">
      <alignment horizontal="center" readingOrder="0"/>
    </xf>
    <xf borderId="1" fillId="0" fontId="2" numFmtId="167" xfId="0" applyAlignment="1" applyBorder="1" applyFont="1" applyNumberFormat="1">
      <alignment horizontal="center" readingOrder="0"/>
    </xf>
    <xf borderId="1" fillId="4" fontId="1" numFmtId="167" xfId="0" applyAlignment="1" applyBorder="1" applyFont="1" applyNumberFormat="1">
      <alignment horizontal="center"/>
    </xf>
    <xf borderId="1" fillId="4" fontId="1" numFmtId="165" xfId="0" applyAlignment="1" applyBorder="1" applyFont="1" applyNumberFormat="1">
      <alignment horizontal="center"/>
    </xf>
    <xf borderId="0" fillId="0" fontId="2" numFmtId="164" xfId="0" applyFont="1" applyNumberFormat="1"/>
    <xf borderId="1" fillId="5" fontId="1" numFmtId="2" xfId="0" applyAlignment="1" applyBorder="1" applyFont="1" applyNumberFormat="1">
      <alignment horizontal="center"/>
    </xf>
    <xf borderId="1" fillId="0" fontId="2" numFmtId="2" xfId="0" applyAlignment="1" applyBorder="1" applyFont="1" applyNumberFormat="1">
      <alignment horizontal="center"/>
    </xf>
    <xf borderId="1" fillId="5" fontId="2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.88"/>
    <col customWidth="1" min="2" max="2" width="23.5"/>
    <col customWidth="1" min="3" max="3" width="18.63"/>
    <col customWidth="1" min="4" max="4" width="11.13"/>
    <col customWidth="1" min="5" max="5" width="5.75"/>
    <col customWidth="1" min="6" max="6" width="6.13"/>
    <col customWidth="1" min="7" max="7" width="23.5"/>
    <col customWidth="1" min="8" max="8" width="18.63"/>
    <col customWidth="1" min="9" max="9" width="10.13"/>
    <col customWidth="1" min="10" max="10" width="5.75"/>
    <col customWidth="1" min="11" max="11" width="6.13"/>
    <col customWidth="1" min="12" max="12" width="23.5"/>
    <col customWidth="1" min="13" max="13" width="18.63"/>
    <col customWidth="1" min="14" max="14" width="9.88"/>
    <col customWidth="1" min="15" max="15" width="8.88"/>
    <col customWidth="1" min="16" max="16" width="10.88"/>
    <col customWidth="1" min="17" max="17" width="10.5"/>
  </cols>
  <sheetData>
    <row r="1">
      <c r="A1" s="1"/>
      <c r="B1" s="2" t="s">
        <v>0</v>
      </c>
      <c r="C1" s="3"/>
      <c r="F1" s="4"/>
      <c r="G1" s="2" t="s">
        <v>0</v>
      </c>
      <c r="H1" s="3"/>
      <c r="K1" s="4"/>
      <c r="L1" s="2" t="s">
        <v>0</v>
      </c>
      <c r="M1" s="3" t="s">
        <v>1</v>
      </c>
      <c r="P1" s="4"/>
    </row>
    <row r="2">
      <c r="A2" s="5"/>
      <c r="B2" s="6" t="s">
        <v>2</v>
      </c>
      <c r="C2" s="7" t="s">
        <v>3</v>
      </c>
      <c r="D2" s="8"/>
      <c r="E2" s="9"/>
      <c r="F2" s="4"/>
      <c r="G2" s="6" t="s">
        <v>2</v>
      </c>
      <c r="H2" s="7" t="s">
        <v>4</v>
      </c>
      <c r="I2" s="8"/>
      <c r="J2" s="9"/>
      <c r="K2" s="4"/>
      <c r="L2" s="6" t="s">
        <v>2</v>
      </c>
      <c r="M2" s="7" t="s">
        <v>5</v>
      </c>
      <c r="N2" s="8"/>
      <c r="O2" s="9"/>
      <c r="P2" s="4"/>
    </row>
    <row r="3">
      <c r="A3" s="5"/>
      <c r="B3" s="6" t="s">
        <v>6</v>
      </c>
      <c r="C3" s="10" t="s">
        <v>7</v>
      </c>
      <c r="D3" s="11"/>
      <c r="E3" s="12"/>
      <c r="F3" s="13"/>
      <c r="G3" s="6" t="s">
        <v>6</v>
      </c>
      <c r="H3" s="10" t="s">
        <v>8</v>
      </c>
      <c r="I3" s="11"/>
      <c r="J3" s="12"/>
      <c r="K3" s="13"/>
      <c r="L3" s="6" t="s">
        <v>6</v>
      </c>
      <c r="M3" s="10" t="s">
        <v>9</v>
      </c>
      <c r="N3" s="11"/>
      <c r="O3" s="12"/>
      <c r="P3" s="13"/>
    </row>
    <row r="4">
      <c r="A4" s="5"/>
      <c r="B4" s="6"/>
      <c r="C4" s="14" t="s">
        <v>10</v>
      </c>
      <c r="D4" s="15" t="s">
        <v>11</v>
      </c>
      <c r="E4" s="15" t="s">
        <v>12</v>
      </c>
      <c r="F4" s="16"/>
      <c r="G4" s="6"/>
      <c r="H4" s="14" t="s">
        <v>10</v>
      </c>
      <c r="I4" s="15" t="s">
        <v>11</v>
      </c>
      <c r="J4" s="15" t="s">
        <v>12</v>
      </c>
      <c r="K4" s="16"/>
      <c r="L4" s="6"/>
      <c r="M4" s="14" t="s">
        <v>10</v>
      </c>
      <c r="N4" s="15" t="s">
        <v>11</v>
      </c>
      <c r="O4" s="15" t="s">
        <v>12</v>
      </c>
      <c r="P4" s="16"/>
    </row>
    <row r="5">
      <c r="A5" s="5"/>
      <c r="B5" s="6" t="s">
        <v>13</v>
      </c>
      <c r="C5" s="17"/>
      <c r="D5" s="18"/>
      <c r="E5" s="19"/>
      <c r="F5" s="13"/>
      <c r="G5" s="6" t="s">
        <v>13</v>
      </c>
      <c r="H5" s="17"/>
      <c r="I5" s="18"/>
      <c r="J5" s="19"/>
      <c r="K5" s="13"/>
      <c r="L5" s="6" t="s">
        <v>13</v>
      </c>
      <c r="M5" s="17"/>
      <c r="N5" s="18"/>
      <c r="O5" s="19"/>
      <c r="P5" s="13"/>
    </row>
    <row r="6">
      <c r="B6" s="6" t="s">
        <v>14</v>
      </c>
      <c r="C6" s="20">
        <v>31998.0</v>
      </c>
      <c r="D6" s="20"/>
      <c r="E6" s="19"/>
      <c r="F6" s="13"/>
      <c r="G6" s="6" t="s">
        <v>14</v>
      </c>
      <c r="H6" s="20">
        <v>31998.0</v>
      </c>
      <c r="I6" s="20"/>
      <c r="J6" s="19"/>
      <c r="K6" s="13"/>
      <c r="L6" s="6" t="s">
        <v>14</v>
      </c>
      <c r="M6" s="20">
        <v>31998.0</v>
      </c>
      <c r="N6" s="20"/>
      <c r="O6" s="19"/>
      <c r="P6" s="13"/>
    </row>
    <row r="7">
      <c r="B7" s="6" t="s">
        <v>15</v>
      </c>
      <c r="C7" s="17" t="s">
        <v>16</v>
      </c>
      <c r="D7" s="18"/>
      <c r="E7" s="19"/>
      <c r="F7" s="13"/>
      <c r="G7" s="6" t="s">
        <v>15</v>
      </c>
      <c r="H7" s="17" t="s">
        <v>16</v>
      </c>
      <c r="I7" s="18"/>
      <c r="J7" s="19"/>
      <c r="K7" s="13"/>
      <c r="L7" s="6" t="s">
        <v>15</v>
      </c>
      <c r="M7" s="17" t="s">
        <v>16</v>
      </c>
      <c r="N7" s="18"/>
      <c r="O7" s="19"/>
      <c r="P7" s="13"/>
    </row>
    <row r="8">
      <c r="B8" s="6" t="s">
        <v>17</v>
      </c>
      <c r="C8" s="17" t="s">
        <v>18</v>
      </c>
      <c r="D8" s="18"/>
      <c r="E8" s="19"/>
      <c r="F8" s="13"/>
      <c r="G8" s="6" t="s">
        <v>17</v>
      </c>
      <c r="H8" s="17" t="s">
        <v>18</v>
      </c>
      <c r="I8" s="18"/>
      <c r="J8" s="19"/>
      <c r="K8" s="13"/>
      <c r="L8" s="6" t="s">
        <v>17</v>
      </c>
      <c r="M8" s="17" t="s">
        <v>18</v>
      </c>
      <c r="N8" s="18"/>
      <c r="O8" s="19"/>
      <c r="P8" s="13"/>
    </row>
    <row r="9">
      <c r="B9" s="21" t="s">
        <v>19</v>
      </c>
      <c r="C9" s="22">
        <f t="shared" ref="C9:D9" si="1">C21+C31+C38</f>
        <v>2.199165556</v>
      </c>
      <c r="D9" s="22">
        <f t="shared" si="1"/>
        <v>2.27416</v>
      </c>
      <c r="E9" s="23">
        <f>D9-C9</f>
        <v>0.07499444444</v>
      </c>
      <c r="F9" s="13"/>
      <c r="G9" s="21" t="s">
        <v>19</v>
      </c>
      <c r="H9" s="22">
        <f t="shared" ref="H9:I9" si="2">H21+H31+H38</f>
        <v>0.4199206713</v>
      </c>
      <c r="I9" s="22">
        <f t="shared" si="2"/>
        <v>0.438906088</v>
      </c>
      <c r="J9" s="23">
        <f>I9-H9</f>
        <v>0.01898541667</v>
      </c>
      <c r="K9" s="13"/>
      <c r="L9" s="21" t="s">
        <v>19</v>
      </c>
      <c r="M9" s="22">
        <f t="shared" ref="M9:N9" si="3">M21+M31+M38</f>
        <v>5.485676177</v>
      </c>
      <c r="N9" s="22">
        <f t="shared" si="3"/>
        <v>5.598666088</v>
      </c>
      <c r="O9" s="23">
        <f>N9-M9</f>
        <v>0.1129899114</v>
      </c>
      <c r="P9" s="13"/>
    </row>
    <row r="10">
      <c r="C10" s="24"/>
      <c r="D10" s="13"/>
      <c r="E10" s="13"/>
      <c r="F10" s="13"/>
      <c r="H10" s="24"/>
      <c r="I10" s="13"/>
      <c r="J10" s="13"/>
      <c r="K10" s="13"/>
      <c r="M10" s="24">
        <f>sum(M9,O14:O15)</f>
        <v>5.514998177</v>
      </c>
      <c r="N10" s="13"/>
      <c r="O10" s="25">
        <f>M10-N9</f>
        <v>-0.08366791138</v>
      </c>
      <c r="P10" s="13"/>
    </row>
    <row r="11">
      <c r="B11" s="2" t="s">
        <v>20</v>
      </c>
      <c r="C11" s="14" t="s">
        <v>10</v>
      </c>
      <c r="D11" s="15" t="s">
        <v>11</v>
      </c>
      <c r="E11" s="15" t="s">
        <v>12</v>
      </c>
      <c r="F11" s="13"/>
      <c r="G11" s="2" t="s">
        <v>20</v>
      </c>
      <c r="H11" s="14" t="s">
        <v>10</v>
      </c>
      <c r="I11" s="15" t="s">
        <v>11</v>
      </c>
      <c r="J11" s="15" t="s">
        <v>12</v>
      </c>
      <c r="K11" s="13"/>
      <c r="L11" s="2" t="s">
        <v>21</v>
      </c>
      <c r="M11" s="14" t="s">
        <v>10</v>
      </c>
      <c r="N11" s="15" t="s">
        <v>11</v>
      </c>
      <c r="O11" s="15" t="s">
        <v>12</v>
      </c>
      <c r="P11" s="13"/>
    </row>
    <row r="12">
      <c r="B12" s="26" t="s">
        <v>22</v>
      </c>
      <c r="C12" s="27" t="s">
        <v>23</v>
      </c>
      <c r="D12" s="27" t="s">
        <v>23</v>
      </c>
      <c r="E12" s="19"/>
      <c r="F12" s="13"/>
      <c r="G12" s="26" t="s">
        <v>22</v>
      </c>
      <c r="H12" s="17" t="s">
        <v>24</v>
      </c>
      <c r="I12" s="27" t="s">
        <v>24</v>
      </c>
      <c r="J12" s="19"/>
      <c r="K12" s="13"/>
      <c r="L12" s="28" t="str">
        <f>C2</f>
        <v>W11791013</v>
      </c>
      <c r="M12" s="17">
        <f t="shared" ref="M12:N12" si="4">C9</f>
        <v>2.199165556</v>
      </c>
      <c r="N12" s="17">
        <f t="shared" si="4"/>
        <v>2.27416</v>
      </c>
      <c r="O12" s="29"/>
      <c r="P12" s="13"/>
    </row>
    <row r="13">
      <c r="B13" s="30" t="s">
        <v>25</v>
      </c>
      <c r="C13" s="17" t="s">
        <v>26</v>
      </c>
      <c r="D13" s="17" t="s">
        <v>26</v>
      </c>
      <c r="E13" s="19"/>
      <c r="F13" s="13"/>
      <c r="G13" s="30" t="s">
        <v>25</v>
      </c>
      <c r="H13" s="17" t="s">
        <v>26</v>
      </c>
      <c r="I13" s="17" t="s">
        <v>26</v>
      </c>
      <c r="J13" s="19"/>
      <c r="K13" s="13"/>
      <c r="L13" s="31" t="str">
        <f>H2</f>
        <v>W11242122</v>
      </c>
      <c r="M13" s="17">
        <f t="shared" ref="M13:N13" si="5">H9</f>
        <v>0.4199206713</v>
      </c>
      <c r="N13" s="17">
        <f t="shared" si="5"/>
        <v>0.438906088</v>
      </c>
      <c r="O13" s="29"/>
      <c r="P13" s="13"/>
    </row>
    <row r="14">
      <c r="B14" s="30" t="s">
        <v>27</v>
      </c>
      <c r="C14" s="32">
        <f t="shared" ref="C14:C16" si="6">D14</f>
        <v>2.66</v>
      </c>
      <c r="D14" s="33">
        <v>2.66</v>
      </c>
      <c r="E14" s="34"/>
      <c r="F14" s="13"/>
      <c r="G14" s="30" t="s">
        <v>27</v>
      </c>
      <c r="H14" s="32">
        <f t="shared" ref="H14:H16" si="7">I14</f>
        <v>1.4196</v>
      </c>
      <c r="I14" s="33">
        <v>1.4196</v>
      </c>
      <c r="J14" s="34"/>
      <c r="K14" s="13"/>
      <c r="L14" s="35" t="s">
        <v>28</v>
      </c>
      <c r="M14" s="36">
        <f>(0.6868*2)*1.03</f>
        <v>1.414808</v>
      </c>
      <c r="N14" s="36">
        <v>1.4431</v>
      </c>
      <c r="O14" s="37">
        <f t="shared" ref="O14:O16" si="8">N14-M14</f>
        <v>0.028292</v>
      </c>
      <c r="P14" s="13"/>
    </row>
    <row r="15">
      <c r="B15" s="30" t="s">
        <v>29</v>
      </c>
      <c r="C15" s="17">
        <f t="shared" si="6"/>
        <v>0.5788</v>
      </c>
      <c r="D15" s="17">
        <v>0.5788</v>
      </c>
      <c r="E15" s="38">
        <f t="shared" ref="E15:E16" si="9">D15-C15</f>
        <v>0</v>
      </c>
      <c r="F15" s="13"/>
      <c r="G15" s="30" t="s">
        <v>29</v>
      </c>
      <c r="H15" s="17">
        <f t="shared" si="7"/>
        <v>0.1493</v>
      </c>
      <c r="I15" s="17">
        <v>0.1493</v>
      </c>
      <c r="J15" s="38">
        <f t="shared" ref="J15:J16" si="10">I15-H15</f>
        <v>0</v>
      </c>
      <c r="K15" s="13"/>
      <c r="L15" s="35" t="s">
        <v>30</v>
      </c>
      <c r="M15" s="36">
        <f>0.0245*2*1.03</f>
        <v>0.05047</v>
      </c>
      <c r="N15" s="36">
        <v>0.0515</v>
      </c>
      <c r="O15" s="37">
        <f t="shared" si="8"/>
        <v>0.00103</v>
      </c>
      <c r="P15" s="13"/>
    </row>
    <row r="16">
      <c r="B16" s="30" t="s">
        <v>31</v>
      </c>
      <c r="C16" s="17">
        <f t="shared" si="6"/>
        <v>0.596</v>
      </c>
      <c r="D16" s="17">
        <v>0.596</v>
      </c>
      <c r="E16" s="38">
        <f t="shared" si="9"/>
        <v>0</v>
      </c>
      <c r="F16" s="13"/>
      <c r="G16" s="30" t="s">
        <v>31</v>
      </c>
      <c r="H16" s="17">
        <f t="shared" si="7"/>
        <v>0.15378</v>
      </c>
      <c r="I16" s="17">
        <v>0.15378</v>
      </c>
      <c r="J16" s="38">
        <f t="shared" si="10"/>
        <v>0</v>
      </c>
      <c r="K16" s="13"/>
      <c r="L16" s="30"/>
      <c r="M16" s="17"/>
      <c r="N16" s="39"/>
      <c r="O16" s="37">
        <f t="shared" si="8"/>
        <v>0</v>
      </c>
      <c r="P16" s="13"/>
    </row>
    <row r="17">
      <c r="B17" s="30" t="s">
        <v>32</v>
      </c>
      <c r="C17" s="17"/>
      <c r="D17" s="18"/>
      <c r="E17" s="19"/>
      <c r="F17" s="13"/>
      <c r="G17" s="30" t="s">
        <v>32</v>
      </c>
      <c r="H17" s="17"/>
      <c r="I17" s="18"/>
      <c r="J17" s="19"/>
      <c r="K17" s="13"/>
      <c r="L17" s="30"/>
      <c r="M17" s="17"/>
      <c r="N17" s="18"/>
      <c r="O17" s="19"/>
      <c r="P17" s="13"/>
    </row>
    <row r="18">
      <c r="B18" s="30" t="s">
        <v>33</v>
      </c>
      <c r="C18" s="17">
        <v>0.0</v>
      </c>
      <c r="D18" s="40"/>
      <c r="E18" s="34"/>
      <c r="F18" s="13"/>
      <c r="G18" s="30" t="s">
        <v>33</v>
      </c>
      <c r="H18" s="17">
        <v>0.0</v>
      </c>
      <c r="I18" s="40"/>
      <c r="J18" s="34"/>
      <c r="K18" s="13"/>
      <c r="L18" s="30"/>
      <c r="M18" s="17"/>
      <c r="N18" s="40"/>
      <c r="O18" s="34"/>
      <c r="P18" s="13"/>
    </row>
    <row r="19">
      <c r="B19" s="30" t="s">
        <v>34</v>
      </c>
      <c r="C19" s="17">
        <v>0.0</v>
      </c>
      <c r="D19" s="17"/>
      <c r="E19" s="19"/>
      <c r="F19" s="13"/>
      <c r="G19" s="30" t="s">
        <v>34</v>
      </c>
      <c r="H19" s="17">
        <v>0.0</v>
      </c>
      <c r="I19" s="17"/>
      <c r="J19" s="19"/>
      <c r="K19" s="13"/>
      <c r="L19" s="30"/>
      <c r="M19" s="17"/>
      <c r="N19" s="17"/>
      <c r="O19" s="19"/>
      <c r="P19" s="13"/>
    </row>
    <row r="20">
      <c r="B20" s="30" t="s">
        <v>35</v>
      </c>
      <c r="C20" s="17">
        <v>0.0</v>
      </c>
      <c r="D20" s="17"/>
      <c r="E20" s="19"/>
      <c r="F20" s="13"/>
      <c r="G20" s="30" t="s">
        <v>35</v>
      </c>
      <c r="H20" s="17">
        <f>H19</f>
        <v>0</v>
      </c>
      <c r="I20" s="17"/>
      <c r="J20" s="19"/>
      <c r="K20" s="13"/>
      <c r="L20" s="30"/>
      <c r="M20" s="17"/>
      <c r="N20" s="17"/>
      <c r="O20" s="19"/>
      <c r="P20" s="13"/>
    </row>
    <row r="21">
      <c r="B21" s="21" t="s">
        <v>36</v>
      </c>
      <c r="C21" s="22">
        <f t="shared" ref="C21:D21" si="11">((C14*C16)+(C18*C20))</f>
        <v>1.58536</v>
      </c>
      <c r="D21" s="22">
        <f t="shared" si="11"/>
        <v>1.58536</v>
      </c>
      <c r="E21" s="23">
        <f>D21-C21</f>
        <v>0</v>
      </c>
      <c r="F21" s="13"/>
      <c r="G21" s="21" t="s">
        <v>36</v>
      </c>
      <c r="H21" s="22">
        <f t="shared" ref="H21:I21" si="12">((H14*H16)+(H18*H20))</f>
        <v>0.218306088</v>
      </c>
      <c r="I21" s="22">
        <f t="shared" si="12"/>
        <v>0.218306088</v>
      </c>
      <c r="J21" s="23">
        <f>I21-H21</f>
        <v>0</v>
      </c>
      <c r="K21" s="13"/>
      <c r="L21" s="21" t="s">
        <v>37</v>
      </c>
      <c r="M21" s="22">
        <f t="shared" ref="M21:N21" si="13">M12+M13+M14+M15</f>
        <v>4.084364227</v>
      </c>
      <c r="N21" s="22">
        <f t="shared" si="13"/>
        <v>4.207666088</v>
      </c>
      <c r="O21" s="23">
        <f>N21-M21</f>
        <v>0.1233018611</v>
      </c>
      <c r="P21" s="13"/>
    </row>
    <row r="22">
      <c r="C22" s="24"/>
      <c r="D22" s="13"/>
      <c r="E22" s="13"/>
      <c r="F22" s="13"/>
      <c r="H22" s="24"/>
      <c r="I22" s="13"/>
      <c r="J22" s="13"/>
      <c r="K22" s="13"/>
      <c r="M22" s="24"/>
      <c r="N22" s="13"/>
      <c r="O22" s="13"/>
      <c r="P22" s="13"/>
    </row>
    <row r="23">
      <c r="B23" s="2" t="s">
        <v>38</v>
      </c>
      <c r="C23" s="14" t="s">
        <v>10</v>
      </c>
      <c r="D23" s="15" t="s">
        <v>11</v>
      </c>
      <c r="E23" s="15" t="s">
        <v>12</v>
      </c>
      <c r="F23" s="13"/>
      <c r="G23" s="2" t="s">
        <v>38</v>
      </c>
      <c r="H23" s="14" t="s">
        <v>10</v>
      </c>
      <c r="I23" s="15" t="s">
        <v>11</v>
      </c>
      <c r="J23" s="15" t="s">
        <v>12</v>
      </c>
      <c r="K23" s="13"/>
      <c r="L23" s="2" t="s">
        <v>39</v>
      </c>
      <c r="M23" s="14" t="s">
        <v>10</v>
      </c>
      <c r="N23" s="15" t="s">
        <v>11</v>
      </c>
      <c r="O23" s="15" t="s">
        <v>12</v>
      </c>
      <c r="P23" s="13"/>
    </row>
    <row r="24">
      <c r="B24" s="41" t="s">
        <v>40</v>
      </c>
      <c r="C24" s="17">
        <v>2.0</v>
      </c>
      <c r="D24" s="20">
        <v>2.0</v>
      </c>
      <c r="E24" s="19"/>
      <c r="F24" s="13"/>
      <c r="G24" s="41" t="s">
        <v>40</v>
      </c>
      <c r="H24" s="17">
        <v>2.0</v>
      </c>
      <c r="I24" s="20">
        <v>2.0</v>
      </c>
      <c r="J24" s="19"/>
      <c r="K24" s="13"/>
      <c r="L24" s="41"/>
      <c r="M24" s="17"/>
      <c r="N24" s="20"/>
      <c r="O24" s="19"/>
      <c r="P24" s="13"/>
    </row>
    <row r="25">
      <c r="B25" s="41" t="s">
        <v>41</v>
      </c>
      <c r="C25" s="17" t="s">
        <v>42</v>
      </c>
      <c r="D25" s="42">
        <v>500.0</v>
      </c>
      <c r="E25" s="18"/>
      <c r="G25" s="41" t="s">
        <v>41</v>
      </c>
      <c r="H25" s="17" t="s">
        <v>43</v>
      </c>
      <c r="I25" s="42" t="s">
        <v>44</v>
      </c>
      <c r="J25" s="18"/>
      <c r="L25" s="41"/>
      <c r="M25" s="17"/>
      <c r="N25" s="42"/>
      <c r="O25" s="18"/>
    </row>
    <row r="26">
      <c r="B26" s="41" t="s">
        <v>45</v>
      </c>
      <c r="C26" s="17">
        <v>50.0</v>
      </c>
      <c r="D26" s="20">
        <v>50.0</v>
      </c>
      <c r="E26" s="43">
        <v>1.0</v>
      </c>
      <c r="F26" s="44" t="s">
        <v>46</v>
      </c>
      <c r="G26" s="41" t="s">
        <v>45</v>
      </c>
      <c r="H26" s="17">
        <v>35.0</v>
      </c>
      <c r="I26" s="20">
        <v>32.0</v>
      </c>
      <c r="J26" s="43">
        <v>1.0</v>
      </c>
      <c r="K26" s="44" t="s">
        <v>46</v>
      </c>
      <c r="L26" s="41" t="s">
        <v>45</v>
      </c>
      <c r="M26" s="17">
        <v>55.0</v>
      </c>
      <c r="N26" s="20">
        <v>60.0</v>
      </c>
      <c r="O26" s="43">
        <v>1.0</v>
      </c>
      <c r="P26" s="44" t="s">
        <v>46</v>
      </c>
    </row>
    <row r="27">
      <c r="B27" s="41" t="s">
        <v>47</v>
      </c>
      <c r="C27" s="17">
        <v>0.5</v>
      </c>
      <c r="D27" s="45">
        <v>0.5</v>
      </c>
      <c r="E27" s="46"/>
      <c r="F27" s="13"/>
      <c r="G27" s="41" t="s">
        <v>47</v>
      </c>
      <c r="H27" s="17">
        <v>0.25</v>
      </c>
      <c r="I27" s="45">
        <v>0.3</v>
      </c>
      <c r="J27" s="46"/>
      <c r="K27" s="13"/>
      <c r="L27" s="41" t="s">
        <v>47</v>
      </c>
      <c r="M27" s="17">
        <v>1.0</v>
      </c>
      <c r="N27" s="45">
        <v>1.0</v>
      </c>
      <c r="O27" s="46"/>
      <c r="P27" s="13"/>
      <c r="Q27" s="47" t="s">
        <v>48</v>
      </c>
    </row>
    <row r="28">
      <c r="B28" s="41" t="s">
        <v>49</v>
      </c>
      <c r="C28" s="17">
        <f>(F28/F30)*C27</f>
        <v>0.078125</v>
      </c>
      <c r="D28" s="17">
        <v>0.0781</v>
      </c>
      <c r="E28" s="48">
        <f>C28-D28</f>
        <v>0.000025</v>
      </c>
      <c r="F28" s="44">
        <v>22.5</v>
      </c>
      <c r="G28" s="41" t="s">
        <v>49</v>
      </c>
      <c r="H28" s="17">
        <f>(K28/K30)*H27</f>
        <v>0.02734375</v>
      </c>
      <c r="I28" s="17">
        <v>0.025</v>
      </c>
      <c r="J28" s="48">
        <f>H28-I28</f>
        <v>0.00234375</v>
      </c>
      <c r="K28" s="44">
        <v>22.5</v>
      </c>
      <c r="L28" s="41" t="s">
        <v>49</v>
      </c>
      <c r="M28" s="17">
        <f>(P28/P30)*M27</f>
        <v>0.3895833333</v>
      </c>
      <c r="N28" s="17">
        <v>0.4583</v>
      </c>
      <c r="O28" s="48">
        <f>M28-N28</f>
        <v>-0.06871666667</v>
      </c>
      <c r="P28" s="44">
        <v>25.5</v>
      </c>
      <c r="Q28" s="47" t="s">
        <v>50</v>
      </c>
    </row>
    <row r="29">
      <c r="B29" s="41" t="s">
        <v>51</v>
      </c>
      <c r="C29" s="17">
        <f>(F29/F30)</f>
        <v>0.5356805556</v>
      </c>
      <c r="D29" s="17">
        <v>0.6107</v>
      </c>
      <c r="E29" s="23">
        <f>D29-C29</f>
        <v>0.07501944444</v>
      </c>
      <c r="F29" s="44">
        <v>77.138</v>
      </c>
      <c r="G29" s="41" t="s">
        <v>51</v>
      </c>
      <c r="H29" s="17">
        <f>(K29/K30)</f>
        <v>0.1742708333</v>
      </c>
      <c r="I29" s="17">
        <v>0.1956</v>
      </c>
      <c r="J29" s="23">
        <f>I29-H29</f>
        <v>0.02132916667</v>
      </c>
      <c r="K29" s="44">
        <v>35.85</v>
      </c>
      <c r="L29" s="41" t="s">
        <v>51</v>
      </c>
      <c r="M29" s="17">
        <f>(P29/P30)</f>
        <v>0.1749305556</v>
      </c>
      <c r="N29" s="17">
        <v>0.1146</v>
      </c>
      <c r="O29" s="23">
        <f>N29-M29</f>
        <v>-0.06033055556</v>
      </c>
      <c r="P29" s="44">
        <v>11.45</v>
      </c>
      <c r="Q29" s="47" t="s">
        <v>52</v>
      </c>
    </row>
    <row r="30">
      <c r="B30" s="41" t="s">
        <v>53</v>
      </c>
      <c r="C30" s="17">
        <v>0.0</v>
      </c>
      <c r="D30" s="17">
        <v>0.0</v>
      </c>
      <c r="E30" s="34">
        <f>C30-D30</f>
        <v>0</v>
      </c>
      <c r="F30" s="49">
        <f>((3600/C26)*C24)</f>
        <v>144</v>
      </c>
      <c r="G30" s="41" t="s">
        <v>53</v>
      </c>
      <c r="H30" s="17">
        <v>0.0</v>
      </c>
      <c r="I30" s="17">
        <v>0.0</v>
      </c>
      <c r="J30" s="34">
        <f>H30-I30</f>
        <v>0</v>
      </c>
      <c r="K30" s="49">
        <f>((3600/H26)*H24)</f>
        <v>205.7142857</v>
      </c>
      <c r="L30" s="41" t="s">
        <v>53</v>
      </c>
      <c r="M30" s="17">
        <v>0.0</v>
      </c>
      <c r="N30" s="17">
        <v>0.0</v>
      </c>
      <c r="O30" s="34">
        <f>M30-N30</f>
        <v>0</v>
      </c>
      <c r="P30" s="49">
        <f>(3600/M26)</f>
        <v>65.45454545</v>
      </c>
      <c r="Q30" s="50">
        <v>27.5</v>
      </c>
    </row>
    <row r="31">
      <c r="B31" s="21" t="s">
        <v>54</v>
      </c>
      <c r="C31" s="22">
        <f t="shared" ref="C31:D31" si="14">SUM(C28:C30)</f>
        <v>0.6138055556</v>
      </c>
      <c r="D31" s="22">
        <f t="shared" si="14"/>
        <v>0.6888</v>
      </c>
      <c r="E31" s="23">
        <f>D31-C31</f>
        <v>0.07499444444</v>
      </c>
      <c r="F31" s="13"/>
      <c r="G31" s="21" t="s">
        <v>54</v>
      </c>
      <c r="H31" s="22">
        <f t="shared" ref="H31:I31" si="15">SUM(H28:H30)</f>
        <v>0.2016145833</v>
      </c>
      <c r="I31" s="22">
        <f t="shared" si="15"/>
        <v>0.2206</v>
      </c>
      <c r="J31" s="23">
        <f>I31-H31</f>
        <v>0.01898541667</v>
      </c>
      <c r="K31" s="13"/>
      <c r="L31" s="21" t="s">
        <v>54</v>
      </c>
      <c r="M31" s="22">
        <f t="shared" ref="M31:N31" si="16">SUM(M28:M30)</f>
        <v>0.5645138889</v>
      </c>
      <c r="N31" s="22">
        <f t="shared" si="16"/>
        <v>0.5729</v>
      </c>
      <c r="O31" s="23">
        <f>N31-M31</f>
        <v>0.008386111111</v>
      </c>
      <c r="P31" s="13"/>
    </row>
    <row r="32">
      <c r="C32" s="24"/>
      <c r="D32" s="13"/>
      <c r="E32" s="13"/>
      <c r="F32" s="13"/>
      <c r="H32" s="24"/>
      <c r="I32" s="13"/>
      <c r="J32" s="13"/>
      <c r="K32" s="13"/>
      <c r="M32" s="24"/>
      <c r="N32" s="13"/>
      <c r="O32" s="13"/>
      <c r="P32" s="13"/>
    </row>
    <row r="33">
      <c r="B33" s="2" t="s">
        <v>55</v>
      </c>
      <c r="C33" s="14" t="s">
        <v>10</v>
      </c>
      <c r="D33" s="15" t="s">
        <v>11</v>
      </c>
      <c r="E33" s="15" t="s">
        <v>12</v>
      </c>
      <c r="F33" s="13"/>
      <c r="G33" s="2" t="s">
        <v>55</v>
      </c>
      <c r="H33" s="14" t="s">
        <v>10</v>
      </c>
      <c r="I33" s="15" t="s">
        <v>11</v>
      </c>
      <c r="J33" s="15" t="s">
        <v>12</v>
      </c>
      <c r="K33" s="13"/>
      <c r="L33" s="2" t="s">
        <v>55</v>
      </c>
      <c r="M33" s="14" t="s">
        <v>10</v>
      </c>
      <c r="N33" s="15" t="s">
        <v>11</v>
      </c>
      <c r="O33" s="15" t="s">
        <v>12</v>
      </c>
      <c r="P33" s="13"/>
    </row>
    <row r="34">
      <c r="B34" s="41" t="s">
        <v>56</v>
      </c>
      <c r="C34" s="17">
        <v>0.0</v>
      </c>
      <c r="D34" s="51"/>
      <c r="E34" s="19"/>
      <c r="F34" s="13"/>
      <c r="G34" s="41" t="s">
        <v>56</v>
      </c>
      <c r="H34" s="17">
        <v>0.0</v>
      </c>
      <c r="I34" s="51"/>
      <c r="J34" s="19"/>
      <c r="K34" s="13"/>
      <c r="L34" s="41" t="s">
        <v>56</v>
      </c>
      <c r="M34" s="17">
        <v>0.16</v>
      </c>
      <c r="N34" s="18" t="s">
        <v>57</v>
      </c>
      <c r="O34" s="19"/>
      <c r="P34" s="13"/>
    </row>
    <row r="35">
      <c r="B35" s="41" t="s">
        <v>58</v>
      </c>
      <c r="C35" s="17">
        <f>(C21+C31)*C34</f>
        <v>0</v>
      </c>
      <c r="D35" s="52"/>
      <c r="E35" s="34">
        <f t="shared" ref="E35:E38" si="17">D35-C35</f>
        <v>0</v>
      </c>
      <c r="F35" s="13"/>
      <c r="G35" s="41" t="s">
        <v>58</v>
      </c>
      <c r="H35" s="17">
        <f>(H21+H31)*H34</f>
        <v>0</v>
      </c>
      <c r="I35" s="52"/>
      <c r="J35" s="34">
        <f t="shared" ref="J35:J38" si="18">I35-H35</f>
        <v>0</v>
      </c>
      <c r="K35" s="13"/>
      <c r="L35" s="41" t="s">
        <v>58</v>
      </c>
      <c r="M35" s="17">
        <f>(M21+M31)*M34</f>
        <v>0.7438204985</v>
      </c>
      <c r="N35" s="17">
        <v>0.73</v>
      </c>
      <c r="O35" s="34">
        <f t="shared" ref="O35:O38" si="19">N35-M35</f>
        <v>-0.01382049852</v>
      </c>
      <c r="P35" s="13"/>
    </row>
    <row r="36">
      <c r="B36" s="41" t="s">
        <v>59</v>
      </c>
      <c r="C36" s="17">
        <v>0.0</v>
      </c>
      <c r="D36" s="52"/>
      <c r="E36" s="34">
        <f t="shared" si="17"/>
        <v>0</v>
      </c>
      <c r="F36" s="13"/>
      <c r="G36" s="41" t="s">
        <v>59</v>
      </c>
      <c r="H36" s="17">
        <v>0.0</v>
      </c>
      <c r="I36" s="52"/>
      <c r="J36" s="34">
        <f t="shared" si="18"/>
        <v>0</v>
      </c>
      <c r="K36" s="13"/>
      <c r="L36" s="41" t="s">
        <v>59</v>
      </c>
      <c r="M36" s="17">
        <f>(M21+M31)*0.02</f>
        <v>0.09297756232</v>
      </c>
      <c r="N36" s="17">
        <v>0.0881</v>
      </c>
      <c r="O36" s="34">
        <f t="shared" si="19"/>
        <v>-0.004877562316</v>
      </c>
      <c r="P36" s="13"/>
    </row>
    <row r="37">
      <c r="B37" s="41" t="s">
        <v>60</v>
      </c>
      <c r="C37" s="17"/>
      <c r="D37" s="40"/>
      <c r="E37" s="34">
        <f t="shared" si="17"/>
        <v>0</v>
      </c>
      <c r="F37" s="13"/>
      <c r="G37" s="41" t="s">
        <v>60</v>
      </c>
      <c r="H37" s="17"/>
      <c r="I37" s="40"/>
      <c r="J37" s="34">
        <f t="shared" si="18"/>
        <v>0</v>
      </c>
      <c r="K37" s="13"/>
      <c r="L37" s="41" t="s">
        <v>60</v>
      </c>
      <c r="M37" s="17"/>
      <c r="N37" s="40"/>
      <c r="O37" s="34">
        <f t="shared" si="19"/>
        <v>0</v>
      </c>
      <c r="P37" s="13"/>
    </row>
    <row r="38">
      <c r="B38" s="21" t="s">
        <v>61</v>
      </c>
      <c r="C38" s="22">
        <f>SUM(C35:C37)</f>
        <v>0</v>
      </c>
      <c r="D38" s="53"/>
      <c r="E38" s="54">
        <f t="shared" si="17"/>
        <v>0</v>
      </c>
      <c r="F38" s="13"/>
      <c r="G38" s="21" t="s">
        <v>61</v>
      </c>
      <c r="H38" s="22">
        <f>SUM(H35:H37)</f>
        <v>0</v>
      </c>
      <c r="I38" s="53"/>
      <c r="J38" s="54">
        <f t="shared" si="18"/>
        <v>0</v>
      </c>
      <c r="K38" s="13"/>
      <c r="L38" s="21" t="s">
        <v>61</v>
      </c>
      <c r="M38" s="22">
        <f t="shared" ref="M38:N38" si="20">SUM(M35:M37)</f>
        <v>0.8367980608</v>
      </c>
      <c r="N38" s="22">
        <f t="shared" si="20"/>
        <v>0.8181</v>
      </c>
      <c r="O38" s="54">
        <f t="shared" si="19"/>
        <v>-0.01869806084</v>
      </c>
      <c r="P38" s="13"/>
    </row>
    <row r="39">
      <c r="C39" s="24"/>
      <c r="E39" s="13"/>
      <c r="F39" s="13"/>
      <c r="H39" s="24"/>
      <c r="J39" s="13"/>
      <c r="K39" s="13"/>
      <c r="M39" s="24"/>
      <c r="O39" s="13"/>
      <c r="P39" s="13"/>
    </row>
    <row r="40">
      <c r="E40" s="13"/>
      <c r="F40" s="13"/>
      <c r="G40" s="13"/>
      <c r="H40" s="13"/>
      <c r="I40" s="13"/>
      <c r="J40" s="13"/>
      <c r="K40" s="13"/>
      <c r="L40" s="13"/>
      <c r="M40" s="13"/>
      <c r="O40" s="13"/>
      <c r="P40" s="13"/>
    </row>
    <row r="41">
      <c r="E41" s="13"/>
      <c r="F41" s="13"/>
      <c r="G41" s="13"/>
      <c r="H41" s="13"/>
      <c r="I41" s="13"/>
      <c r="J41" s="13"/>
      <c r="K41" s="13"/>
      <c r="L41" s="13"/>
      <c r="M41" s="13"/>
      <c r="O41" s="13"/>
      <c r="P41" s="13"/>
    </row>
    <row r="42">
      <c r="E42" s="13"/>
      <c r="F42" s="13"/>
      <c r="G42" s="13"/>
      <c r="H42" s="13"/>
      <c r="I42" s="13"/>
      <c r="J42" s="13"/>
      <c r="K42" s="13"/>
      <c r="L42" s="13"/>
      <c r="M42" s="13"/>
      <c r="O42" s="13"/>
      <c r="P42" s="13"/>
    </row>
    <row r="43">
      <c r="E43" s="13"/>
      <c r="F43" s="13"/>
      <c r="G43" s="13"/>
      <c r="H43" s="13"/>
      <c r="I43" s="13"/>
      <c r="J43" s="13"/>
      <c r="K43" s="13"/>
      <c r="L43" s="13"/>
      <c r="M43" s="13"/>
      <c r="O43" s="13"/>
      <c r="P43" s="13"/>
    </row>
    <row r="44">
      <c r="E44" s="13"/>
      <c r="F44" s="13"/>
      <c r="G44" s="13"/>
      <c r="H44" s="13"/>
      <c r="I44" s="13"/>
      <c r="J44" s="13"/>
      <c r="K44" s="13"/>
      <c r="M44" s="24"/>
      <c r="O44" s="13"/>
      <c r="P44" s="13"/>
    </row>
    <row r="45">
      <c r="C45" s="24"/>
      <c r="E45" s="13"/>
      <c r="F45" s="13"/>
      <c r="G45" s="13"/>
      <c r="H45" s="13"/>
      <c r="I45" s="13"/>
      <c r="J45" s="13"/>
      <c r="K45" s="13"/>
      <c r="M45" s="24"/>
      <c r="O45" s="13"/>
      <c r="P45" s="13"/>
    </row>
    <row r="46">
      <c r="C46" s="24"/>
      <c r="E46" s="13"/>
      <c r="F46" s="13"/>
      <c r="G46" s="13"/>
      <c r="H46" s="13"/>
      <c r="I46" s="13"/>
      <c r="J46" s="13"/>
      <c r="K46" s="13"/>
      <c r="M46" s="24"/>
      <c r="O46" s="13"/>
      <c r="P46" s="13"/>
    </row>
    <row r="47">
      <c r="C47" s="24"/>
      <c r="E47" s="13"/>
      <c r="F47" s="13"/>
      <c r="H47" s="24"/>
      <c r="J47" s="13"/>
      <c r="K47" s="13"/>
      <c r="M47" s="24"/>
      <c r="O47" s="13"/>
      <c r="P47" s="13"/>
    </row>
    <row r="48">
      <c r="C48" s="24"/>
      <c r="E48" s="13"/>
      <c r="F48" s="13"/>
      <c r="H48" s="24"/>
      <c r="J48" s="13"/>
      <c r="K48" s="13"/>
      <c r="M48" s="24"/>
      <c r="O48" s="13"/>
      <c r="P48" s="13"/>
    </row>
    <row r="49">
      <c r="C49" s="24"/>
      <c r="E49" s="13"/>
      <c r="F49" s="13"/>
      <c r="H49" s="24"/>
      <c r="J49" s="13"/>
      <c r="K49" s="13"/>
      <c r="M49" s="24"/>
      <c r="O49" s="13"/>
      <c r="P49" s="13"/>
    </row>
    <row r="50">
      <c r="C50" s="24"/>
      <c r="E50" s="13"/>
      <c r="F50" s="13"/>
      <c r="H50" s="24"/>
      <c r="J50" s="13"/>
      <c r="K50" s="13"/>
      <c r="M50" s="24"/>
      <c r="O50" s="13"/>
      <c r="P50" s="13"/>
    </row>
    <row r="51">
      <c r="C51" s="24"/>
      <c r="E51" s="13"/>
      <c r="F51" s="13"/>
      <c r="H51" s="24"/>
      <c r="J51" s="13"/>
      <c r="K51" s="13"/>
      <c r="M51" s="24"/>
      <c r="O51" s="13"/>
      <c r="P51" s="13"/>
    </row>
    <row r="52">
      <c r="C52" s="24"/>
      <c r="E52" s="13"/>
      <c r="F52" s="13"/>
      <c r="H52" s="24"/>
      <c r="J52" s="13"/>
      <c r="K52" s="13"/>
      <c r="M52" s="24"/>
      <c r="O52" s="13"/>
      <c r="P52" s="13"/>
    </row>
    <row r="53">
      <c r="C53" s="24"/>
      <c r="E53" s="13"/>
      <c r="F53" s="13"/>
      <c r="H53" s="24"/>
      <c r="J53" s="13"/>
      <c r="K53" s="13"/>
      <c r="M53" s="24"/>
      <c r="O53" s="13"/>
      <c r="P53" s="13"/>
    </row>
    <row r="54">
      <c r="C54" s="24"/>
      <c r="E54" s="13"/>
      <c r="F54" s="13"/>
      <c r="H54" s="24"/>
      <c r="J54" s="13"/>
      <c r="K54" s="13"/>
      <c r="M54" s="24"/>
      <c r="O54" s="13"/>
      <c r="P54" s="13"/>
    </row>
    <row r="55">
      <c r="C55" s="24"/>
      <c r="E55" s="13"/>
      <c r="F55" s="13"/>
      <c r="H55" s="24"/>
      <c r="J55" s="13"/>
      <c r="K55" s="13"/>
      <c r="M55" s="24"/>
      <c r="O55" s="13"/>
      <c r="P55" s="13"/>
    </row>
    <row r="56">
      <c r="C56" s="24"/>
      <c r="E56" s="13"/>
      <c r="F56" s="13"/>
      <c r="H56" s="24"/>
      <c r="J56" s="13"/>
      <c r="K56" s="13"/>
      <c r="M56" s="24"/>
      <c r="O56" s="13"/>
      <c r="P56" s="13"/>
    </row>
    <row r="57">
      <c r="C57" s="24"/>
      <c r="E57" s="13"/>
      <c r="F57" s="13"/>
      <c r="H57" s="24"/>
      <c r="J57" s="13"/>
      <c r="K57" s="13"/>
      <c r="M57" s="24"/>
      <c r="O57" s="13"/>
      <c r="P57" s="13"/>
    </row>
    <row r="58">
      <c r="C58" s="24"/>
      <c r="E58" s="13"/>
      <c r="F58" s="13"/>
      <c r="H58" s="24"/>
      <c r="J58" s="13"/>
      <c r="K58" s="13"/>
      <c r="M58" s="24"/>
      <c r="O58" s="13"/>
      <c r="P58" s="13"/>
    </row>
    <row r="59">
      <c r="C59" s="24"/>
      <c r="E59" s="13"/>
      <c r="F59" s="13"/>
      <c r="H59" s="24"/>
      <c r="J59" s="13"/>
      <c r="K59" s="13"/>
      <c r="M59" s="24"/>
      <c r="O59" s="13"/>
      <c r="P59" s="13"/>
    </row>
    <row r="60">
      <c r="C60" s="24"/>
      <c r="E60" s="13"/>
      <c r="F60" s="13"/>
      <c r="H60" s="24"/>
      <c r="J60" s="13"/>
      <c r="K60" s="13"/>
      <c r="M60" s="24"/>
      <c r="O60" s="13"/>
      <c r="P60" s="13"/>
    </row>
    <row r="61">
      <c r="C61" s="24"/>
      <c r="E61" s="13"/>
      <c r="F61" s="13"/>
      <c r="H61" s="24"/>
      <c r="J61" s="13"/>
      <c r="K61" s="13"/>
      <c r="M61" s="24"/>
      <c r="O61" s="13"/>
      <c r="P61" s="13"/>
    </row>
    <row r="62">
      <c r="C62" s="24"/>
      <c r="E62" s="13"/>
      <c r="F62" s="13"/>
      <c r="H62" s="24"/>
      <c r="J62" s="13"/>
      <c r="K62" s="13"/>
      <c r="M62" s="24"/>
      <c r="O62" s="13"/>
      <c r="P62" s="13"/>
    </row>
    <row r="63">
      <c r="C63" s="24"/>
      <c r="E63" s="13"/>
      <c r="F63" s="13"/>
      <c r="H63" s="24"/>
      <c r="J63" s="13"/>
      <c r="K63" s="13"/>
      <c r="M63" s="24"/>
      <c r="O63" s="13"/>
      <c r="P63" s="13"/>
    </row>
    <row r="64">
      <c r="C64" s="24"/>
      <c r="E64" s="13"/>
      <c r="F64" s="13"/>
      <c r="H64" s="24"/>
      <c r="J64" s="13"/>
      <c r="K64" s="13"/>
      <c r="M64" s="24"/>
      <c r="O64" s="13"/>
      <c r="P64" s="13"/>
    </row>
    <row r="65">
      <c r="C65" s="24"/>
      <c r="E65" s="13"/>
      <c r="F65" s="13"/>
      <c r="H65" s="24"/>
      <c r="J65" s="13"/>
      <c r="K65" s="13"/>
      <c r="M65" s="24"/>
      <c r="O65" s="13"/>
      <c r="P65" s="13"/>
    </row>
    <row r="66">
      <c r="C66" s="24"/>
      <c r="E66" s="13"/>
      <c r="F66" s="13"/>
      <c r="H66" s="24"/>
      <c r="J66" s="13"/>
      <c r="K66" s="13"/>
      <c r="M66" s="24"/>
      <c r="O66" s="13"/>
      <c r="P66" s="13"/>
    </row>
    <row r="67">
      <c r="C67" s="24"/>
      <c r="E67" s="13"/>
      <c r="F67" s="13"/>
      <c r="H67" s="24"/>
      <c r="J67" s="13"/>
      <c r="K67" s="13"/>
      <c r="M67" s="24"/>
      <c r="O67" s="13"/>
      <c r="P67" s="13"/>
    </row>
    <row r="68">
      <c r="C68" s="24"/>
      <c r="E68" s="13"/>
      <c r="F68" s="13"/>
      <c r="H68" s="24"/>
      <c r="J68" s="13"/>
      <c r="K68" s="13"/>
      <c r="M68" s="24"/>
      <c r="O68" s="13"/>
      <c r="P68" s="13"/>
    </row>
    <row r="69">
      <c r="C69" s="24"/>
      <c r="E69" s="13"/>
      <c r="F69" s="13"/>
      <c r="H69" s="24"/>
      <c r="J69" s="13"/>
      <c r="K69" s="13"/>
      <c r="M69" s="24"/>
      <c r="O69" s="13"/>
      <c r="P69" s="13"/>
    </row>
    <row r="70">
      <c r="C70" s="24"/>
      <c r="E70" s="13"/>
      <c r="F70" s="13"/>
      <c r="H70" s="24"/>
      <c r="J70" s="13"/>
      <c r="K70" s="13"/>
      <c r="M70" s="24"/>
      <c r="O70" s="13"/>
      <c r="P70" s="13"/>
    </row>
    <row r="71">
      <c r="C71" s="24"/>
      <c r="E71" s="13"/>
      <c r="F71" s="13"/>
      <c r="H71" s="24"/>
      <c r="J71" s="13"/>
      <c r="K71" s="13"/>
      <c r="M71" s="24"/>
      <c r="O71" s="13"/>
      <c r="P71" s="13"/>
    </row>
    <row r="72">
      <c r="C72" s="24"/>
      <c r="E72" s="13"/>
      <c r="F72" s="13"/>
      <c r="H72" s="24"/>
      <c r="J72" s="13"/>
      <c r="K72" s="13"/>
      <c r="M72" s="24"/>
      <c r="O72" s="13"/>
      <c r="P72" s="13"/>
    </row>
    <row r="73">
      <c r="C73" s="24"/>
      <c r="E73" s="13"/>
      <c r="F73" s="13"/>
      <c r="H73" s="24"/>
      <c r="J73" s="13"/>
      <c r="K73" s="13"/>
      <c r="M73" s="24"/>
      <c r="O73" s="13"/>
      <c r="P73" s="13"/>
    </row>
    <row r="74">
      <c r="C74" s="24"/>
      <c r="E74" s="13"/>
      <c r="F74" s="13"/>
      <c r="H74" s="24"/>
      <c r="J74" s="13"/>
      <c r="K74" s="13"/>
      <c r="M74" s="24"/>
      <c r="O74" s="13"/>
      <c r="P74" s="13"/>
    </row>
    <row r="75">
      <c r="C75" s="24"/>
      <c r="E75" s="13"/>
      <c r="F75" s="13"/>
      <c r="H75" s="24"/>
      <c r="J75" s="13"/>
      <c r="K75" s="13"/>
      <c r="M75" s="24"/>
      <c r="O75" s="13"/>
      <c r="P75" s="13"/>
    </row>
    <row r="76">
      <c r="C76" s="24"/>
      <c r="E76" s="13"/>
      <c r="F76" s="13"/>
      <c r="H76" s="24"/>
      <c r="J76" s="13"/>
      <c r="K76" s="13"/>
      <c r="M76" s="24"/>
      <c r="O76" s="13"/>
      <c r="P76" s="13"/>
    </row>
    <row r="77">
      <c r="C77" s="24"/>
      <c r="E77" s="13"/>
      <c r="F77" s="13"/>
      <c r="H77" s="24"/>
      <c r="J77" s="13"/>
      <c r="K77" s="13"/>
      <c r="M77" s="24"/>
      <c r="O77" s="13"/>
      <c r="P77" s="13"/>
    </row>
    <row r="78">
      <c r="C78" s="24"/>
      <c r="E78" s="13"/>
      <c r="F78" s="13"/>
      <c r="H78" s="24"/>
      <c r="J78" s="13"/>
      <c r="K78" s="13"/>
      <c r="M78" s="24"/>
      <c r="O78" s="13"/>
      <c r="P78" s="13"/>
    </row>
    <row r="79">
      <c r="C79" s="24"/>
      <c r="E79" s="13"/>
      <c r="F79" s="13"/>
      <c r="H79" s="24"/>
      <c r="J79" s="13"/>
      <c r="K79" s="13"/>
      <c r="M79" s="24"/>
      <c r="O79" s="13"/>
      <c r="P79" s="13"/>
    </row>
    <row r="80">
      <c r="C80" s="24"/>
      <c r="E80" s="13"/>
      <c r="F80" s="13"/>
      <c r="H80" s="24"/>
      <c r="J80" s="13"/>
      <c r="K80" s="13"/>
      <c r="M80" s="24"/>
      <c r="O80" s="13"/>
      <c r="P80" s="13"/>
    </row>
    <row r="81">
      <c r="C81" s="24"/>
      <c r="E81" s="13"/>
      <c r="F81" s="13"/>
      <c r="H81" s="24"/>
      <c r="J81" s="13"/>
      <c r="K81" s="13"/>
      <c r="M81" s="24"/>
      <c r="O81" s="13"/>
      <c r="P81" s="13"/>
    </row>
    <row r="82">
      <c r="C82" s="24"/>
      <c r="E82" s="13"/>
      <c r="F82" s="13"/>
      <c r="H82" s="24"/>
      <c r="J82" s="13"/>
      <c r="K82" s="13"/>
      <c r="M82" s="24"/>
      <c r="O82" s="13"/>
      <c r="P82" s="13"/>
    </row>
    <row r="83">
      <c r="C83" s="24"/>
      <c r="E83" s="13"/>
      <c r="F83" s="13"/>
      <c r="H83" s="24"/>
      <c r="J83" s="13"/>
      <c r="K83" s="13"/>
      <c r="M83" s="24"/>
      <c r="O83" s="13"/>
      <c r="P83" s="13"/>
    </row>
    <row r="84">
      <c r="C84" s="24"/>
      <c r="E84" s="13"/>
      <c r="F84" s="13"/>
      <c r="H84" s="24"/>
      <c r="J84" s="13"/>
      <c r="K84" s="13"/>
      <c r="M84" s="24"/>
      <c r="O84" s="13"/>
      <c r="P84" s="13"/>
    </row>
    <row r="85">
      <c r="C85" s="24"/>
      <c r="E85" s="13"/>
      <c r="F85" s="13"/>
      <c r="H85" s="24"/>
      <c r="J85" s="13"/>
      <c r="K85" s="13"/>
      <c r="M85" s="24"/>
      <c r="O85" s="13"/>
      <c r="P85" s="13"/>
    </row>
    <row r="86">
      <c r="C86" s="24"/>
      <c r="E86" s="13"/>
      <c r="F86" s="13"/>
      <c r="H86" s="24"/>
      <c r="J86" s="13"/>
      <c r="K86" s="13"/>
      <c r="M86" s="24"/>
      <c r="O86" s="13"/>
      <c r="P86" s="13"/>
    </row>
    <row r="87">
      <c r="C87" s="24"/>
      <c r="E87" s="13"/>
      <c r="F87" s="13"/>
      <c r="H87" s="24"/>
      <c r="J87" s="13"/>
      <c r="K87" s="13"/>
      <c r="M87" s="24"/>
      <c r="O87" s="13"/>
      <c r="P87" s="13"/>
    </row>
    <row r="88">
      <c r="C88" s="24"/>
      <c r="E88" s="13"/>
      <c r="F88" s="13"/>
      <c r="H88" s="24"/>
      <c r="J88" s="13"/>
      <c r="K88" s="13"/>
      <c r="M88" s="24"/>
      <c r="O88" s="13"/>
      <c r="P88" s="13"/>
    </row>
    <row r="89">
      <c r="C89" s="24"/>
      <c r="E89" s="13"/>
      <c r="F89" s="13"/>
      <c r="H89" s="24"/>
      <c r="J89" s="13"/>
      <c r="K89" s="13"/>
      <c r="M89" s="24"/>
      <c r="O89" s="13"/>
      <c r="P89" s="13"/>
    </row>
    <row r="90">
      <c r="C90" s="24"/>
      <c r="E90" s="13"/>
      <c r="F90" s="13"/>
      <c r="H90" s="24"/>
      <c r="J90" s="13"/>
      <c r="K90" s="13"/>
      <c r="M90" s="24"/>
      <c r="O90" s="13"/>
      <c r="P90" s="13"/>
    </row>
    <row r="91">
      <c r="C91" s="24"/>
      <c r="E91" s="13"/>
      <c r="F91" s="13"/>
      <c r="H91" s="24"/>
      <c r="J91" s="13"/>
      <c r="K91" s="13"/>
      <c r="M91" s="24"/>
      <c r="O91" s="13"/>
      <c r="P91" s="13"/>
    </row>
    <row r="92">
      <c r="C92" s="24"/>
      <c r="E92" s="13"/>
      <c r="F92" s="13"/>
      <c r="H92" s="24"/>
      <c r="J92" s="13"/>
      <c r="K92" s="13"/>
      <c r="M92" s="24"/>
      <c r="O92" s="13"/>
      <c r="P92" s="13"/>
    </row>
    <row r="93">
      <c r="C93" s="24"/>
      <c r="E93" s="13"/>
      <c r="F93" s="13"/>
      <c r="H93" s="24"/>
      <c r="J93" s="13"/>
      <c r="K93" s="13"/>
      <c r="M93" s="24"/>
      <c r="O93" s="13"/>
      <c r="P93" s="13"/>
    </row>
    <row r="94">
      <c r="C94" s="24"/>
      <c r="E94" s="13"/>
      <c r="F94" s="13"/>
      <c r="H94" s="24"/>
      <c r="J94" s="13"/>
      <c r="K94" s="13"/>
      <c r="M94" s="24"/>
      <c r="O94" s="13"/>
      <c r="P94" s="13"/>
    </row>
    <row r="95">
      <c r="C95" s="24"/>
      <c r="E95" s="13"/>
      <c r="F95" s="13"/>
      <c r="H95" s="24"/>
      <c r="J95" s="13"/>
      <c r="K95" s="13"/>
      <c r="M95" s="24"/>
      <c r="O95" s="13"/>
      <c r="P95" s="13"/>
    </row>
    <row r="96">
      <c r="C96" s="24"/>
      <c r="E96" s="13"/>
      <c r="F96" s="13"/>
      <c r="H96" s="24"/>
      <c r="J96" s="13"/>
      <c r="K96" s="13"/>
      <c r="M96" s="24"/>
      <c r="O96" s="13"/>
      <c r="P96" s="13"/>
    </row>
    <row r="97">
      <c r="C97" s="24"/>
      <c r="E97" s="13"/>
      <c r="F97" s="13"/>
      <c r="H97" s="24"/>
      <c r="J97" s="13"/>
      <c r="K97" s="13"/>
      <c r="M97" s="24"/>
      <c r="O97" s="13"/>
      <c r="P97" s="13"/>
    </row>
    <row r="98">
      <c r="C98" s="24"/>
      <c r="E98" s="13"/>
      <c r="F98" s="13"/>
      <c r="H98" s="24"/>
      <c r="J98" s="13"/>
      <c r="K98" s="13"/>
      <c r="M98" s="24"/>
      <c r="O98" s="13"/>
      <c r="P98" s="13"/>
    </row>
    <row r="99">
      <c r="C99" s="24"/>
      <c r="E99" s="13"/>
      <c r="F99" s="13"/>
      <c r="H99" s="24"/>
      <c r="J99" s="13"/>
      <c r="K99" s="13"/>
      <c r="M99" s="24"/>
      <c r="O99" s="13"/>
      <c r="P99" s="13"/>
    </row>
    <row r="100">
      <c r="C100" s="24"/>
      <c r="E100" s="13"/>
      <c r="F100" s="13"/>
      <c r="H100" s="24"/>
      <c r="J100" s="13"/>
      <c r="K100" s="13"/>
      <c r="M100" s="24"/>
      <c r="O100" s="13"/>
      <c r="P100" s="13"/>
    </row>
    <row r="101">
      <c r="C101" s="24"/>
      <c r="E101" s="13"/>
      <c r="F101" s="13"/>
      <c r="H101" s="24"/>
      <c r="J101" s="13"/>
      <c r="K101" s="13"/>
      <c r="M101" s="24"/>
      <c r="O101" s="13"/>
      <c r="P101" s="13"/>
    </row>
    <row r="102">
      <c r="C102" s="24"/>
      <c r="E102" s="13"/>
      <c r="F102" s="13"/>
      <c r="H102" s="24"/>
      <c r="J102" s="13"/>
      <c r="K102" s="13"/>
      <c r="M102" s="24"/>
      <c r="O102" s="13"/>
      <c r="P102" s="13"/>
    </row>
    <row r="103">
      <c r="C103" s="24"/>
      <c r="E103" s="13"/>
      <c r="F103" s="13"/>
      <c r="H103" s="24"/>
      <c r="J103" s="13"/>
      <c r="K103" s="13"/>
      <c r="M103" s="24"/>
      <c r="O103" s="13"/>
      <c r="P103" s="13"/>
    </row>
    <row r="104">
      <c r="C104" s="24"/>
      <c r="E104" s="13"/>
      <c r="F104" s="13"/>
      <c r="H104" s="24"/>
      <c r="J104" s="13"/>
      <c r="K104" s="13"/>
      <c r="M104" s="24"/>
      <c r="O104" s="13"/>
      <c r="P104" s="13"/>
    </row>
    <row r="105">
      <c r="C105" s="24"/>
      <c r="E105" s="13"/>
      <c r="F105" s="13"/>
      <c r="H105" s="24"/>
      <c r="J105" s="13"/>
      <c r="K105" s="13"/>
      <c r="M105" s="24"/>
      <c r="O105" s="13"/>
      <c r="P105" s="13"/>
    </row>
    <row r="106">
      <c r="C106" s="24"/>
      <c r="E106" s="13"/>
      <c r="F106" s="13"/>
      <c r="H106" s="24"/>
      <c r="J106" s="13"/>
      <c r="K106" s="13"/>
      <c r="M106" s="24"/>
      <c r="O106" s="13"/>
      <c r="P106" s="13"/>
    </row>
    <row r="107">
      <c r="C107" s="24"/>
      <c r="E107" s="13"/>
      <c r="F107" s="13"/>
      <c r="H107" s="24"/>
      <c r="J107" s="13"/>
      <c r="K107" s="13"/>
      <c r="M107" s="24"/>
      <c r="O107" s="13"/>
      <c r="P107" s="13"/>
    </row>
    <row r="108">
      <c r="C108" s="24"/>
      <c r="E108" s="13"/>
      <c r="F108" s="13"/>
      <c r="H108" s="24"/>
      <c r="J108" s="13"/>
      <c r="K108" s="13"/>
      <c r="M108" s="24"/>
      <c r="O108" s="13"/>
      <c r="P108" s="13"/>
    </row>
    <row r="109">
      <c r="C109" s="24"/>
      <c r="E109" s="13"/>
      <c r="F109" s="13"/>
      <c r="H109" s="24"/>
      <c r="J109" s="13"/>
      <c r="K109" s="13"/>
      <c r="M109" s="24"/>
      <c r="O109" s="13"/>
      <c r="P109" s="13"/>
    </row>
    <row r="110">
      <c r="C110" s="24"/>
      <c r="E110" s="13"/>
      <c r="F110" s="13"/>
      <c r="H110" s="24"/>
      <c r="J110" s="13"/>
      <c r="K110" s="13"/>
      <c r="M110" s="24"/>
      <c r="O110" s="13"/>
      <c r="P110" s="13"/>
    </row>
    <row r="111">
      <c r="C111" s="24"/>
      <c r="E111" s="13"/>
      <c r="F111" s="13"/>
      <c r="H111" s="24"/>
      <c r="J111" s="13"/>
      <c r="K111" s="13"/>
      <c r="M111" s="24"/>
      <c r="O111" s="13"/>
      <c r="P111" s="13"/>
    </row>
    <row r="112">
      <c r="C112" s="24"/>
      <c r="E112" s="13"/>
      <c r="F112" s="13"/>
      <c r="H112" s="24"/>
      <c r="J112" s="13"/>
      <c r="K112" s="13"/>
      <c r="M112" s="24"/>
      <c r="O112" s="13"/>
      <c r="P112" s="13"/>
    </row>
    <row r="113">
      <c r="C113" s="24"/>
      <c r="E113" s="13"/>
      <c r="F113" s="13"/>
      <c r="H113" s="24"/>
      <c r="J113" s="13"/>
      <c r="K113" s="13"/>
      <c r="M113" s="24"/>
      <c r="O113" s="13"/>
      <c r="P113" s="13"/>
    </row>
    <row r="114">
      <c r="C114" s="24"/>
      <c r="E114" s="13"/>
      <c r="F114" s="13"/>
      <c r="H114" s="24"/>
      <c r="J114" s="13"/>
      <c r="K114" s="13"/>
      <c r="M114" s="24"/>
      <c r="O114" s="13"/>
      <c r="P114" s="13"/>
    </row>
    <row r="115">
      <c r="C115" s="24"/>
      <c r="E115" s="13"/>
      <c r="F115" s="13"/>
      <c r="H115" s="24"/>
      <c r="J115" s="13"/>
      <c r="K115" s="13"/>
      <c r="M115" s="24"/>
      <c r="O115" s="13"/>
      <c r="P115" s="13"/>
    </row>
    <row r="116">
      <c r="C116" s="24"/>
      <c r="E116" s="13"/>
      <c r="F116" s="13"/>
      <c r="H116" s="24"/>
      <c r="J116" s="13"/>
      <c r="K116" s="13"/>
      <c r="M116" s="24"/>
      <c r="O116" s="13"/>
      <c r="P116" s="13"/>
    </row>
    <row r="117">
      <c r="C117" s="24"/>
      <c r="E117" s="13"/>
      <c r="F117" s="13"/>
      <c r="H117" s="24"/>
      <c r="J117" s="13"/>
      <c r="K117" s="13"/>
      <c r="M117" s="24"/>
      <c r="O117" s="13"/>
      <c r="P117" s="13"/>
    </row>
    <row r="118">
      <c r="C118" s="24"/>
      <c r="E118" s="13"/>
      <c r="F118" s="13"/>
      <c r="H118" s="24"/>
      <c r="J118" s="13"/>
      <c r="K118" s="13"/>
      <c r="M118" s="24"/>
      <c r="O118" s="13"/>
      <c r="P118" s="13"/>
    </row>
    <row r="119">
      <c r="C119" s="24"/>
      <c r="E119" s="13"/>
      <c r="F119" s="13"/>
      <c r="H119" s="24"/>
      <c r="J119" s="13"/>
      <c r="K119" s="13"/>
      <c r="M119" s="24"/>
      <c r="O119" s="13"/>
      <c r="P119" s="13"/>
    </row>
    <row r="120">
      <c r="C120" s="24"/>
      <c r="E120" s="13"/>
      <c r="F120" s="13"/>
      <c r="H120" s="24"/>
      <c r="J120" s="13"/>
      <c r="K120" s="13"/>
      <c r="M120" s="24"/>
      <c r="O120" s="13"/>
      <c r="P120" s="13"/>
    </row>
    <row r="121">
      <c r="C121" s="24"/>
      <c r="E121" s="13"/>
      <c r="F121" s="13"/>
      <c r="H121" s="24"/>
      <c r="J121" s="13"/>
      <c r="K121" s="13"/>
      <c r="M121" s="24"/>
      <c r="O121" s="13"/>
      <c r="P121" s="13"/>
    </row>
    <row r="122">
      <c r="C122" s="24"/>
      <c r="E122" s="13"/>
      <c r="F122" s="13"/>
      <c r="H122" s="24"/>
      <c r="J122" s="13"/>
      <c r="K122" s="13"/>
      <c r="M122" s="24"/>
      <c r="O122" s="13"/>
      <c r="P122" s="13"/>
    </row>
    <row r="123">
      <c r="C123" s="24"/>
      <c r="E123" s="13"/>
      <c r="F123" s="13"/>
      <c r="H123" s="24"/>
      <c r="J123" s="13"/>
      <c r="K123" s="13"/>
      <c r="M123" s="24"/>
      <c r="O123" s="13"/>
      <c r="P123" s="13"/>
    </row>
    <row r="124">
      <c r="C124" s="24"/>
      <c r="E124" s="13"/>
      <c r="F124" s="13"/>
      <c r="H124" s="24"/>
      <c r="J124" s="13"/>
      <c r="K124" s="13"/>
      <c r="M124" s="24"/>
      <c r="O124" s="13"/>
      <c r="P124" s="13"/>
    </row>
    <row r="125">
      <c r="C125" s="24"/>
      <c r="E125" s="13"/>
      <c r="F125" s="13"/>
      <c r="H125" s="24"/>
      <c r="J125" s="13"/>
      <c r="K125" s="13"/>
      <c r="M125" s="24"/>
      <c r="O125" s="13"/>
      <c r="P125" s="13"/>
    </row>
    <row r="126">
      <c r="C126" s="24"/>
      <c r="E126" s="13"/>
      <c r="F126" s="13"/>
      <c r="H126" s="24"/>
      <c r="J126" s="13"/>
      <c r="K126" s="13"/>
      <c r="M126" s="24"/>
      <c r="O126" s="13"/>
      <c r="P126" s="13"/>
    </row>
    <row r="127">
      <c r="C127" s="24"/>
      <c r="E127" s="13"/>
      <c r="F127" s="13"/>
      <c r="H127" s="24"/>
      <c r="J127" s="13"/>
      <c r="K127" s="13"/>
      <c r="M127" s="24"/>
      <c r="O127" s="13"/>
      <c r="P127" s="13"/>
    </row>
    <row r="128">
      <c r="C128" s="24"/>
      <c r="E128" s="13"/>
      <c r="F128" s="13"/>
      <c r="H128" s="24"/>
      <c r="J128" s="13"/>
      <c r="K128" s="13"/>
      <c r="M128" s="24"/>
      <c r="O128" s="13"/>
      <c r="P128" s="13"/>
    </row>
    <row r="129">
      <c r="C129" s="24"/>
      <c r="E129" s="13"/>
      <c r="F129" s="13"/>
      <c r="H129" s="24"/>
      <c r="J129" s="13"/>
      <c r="K129" s="13"/>
      <c r="M129" s="24"/>
      <c r="O129" s="13"/>
      <c r="P129" s="13"/>
    </row>
    <row r="130">
      <c r="C130" s="24"/>
      <c r="E130" s="13"/>
      <c r="F130" s="13"/>
      <c r="H130" s="24"/>
      <c r="J130" s="13"/>
      <c r="K130" s="13"/>
      <c r="M130" s="24"/>
      <c r="O130" s="13"/>
      <c r="P130" s="13"/>
    </row>
    <row r="131">
      <c r="C131" s="24"/>
      <c r="E131" s="13"/>
      <c r="F131" s="13"/>
      <c r="H131" s="24"/>
      <c r="J131" s="13"/>
      <c r="K131" s="13"/>
      <c r="M131" s="24"/>
      <c r="O131" s="13"/>
      <c r="P131" s="13"/>
    </row>
    <row r="132">
      <c r="C132" s="24"/>
      <c r="E132" s="13"/>
      <c r="F132" s="13"/>
      <c r="H132" s="24"/>
      <c r="J132" s="13"/>
      <c r="K132" s="13"/>
      <c r="M132" s="24"/>
      <c r="O132" s="13"/>
      <c r="P132" s="13"/>
    </row>
    <row r="133">
      <c r="C133" s="24"/>
      <c r="E133" s="13"/>
      <c r="F133" s="13"/>
      <c r="H133" s="24"/>
      <c r="J133" s="13"/>
      <c r="K133" s="13"/>
      <c r="M133" s="24"/>
      <c r="O133" s="13"/>
      <c r="P133" s="13"/>
    </row>
    <row r="134">
      <c r="C134" s="24"/>
      <c r="E134" s="13"/>
      <c r="F134" s="13"/>
      <c r="H134" s="24"/>
      <c r="J134" s="13"/>
      <c r="K134" s="13"/>
      <c r="M134" s="24"/>
      <c r="O134" s="13"/>
      <c r="P134" s="13"/>
    </row>
    <row r="135">
      <c r="C135" s="24"/>
      <c r="E135" s="13"/>
      <c r="F135" s="13"/>
      <c r="H135" s="24"/>
      <c r="J135" s="13"/>
      <c r="K135" s="13"/>
      <c r="M135" s="24"/>
      <c r="O135" s="13"/>
      <c r="P135" s="13"/>
    </row>
    <row r="136">
      <c r="C136" s="24"/>
      <c r="E136" s="13"/>
      <c r="F136" s="13"/>
      <c r="H136" s="24"/>
      <c r="J136" s="13"/>
      <c r="K136" s="13"/>
      <c r="M136" s="24"/>
      <c r="O136" s="13"/>
      <c r="P136" s="13"/>
    </row>
    <row r="137">
      <c r="C137" s="24"/>
      <c r="E137" s="13"/>
      <c r="F137" s="13"/>
      <c r="H137" s="24"/>
      <c r="J137" s="13"/>
      <c r="K137" s="13"/>
      <c r="M137" s="24"/>
      <c r="O137" s="13"/>
      <c r="P137" s="13"/>
    </row>
    <row r="138">
      <c r="C138" s="24"/>
      <c r="E138" s="13"/>
      <c r="F138" s="13"/>
      <c r="H138" s="24"/>
      <c r="J138" s="13"/>
      <c r="K138" s="13"/>
      <c r="M138" s="24"/>
      <c r="O138" s="13"/>
      <c r="P138" s="13"/>
    </row>
    <row r="139">
      <c r="C139" s="24"/>
      <c r="E139" s="13"/>
      <c r="F139" s="13"/>
      <c r="H139" s="24"/>
      <c r="J139" s="13"/>
      <c r="K139" s="13"/>
      <c r="M139" s="24"/>
      <c r="O139" s="13"/>
      <c r="P139" s="13"/>
    </row>
    <row r="140">
      <c r="C140" s="24"/>
      <c r="E140" s="13"/>
      <c r="F140" s="13"/>
      <c r="H140" s="24"/>
      <c r="J140" s="13"/>
      <c r="K140" s="13"/>
      <c r="M140" s="24"/>
      <c r="O140" s="13"/>
      <c r="P140" s="13"/>
    </row>
    <row r="141">
      <c r="C141" s="24"/>
      <c r="E141" s="13"/>
      <c r="F141" s="13"/>
      <c r="H141" s="24"/>
      <c r="J141" s="13"/>
      <c r="K141" s="13"/>
      <c r="M141" s="24"/>
      <c r="O141" s="13"/>
      <c r="P141" s="13"/>
    </row>
    <row r="142">
      <c r="C142" s="24"/>
      <c r="E142" s="13"/>
      <c r="F142" s="13"/>
      <c r="H142" s="24"/>
      <c r="J142" s="13"/>
      <c r="K142" s="13"/>
      <c r="M142" s="24"/>
      <c r="O142" s="13"/>
      <c r="P142" s="13"/>
    </row>
    <row r="143">
      <c r="C143" s="24"/>
      <c r="E143" s="13"/>
      <c r="F143" s="13"/>
      <c r="H143" s="24"/>
      <c r="J143" s="13"/>
      <c r="K143" s="13"/>
      <c r="M143" s="24"/>
      <c r="O143" s="13"/>
      <c r="P143" s="13"/>
    </row>
    <row r="144">
      <c r="C144" s="24"/>
      <c r="E144" s="13"/>
      <c r="F144" s="13"/>
      <c r="H144" s="24"/>
      <c r="J144" s="13"/>
      <c r="K144" s="13"/>
      <c r="M144" s="24"/>
      <c r="O144" s="13"/>
      <c r="P144" s="13"/>
    </row>
    <row r="145">
      <c r="C145" s="24"/>
      <c r="E145" s="13"/>
      <c r="F145" s="13"/>
      <c r="H145" s="24"/>
      <c r="J145" s="13"/>
      <c r="K145" s="13"/>
      <c r="M145" s="24"/>
      <c r="O145" s="13"/>
      <c r="P145" s="13"/>
    </row>
    <row r="146">
      <c r="C146" s="24"/>
      <c r="E146" s="13"/>
      <c r="F146" s="13"/>
      <c r="H146" s="24"/>
      <c r="J146" s="13"/>
      <c r="K146" s="13"/>
      <c r="M146" s="24"/>
      <c r="O146" s="13"/>
      <c r="P146" s="13"/>
    </row>
    <row r="147">
      <c r="C147" s="24"/>
      <c r="E147" s="13"/>
      <c r="F147" s="13"/>
      <c r="H147" s="24"/>
      <c r="J147" s="13"/>
      <c r="K147" s="13"/>
      <c r="M147" s="24"/>
      <c r="O147" s="13"/>
      <c r="P147" s="13"/>
    </row>
    <row r="148">
      <c r="C148" s="24"/>
      <c r="E148" s="13"/>
      <c r="F148" s="13"/>
      <c r="H148" s="24"/>
      <c r="J148" s="13"/>
      <c r="K148" s="13"/>
      <c r="M148" s="24"/>
      <c r="O148" s="13"/>
      <c r="P148" s="13"/>
    </row>
    <row r="149">
      <c r="C149" s="24"/>
      <c r="E149" s="13"/>
      <c r="F149" s="13"/>
      <c r="H149" s="24"/>
      <c r="J149" s="13"/>
      <c r="K149" s="13"/>
      <c r="M149" s="24"/>
      <c r="O149" s="13"/>
      <c r="P149" s="13"/>
    </row>
    <row r="150">
      <c r="C150" s="24"/>
      <c r="E150" s="13"/>
      <c r="F150" s="13"/>
      <c r="H150" s="24"/>
      <c r="J150" s="13"/>
      <c r="K150" s="13"/>
      <c r="M150" s="24"/>
      <c r="O150" s="13"/>
      <c r="P150" s="13"/>
    </row>
    <row r="151">
      <c r="C151" s="24"/>
      <c r="E151" s="13"/>
      <c r="F151" s="13"/>
      <c r="H151" s="24"/>
      <c r="J151" s="13"/>
      <c r="K151" s="13"/>
      <c r="M151" s="24"/>
      <c r="O151" s="13"/>
      <c r="P151" s="13"/>
    </row>
    <row r="152">
      <c r="C152" s="24"/>
      <c r="E152" s="13"/>
      <c r="F152" s="13"/>
      <c r="H152" s="24"/>
      <c r="J152" s="13"/>
      <c r="K152" s="13"/>
      <c r="M152" s="24"/>
      <c r="O152" s="13"/>
      <c r="P152" s="13"/>
    </row>
    <row r="153">
      <c r="C153" s="24"/>
      <c r="E153" s="13"/>
      <c r="F153" s="13"/>
      <c r="H153" s="24"/>
      <c r="J153" s="13"/>
      <c r="K153" s="13"/>
      <c r="M153" s="24"/>
      <c r="O153" s="13"/>
      <c r="P153" s="13"/>
    </row>
    <row r="154">
      <c r="C154" s="24"/>
      <c r="E154" s="13"/>
      <c r="F154" s="13"/>
      <c r="H154" s="24"/>
      <c r="J154" s="13"/>
      <c r="K154" s="13"/>
      <c r="M154" s="24"/>
      <c r="O154" s="13"/>
      <c r="P154" s="13"/>
    </row>
    <row r="155">
      <c r="C155" s="24"/>
      <c r="E155" s="13"/>
      <c r="F155" s="13"/>
      <c r="H155" s="24"/>
      <c r="J155" s="13"/>
      <c r="K155" s="13"/>
      <c r="M155" s="24"/>
      <c r="O155" s="13"/>
      <c r="P155" s="13"/>
    </row>
    <row r="156">
      <c r="C156" s="24"/>
      <c r="E156" s="13"/>
      <c r="F156" s="13"/>
      <c r="H156" s="24"/>
      <c r="J156" s="13"/>
      <c r="K156" s="13"/>
      <c r="M156" s="24"/>
      <c r="O156" s="13"/>
      <c r="P156" s="13"/>
    </row>
    <row r="157">
      <c r="C157" s="24"/>
      <c r="E157" s="13"/>
      <c r="F157" s="13"/>
      <c r="H157" s="24"/>
      <c r="J157" s="13"/>
      <c r="K157" s="13"/>
      <c r="M157" s="24"/>
      <c r="O157" s="13"/>
      <c r="P157" s="13"/>
    </row>
    <row r="158">
      <c r="C158" s="24"/>
      <c r="E158" s="13"/>
      <c r="F158" s="13"/>
      <c r="H158" s="24"/>
      <c r="J158" s="13"/>
      <c r="K158" s="13"/>
      <c r="M158" s="24"/>
      <c r="O158" s="13"/>
      <c r="P158" s="13"/>
    </row>
    <row r="159">
      <c r="C159" s="24"/>
      <c r="E159" s="13"/>
      <c r="F159" s="13"/>
      <c r="H159" s="24"/>
      <c r="J159" s="13"/>
      <c r="K159" s="13"/>
      <c r="M159" s="24"/>
      <c r="O159" s="13"/>
      <c r="P159" s="13"/>
    </row>
    <row r="160">
      <c r="C160" s="24"/>
      <c r="E160" s="13"/>
      <c r="F160" s="13"/>
      <c r="H160" s="24"/>
      <c r="J160" s="13"/>
      <c r="K160" s="13"/>
      <c r="M160" s="24"/>
      <c r="O160" s="13"/>
      <c r="P160" s="13"/>
    </row>
    <row r="161">
      <c r="C161" s="24"/>
      <c r="E161" s="13"/>
      <c r="F161" s="13"/>
      <c r="H161" s="24"/>
      <c r="J161" s="13"/>
      <c r="K161" s="13"/>
      <c r="M161" s="24"/>
      <c r="O161" s="13"/>
      <c r="P161" s="13"/>
    </row>
    <row r="162">
      <c r="C162" s="24"/>
      <c r="E162" s="13"/>
      <c r="F162" s="13"/>
      <c r="H162" s="24"/>
      <c r="J162" s="13"/>
      <c r="K162" s="13"/>
      <c r="M162" s="24"/>
      <c r="O162" s="13"/>
      <c r="P162" s="13"/>
    </row>
    <row r="163">
      <c r="C163" s="24"/>
      <c r="E163" s="13"/>
      <c r="F163" s="13"/>
      <c r="H163" s="24"/>
      <c r="J163" s="13"/>
      <c r="K163" s="13"/>
      <c r="M163" s="24"/>
      <c r="O163" s="13"/>
      <c r="P163" s="13"/>
    </row>
    <row r="164">
      <c r="C164" s="24"/>
      <c r="E164" s="13"/>
      <c r="F164" s="13"/>
      <c r="H164" s="24"/>
      <c r="J164" s="13"/>
      <c r="K164" s="13"/>
      <c r="M164" s="24"/>
      <c r="O164" s="13"/>
      <c r="P164" s="13"/>
    </row>
    <row r="165">
      <c r="C165" s="24"/>
      <c r="E165" s="13"/>
      <c r="F165" s="13"/>
      <c r="H165" s="24"/>
      <c r="J165" s="13"/>
      <c r="K165" s="13"/>
      <c r="M165" s="24"/>
      <c r="O165" s="13"/>
      <c r="P165" s="13"/>
    </row>
    <row r="166">
      <c r="C166" s="24"/>
      <c r="E166" s="13"/>
      <c r="F166" s="13"/>
      <c r="H166" s="24"/>
      <c r="J166" s="13"/>
      <c r="K166" s="13"/>
      <c r="M166" s="24"/>
      <c r="O166" s="13"/>
      <c r="P166" s="13"/>
    </row>
    <row r="167">
      <c r="C167" s="24"/>
      <c r="E167" s="13"/>
      <c r="F167" s="13"/>
      <c r="H167" s="24"/>
      <c r="J167" s="13"/>
      <c r="K167" s="13"/>
      <c r="M167" s="24"/>
      <c r="O167" s="13"/>
      <c r="P167" s="13"/>
    </row>
    <row r="168">
      <c r="C168" s="24"/>
      <c r="E168" s="13"/>
      <c r="F168" s="13"/>
      <c r="H168" s="24"/>
      <c r="J168" s="13"/>
      <c r="K168" s="13"/>
      <c r="M168" s="24"/>
      <c r="O168" s="13"/>
      <c r="P168" s="13"/>
    </row>
    <row r="169">
      <c r="C169" s="24"/>
      <c r="E169" s="13"/>
      <c r="F169" s="13"/>
      <c r="H169" s="24"/>
      <c r="J169" s="13"/>
      <c r="K169" s="13"/>
      <c r="M169" s="24"/>
      <c r="O169" s="13"/>
      <c r="P169" s="13"/>
    </row>
    <row r="170">
      <c r="C170" s="24"/>
      <c r="E170" s="13"/>
      <c r="F170" s="13"/>
      <c r="H170" s="24"/>
      <c r="J170" s="13"/>
      <c r="K170" s="13"/>
      <c r="M170" s="24"/>
      <c r="O170" s="13"/>
      <c r="P170" s="13"/>
    </row>
    <row r="171">
      <c r="C171" s="24"/>
      <c r="E171" s="13"/>
      <c r="F171" s="13"/>
      <c r="H171" s="24"/>
      <c r="J171" s="13"/>
      <c r="K171" s="13"/>
      <c r="M171" s="24"/>
      <c r="O171" s="13"/>
      <c r="P171" s="13"/>
    </row>
    <row r="172">
      <c r="C172" s="24"/>
      <c r="E172" s="13"/>
      <c r="F172" s="13"/>
      <c r="H172" s="24"/>
      <c r="J172" s="13"/>
      <c r="K172" s="13"/>
      <c r="M172" s="24"/>
      <c r="O172" s="13"/>
      <c r="P172" s="13"/>
    </row>
    <row r="173">
      <c r="C173" s="24"/>
      <c r="E173" s="13"/>
      <c r="F173" s="13"/>
      <c r="H173" s="24"/>
      <c r="J173" s="13"/>
      <c r="K173" s="13"/>
      <c r="M173" s="24"/>
      <c r="O173" s="13"/>
      <c r="P173" s="13"/>
    </row>
    <row r="174">
      <c r="C174" s="24"/>
      <c r="E174" s="13"/>
      <c r="F174" s="13"/>
      <c r="H174" s="24"/>
      <c r="J174" s="13"/>
      <c r="K174" s="13"/>
      <c r="M174" s="24"/>
      <c r="O174" s="13"/>
      <c r="P174" s="13"/>
    </row>
    <row r="175">
      <c r="C175" s="24"/>
      <c r="E175" s="13"/>
      <c r="F175" s="13"/>
      <c r="H175" s="24"/>
      <c r="J175" s="13"/>
      <c r="K175" s="13"/>
      <c r="M175" s="24"/>
      <c r="O175" s="13"/>
      <c r="P175" s="13"/>
    </row>
    <row r="176">
      <c r="C176" s="24"/>
      <c r="E176" s="13"/>
      <c r="F176" s="13"/>
      <c r="H176" s="24"/>
      <c r="J176" s="13"/>
      <c r="K176" s="13"/>
      <c r="M176" s="24"/>
      <c r="O176" s="13"/>
      <c r="P176" s="13"/>
    </row>
    <row r="177">
      <c r="C177" s="24"/>
      <c r="E177" s="13"/>
      <c r="F177" s="13"/>
      <c r="H177" s="24"/>
      <c r="J177" s="13"/>
      <c r="K177" s="13"/>
      <c r="M177" s="24"/>
      <c r="O177" s="13"/>
      <c r="P177" s="13"/>
    </row>
    <row r="178">
      <c r="C178" s="24"/>
      <c r="E178" s="13"/>
      <c r="F178" s="13"/>
      <c r="H178" s="24"/>
      <c r="J178" s="13"/>
      <c r="K178" s="13"/>
      <c r="M178" s="24"/>
      <c r="O178" s="13"/>
      <c r="P178" s="13"/>
    </row>
    <row r="179">
      <c r="C179" s="24"/>
      <c r="E179" s="13"/>
      <c r="F179" s="13"/>
      <c r="H179" s="24"/>
      <c r="J179" s="13"/>
      <c r="K179" s="13"/>
      <c r="M179" s="24"/>
      <c r="O179" s="13"/>
      <c r="P179" s="13"/>
    </row>
    <row r="180">
      <c r="C180" s="24"/>
      <c r="E180" s="13"/>
      <c r="F180" s="13"/>
      <c r="H180" s="24"/>
      <c r="J180" s="13"/>
      <c r="K180" s="13"/>
      <c r="M180" s="24"/>
      <c r="O180" s="13"/>
      <c r="P180" s="13"/>
    </row>
    <row r="181">
      <c r="C181" s="24"/>
      <c r="E181" s="13"/>
      <c r="F181" s="13"/>
      <c r="H181" s="24"/>
      <c r="J181" s="13"/>
      <c r="K181" s="13"/>
      <c r="M181" s="24"/>
      <c r="O181" s="13"/>
      <c r="P181" s="13"/>
    </row>
    <row r="182">
      <c r="C182" s="24"/>
      <c r="E182" s="13"/>
      <c r="F182" s="13"/>
      <c r="H182" s="24"/>
      <c r="J182" s="13"/>
      <c r="K182" s="13"/>
      <c r="M182" s="24"/>
      <c r="O182" s="13"/>
      <c r="P182" s="13"/>
    </row>
    <row r="183">
      <c r="C183" s="24"/>
      <c r="E183" s="13"/>
      <c r="F183" s="13"/>
      <c r="H183" s="24"/>
      <c r="J183" s="13"/>
      <c r="K183" s="13"/>
      <c r="M183" s="24"/>
      <c r="O183" s="13"/>
      <c r="P183" s="13"/>
    </row>
    <row r="184">
      <c r="C184" s="24"/>
      <c r="E184" s="13"/>
      <c r="F184" s="13"/>
      <c r="H184" s="24"/>
      <c r="J184" s="13"/>
      <c r="K184" s="13"/>
      <c r="M184" s="24"/>
      <c r="O184" s="13"/>
      <c r="P184" s="13"/>
    </row>
    <row r="185">
      <c r="C185" s="24"/>
      <c r="E185" s="13"/>
      <c r="F185" s="13"/>
      <c r="H185" s="24"/>
      <c r="J185" s="13"/>
      <c r="K185" s="13"/>
      <c r="M185" s="24"/>
      <c r="O185" s="13"/>
      <c r="P185" s="13"/>
    </row>
    <row r="186">
      <c r="C186" s="24"/>
      <c r="E186" s="13"/>
      <c r="F186" s="13"/>
      <c r="H186" s="24"/>
      <c r="J186" s="13"/>
      <c r="K186" s="13"/>
      <c r="M186" s="24"/>
      <c r="O186" s="13"/>
      <c r="P186" s="13"/>
    </row>
    <row r="187">
      <c r="C187" s="24"/>
      <c r="E187" s="13"/>
      <c r="F187" s="13"/>
      <c r="H187" s="24"/>
      <c r="J187" s="13"/>
      <c r="K187" s="13"/>
      <c r="M187" s="24"/>
      <c r="O187" s="13"/>
      <c r="P187" s="13"/>
    </row>
    <row r="188">
      <c r="C188" s="24"/>
      <c r="E188" s="13"/>
      <c r="F188" s="13"/>
      <c r="H188" s="24"/>
      <c r="J188" s="13"/>
      <c r="K188" s="13"/>
      <c r="M188" s="24"/>
      <c r="O188" s="13"/>
      <c r="P188" s="13"/>
    </row>
    <row r="189">
      <c r="C189" s="24"/>
      <c r="E189" s="13"/>
      <c r="F189" s="13"/>
      <c r="H189" s="24"/>
      <c r="J189" s="13"/>
      <c r="K189" s="13"/>
      <c r="M189" s="24"/>
      <c r="O189" s="13"/>
      <c r="P189" s="13"/>
    </row>
    <row r="190">
      <c r="C190" s="24"/>
      <c r="E190" s="13"/>
      <c r="F190" s="13"/>
      <c r="H190" s="24"/>
      <c r="J190" s="13"/>
      <c r="K190" s="13"/>
      <c r="M190" s="24"/>
      <c r="O190" s="13"/>
      <c r="P190" s="13"/>
    </row>
    <row r="191">
      <c r="C191" s="24"/>
      <c r="E191" s="13"/>
      <c r="F191" s="13"/>
      <c r="H191" s="24"/>
      <c r="J191" s="13"/>
      <c r="K191" s="13"/>
      <c r="M191" s="24"/>
      <c r="O191" s="13"/>
      <c r="P191" s="13"/>
    </row>
    <row r="192">
      <c r="C192" s="24"/>
      <c r="E192" s="13"/>
      <c r="F192" s="13"/>
      <c r="H192" s="24"/>
      <c r="J192" s="13"/>
      <c r="K192" s="13"/>
      <c r="M192" s="24"/>
      <c r="O192" s="13"/>
      <c r="P192" s="13"/>
    </row>
    <row r="193">
      <c r="C193" s="24"/>
      <c r="E193" s="13"/>
      <c r="F193" s="13"/>
      <c r="H193" s="24"/>
      <c r="J193" s="13"/>
      <c r="K193" s="13"/>
      <c r="M193" s="24"/>
      <c r="O193" s="13"/>
      <c r="P193" s="13"/>
    </row>
    <row r="194">
      <c r="C194" s="24"/>
      <c r="E194" s="13"/>
      <c r="F194" s="13"/>
      <c r="H194" s="24"/>
      <c r="J194" s="13"/>
      <c r="K194" s="13"/>
      <c r="M194" s="24"/>
      <c r="O194" s="13"/>
      <c r="P194" s="13"/>
    </row>
    <row r="195">
      <c r="C195" s="24"/>
      <c r="E195" s="13"/>
      <c r="F195" s="13"/>
      <c r="H195" s="24"/>
      <c r="J195" s="13"/>
      <c r="K195" s="13"/>
      <c r="M195" s="24"/>
      <c r="O195" s="13"/>
      <c r="P195" s="13"/>
    </row>
    <row r="196">
      <c r="C196" s="24"/>
      <c r="E196" s="13"/>
      <c r="F196" s="13"/>
      <c r="H196" s="24"/>
      <c r="J196" s="13"/>
      <c r="K196" s="13"/>
      <c r="M196" s="24"/>
      <c r="O196" s="13"/>
      <c r="P196" s="13"/>
    </row>
    <row r="197">
      <c r="C197" s="24"/>
      <c r="E197" s="13"/>
      <c r="F197" s="13"/>
      <c r="H197" s="24"/>
      <c r="J197" s="13"/>
      <c r="K197" s="13"/>
      <c r="M197" s="24"/>
      <c r="O197" s="13"/>
      <c r="P197" s="13"/>
    </row>
    <row r="198">
      <c r="C198" s="24"/>
      <c r="E198" s="13"/>
      <c r="F198" s="13"/>
      <c r="H198" s="24"/>
      <c r="J198" s="13"/>
      <c r="K198" s="13"/>
      <c r="M198" s="24"/>
      <c r="O198" s="13"/>
      <c r="P198" s="13"/>
    </row>
    <row r="199">
      <c r="C199" s="24"/>
      <c r="E199" s="13"/>
      <c r="F199" s="13"/>
      <c r="H199" s="24"/>
      <c r="J199" s="13"/>
      <c r="K199" s="13"/>
      <c r="M199" s="24"/>
      <c r="O199" s="13"/>
      <c r="P199" s="13"/>
    </row>
    <row r="200">
      <c r="C200" s="24"/>
      <c r="E200" s="13"/>
      <c r="F200" s="13"/>
      <c r="H200" s="24"/>
      <c r="J200" s="13"/>
      <c r="K200" s="13"/>
      <c r="M200" s="24"/>
      <c r="O200" s="13"/>
      <c r="P200" s="13"/>
    </row>
    <row r="201">
      <c r="C201" s="24"/>
      <c r="E201" s="13"/>
      <c r="F201" s="13"/>
      <c r="H201" s="24"/>
      <c r="J201" s="13"/>
      <c r="K201" s="13"/>
      <c r="M201" s="24"/>
      <c r="O201" s="13"/>
      <c r="P201" s="13"/>
    </row>
    <row r="202">
      <c r="C202" s="24"/>
      <c r="E202" s="13"/>
      <c r="F202" s="13"/>
      <c r="H202" s="24"/>
      <c r="J202" s="13"/>
      <c r="K202" s="13"/>
      <c r="M202" s="24"/>
      <c r="O202" s="13"/>
      <c r="P202" s="13"/>
    </row>
    <row r="203">
      <c r="C203" s="24"/>
      <c r="E203" s="13"/>
      <c r="F203" s="13"/>
      <c r="H203" s="24"/>
      <c r="J203" s="13"/>
      <c r="K203" s="13"/>
      <c r="M203" s="24"/>
      <c r="O203" s="13"/>
      <c r="P203" s="13"/>
    </row>
    <row r="204">
      <c r="C204" s="24"/>
      <c r="E204" s="13"/>
      <c r="F204" s="13"/>
      <c r="H204" s="24"/>
      <c r="J204" s="13"/>
      <c r="K204" s="13"/>
      <c r="M204" s="24"/>
      <c r="O204" s="13"/>
      <c r="P204" s="13"/>
    </row>
    <row r="205">
      <c r="C205" s="24"/>
      <c r="E205" s="13"/>
      <c r="F205" s="13"/>
      <c r="H205" s="24"/>
      <c r="J205" s="13"/>
      <c r="K205" s="13"/>
      <c r="M205" s="24"/>
      <c r="O205" s="13"/>
      <c r="P205" s="13"/>
    </row>
    <row r="206">
      <c r="C206" s="24"/>
      <c r="E206" s="13"/>
      <c r="F206" s="13"/>
      <c r="H206" s="24"/>
      <c r="J206" s="13"/>
      <c r="K206" s="13"/>
      <c r="M206" s="24"/>
      <c r="O206" s="13"/>
      <c r="P206" s="13"/>
    </row>
    <row r="207">
      <c r="C207" s="24"/>
      <c r="E207" s="13"/>
      <c r="F207" s="13"/>
      <c r="H207" s="24"/>
      <c r="J207" s="13"/>
      <c r="K207" s="13"/>
      <c r="M207" s="24"/>
      <c r="O207" s="13"/>
      <c r="P207" s="13"/>
    </row>
    <row r="208">
      <c r="C208" s="24"/>
      <c r="E208" s="13"/>
      <c r="F208" s="13"/>
      <c r="H208" s="24"/>
      <c r="J208" s="13"/>
      <c r="K208" s="13"/>
      <c r="M208" s="24"/>
      <c r="O208" s="13"/>
      <c r="P208" s="13"/>
    </row>
    <row r="209">
      <c r="C209" s="24"/>
      <c r="E209" s="13"/>
      <c r="F209" s="13"/>
      <c r="H209" s="24"/>
      <c r="J209" s="13"/>
      <c r="K209" s="13"/>
      <c r="M209" s="24"/>
      <c r="O209" s="13"/>
      <c r="P209" s="13"/>
    </row>
    <row r="210">
      <c r="C210" s="24"/>
      <c r="E210" s="13"/>
      <c r="F210" s="13"/>
      <c r="H210" s="24"/>
      <c r="J210" s="13"/>
      <c r="K210" s="13"/>
      <c r="M210" s="24"/>
      <c r="O210" s="13"/>
      <c r="P210" s="13"/>
    </row>
    <row r="211">
      <c r="C211" s="24"/>
      <c r="E211" s="13"/>
      <c r="F211" s="13"/>
      <c r="H211" s="24"/>
      <c r="J211" s="13"/>
      <c r="K211" s="13"/>
      <c r="M211" s="24"/>
      <c r="O211" s="13"/>
      <c r="P211" s="13"/>
    </row>
    <row r="212">
      <c r="C212" s="24"/>
      <c r="E212" s="13"/>
      <c r="F212" s="13"/>
      <c r="H212" s="24"/>
      <c r="J212" s="13"/>
      <c r="K212" s="13"/>
      <c r="M212" s="24"/>
      <c r="O212" s="13"/>
      <c r="P212" s="13"/>
    </row>
    <row r="213">
      <c r="C213" s="24"/>
      <c r="E213" s="13"/>
      <c r="F213" s="13"/>
      <c r="H213" s="24"/>
      <c r="J213" s="13"/>
      <c r="K213" s="13"/>
      <c r="M213" s="24"/>
      <c r="O213" s="13"/>
      <c r="P213" s="13"/>
    </row>
    <row r="214">
      <c r="C214" s="24"/>
      <c r="E214" s="13"/>
      <c r="F214" s="13"/>
      <c r="H214" s="24"/>
      <c r="J214" s="13"/>
      <c r="K214" s="13"/>
      <c r="M214" s="24"/>
      <c r="O214" s="13"/>
      <c r="P214" s="13"/>
    </row>
    <row r="215">
      <c r="C215" s="24"/>
      <c r="E215" s="13"/>
      <c r="F215" s="13"/>
      <c r="H215" s="24"/>
      <c r="J215" s="13"/>
      <c r="K215" s="13"/>
      <c r="M215" s="24"/>
      <c r="O215" s="13"/>
      <c r="P215" s="13"/>
    </row>
    <row r="216">
      <c r="C216" s="24"/>
      <c r="E216" s="13"/>
      <c r="F216" s="13"/>
      <c r="H216" s="24"/>
      <c r="J216" s="13"/>
      <c r="K216" s="13"/>
      <c r="M216" s="24"/>
      <c r="O216" s="13"/>
      <c r="P216" s="13"/>
    </row>
    <row r="217">
      <c r="C217" s="24"/>
      <c r="E217" s="13"/>
      <c r="F217" s="13"/>
      <c r="H217" s="24"/>
      <c r="J217" s="13"/>
      <c r="K217" s="13"/>
      <c r="M217" s="24"/>
      <c r="O217" s="13"/>
      <c r="P217" s="13"/>
    </row>
    <row r="218">
      <c r="C218" s="24"/>
      <c r="E218" s="13"/>
      <c r="F218" s="13"/>
      <c r="H218" s="24"/>
      <c r="J218" s="13"/>
      <c r="K218" s="13"/>
      <c r="M218" s="24"/>
      <c r="O218" s="13"/>
      <c r="P218" s="13"/>
    </row>
    <row r="219">
      <c r="C219" s="24"/>
      <c r="E219" s="13"/>
      <c r="F219" s="13"/>
      <c r="H219" s="24"/>
      <c r="J219" s="13"/>
      <c r="K219" s="13"/>
      <c r="M219" s="24"/>
      <c r="O219" s="13"/>
      <c r="P219" s="13"/>
    </row>
    <row r="220">
      <c r="C220" s="24"/>
      <c r="E220" s="13"/>
      <c r="F220" s="13"/>
      <c r="H220" s="24"/>
      <c r="J220" s="13"/>
      <c r="K220" s="13"/>
      <c r="M220" s="24"/>
      <c r="O220" s="13"/>
      <c r="P220" s="13"/>
    </row>
    <row r="221">
      <c r="C221" s="24"/>
      <c r="E221" s="13"/>
      <c r="F221" s="13"/>
      <c r="H221" s="24"/>
      <c r="J221" s="13"/>
      <c r="K221" s="13"/>
      <c r="M221" s="24"/>
      <c r="O221" s="13"/>
      <c r="P221" s="13"/>
    </row>
    <row r="222">
      <c r="C222" s="24"/>
      <c r="E222" s="13"/>
      <c r="F222" s="13"/>
      <c r="H222" s="24"/>
      <c r="J222" s="13"/>
      <c r="K222" s="13"/>
      <c r="M222" s="24"/>
      <c r="O222" s="13"/>
      <c r="P222" s="13"/>
    </row>
    <row r="223">
      <c r="C223" s="24"/>
      <c r="E223" s="13"/>
      <c r="F223" s="13"/>
      <c r="H223" s="24"/>
      <c r="J223" s="13"/>
      <c r="K223" s="13"/>
      <c r="M223" s="24"/>
      <c r="O223" s="13"/>
      <c r="P223" s="13"/>
    </row>
    <row r="224">
      <c r="C224" s="24"/>
      <c r="E224" s="13"/>
      <c r="F224" s="13"/>
      <c r="H224" s="24"/>
      <c r="J224" s="13"/>
      <c r="K224" s="13"/>
      <c r="M224" s="24"/>
      <c r="O224" s="13"/>
      <c r="P224" s="13"/>
    </row>
    <row r="225">
      <c r="C225" s="24"/>
      <c r="E225" s="13"/>
      <c r="F225" s="13"/>
      <c r="H225" s="24"/>
      <c r="J225" s="13"/>
      <c r="K225" s="13"/>
      <c r="M225" s="24"/>
      <c r="O225" s="13"/>
      <c r="P225" s="13"/>
    </row>
    <row r="226">
      <c r="C226" s="24"/>
      <c r="E226" s="13"/>
      <c r="F226" s="13"/>
      <c r="H226" s="24"/>
      <c r="J226" s="13"/>
      <c r="K226" s="13"/>
      <c r="M226" s="24"/>
      <c r="O226" s="13"/>
      <c r="P226" s="13"/>
    </row>
    <row r="227">
      <c r="C227" s="24"/>
      <c r="E227" s="13"/>
      <c r="F227" s="13"/>
      <c r="H227" s="24"/>
      <c r="J227" s="13"/>
      <c r="K227" s="13"/>
      <c r="M227" s="24"/>
      <c r="O227" s="13"/>
      <c r="P227" s="13"/>
    </row>
    <row r="228">
      <c r="C228" s="24"/>
      <c r="E228" s="13"/>
      <c r="F228" s="13"/>
      <c r="H228" s="24"/>
      <c r="J228" s="13"/>
      <c r="K228" s="13"/>
      <c r="M228" s="24"/>
      <c r="O228" s="13"/>
      <c r="P228" s="13"/>
    </row>
    <row r="229">
      <c r="C229" s="24"/>
      <c r="E229" s="13"/>
      <c r="F229" s="13"/>
      <c r="H229" s="24"/>
      <c r="J229" s="13"/>
      <c r="K229" s="13"/>
      <c r="M229" s="24"/>
      <c r="O229" s="13"/>
      <c r="P229" s="13"/>
    </row>
    <row r="230">
      <c r="C230" s="24"/>
      <c r="E230" s="13"/>
      <c r="F230" s="13"/>
      <c r="H230" s="24"/>
      <c r="J230" s="13"/>
      <c r="K230" s="13"/>
      <c r="M230" s="24"/>
      <c r="O230" s="13"/>
      <c r="P230" s="13"/>
    </row>
    <row r="231">
      <c r="C231" s="24"/>
      <c r="E231" s="13"/>
      <c r="F231" s="13"/>
      <c r="H231" s="24"/>
      <c r="J231" s="13"/>
      <c r="K231" s="13"/>
      <c r="M231" s="24"/>
      <c r="O231" s="13"/>
      <c r="P231" s="13"/>
    </row>
    <row r="232">
      <c r="C232" s="24"/>
      <c r="E232" s="13"/>
      <c r="F232" s="13"/>
      <c r="H232" s="24"/>
      <c r="J232" s="13"/>
      <c r="K232" s="13"/>
      <c r="M232" s="24"/>
      <c r="O232" s="13"/>
      <c r="P232" s="13"/>
    </row>
    <row r="233">
      <c r="C233" s="24"/>
      <c r="E233" s="13"/>
      <c r="F233" s="13"/>
      <c r="H233" s="24"/>
      <c r="J233" s="13"/>
      <c r="K233" s="13"/>
      <c r="M233" s="24"/>
      <c r="O233" s="13"/>
      <c r="P233" s="13"/>
    </row>
    <row r="234">
      <c r="C234" s="24"/>
      <c r="E234" s="13"/>
      <c r="F234" s="13"/>
      <c r="H234" s="24"/>
      <c r="J234" s="13"/>
      <c r="K234" s="13"/>
      <c r="M234" s="24"/>
      <c r="O234" s="13"/>
      <c r="P234" s="13"/>
    </row>
    <row r="235">
      <c r="C235" s="24"/>
      <c r="E235" s="13"/>
      <c r="F235" s="13"/>
      <c r="H235" s="24"/>
      <c r="J235" s="13"/>
      <c r="K235" s="13"/>
      <c r="M235" s="24"/>
      <c r="O235" s="13"/>
      <c r="P235" s="13"/>
    </row>
    <row r="236">
      <c r="C236" s="24"/>
      <c r="E236" s="13"/>
      <c r="F236" s="13"/>
      <c r="H236" s="24"/>
      <c r="J236" s="13"/>
      <c r="K236" s="13"/>
      <c r="M236" s="24"/>
      <c r="O236" s="13"/>
      <c r="P236" s="13"/>
    </row>
    <row r="237">
      <c r="C237" s="24"/>
      <c r="E237" s="13"/>
      <c r="F237" s="13"/>
      <c r="H237" s="24"/>
      <c r="J237" s="13"/>
      <c r="K237" s="13"/>
      <c r="M237" s="24"/>
      <c r="O237" s="13"/>
      <c r="P237" s="13"/>
    </row>
    <row r="238">
      <c r="C238" s="24"/>
      <c r="E238" s="13"/>
      <c r="F238" s="13"/>
      <c r="H238" s="24"/>
      <c r="J238" s="13"/>
      <c r="K238" s="13"/>
      <c r="M238" s="24"/>
      <c r="O238" s="13"/>
      <c r="P238" s="13"/>
    </row>
    <row r="239">
      <c r="C239" s="24"/>
      <c r="E239" s="13"/>
      <c r="F239" s="13"/>
      <c r="H239" s="24"/>
      <c r="J239" s="13"/>
      <c r="K239" s="13"/>
      <c r="M239" s="24"/>
      <c r="O239" s="13"/>
      <c r="P239" s="13"/>
    </row>
    <row r="240">
      <c r="C240" s="24"/>
      <c r="E240" s="13"/>
      <c r="F240" s="13"/>
      <c r="H240" s="24"/>
      <c r="J240" s="13"/>
      <c r="K240" s="13"/>
      <c r="M240" s="24"/>
      <c r="O240" s="13"/>
      <c r="P240" s="13"/>
    </row>
    <row r="241">
      <c r="C241" s="24"/>
      <c r="E241" s="13"/>
      <c r="F241" s="13"/>
      <c r="H241" s="24"/>
      <c r="J241" s="13"/>
      <c r="K241" s="13"/>
      <c r="M241" s="24"/>
      <c r="O241" s="13"/>
      <c r="P241" s="13"/>
    </row>
    <row r="242">
      <c r="C242" s="24"/>
      <c r="E242" s="13"/>
      <c r="F242" s="13"/>
      <c r="H242" s="24"/>
      <c r="J242" s="13"/>
      <c r="K242" s="13"/>
      <c r="M242" s="24"/>
      <c r="O242" s="13"/>
      <c r="P242" s="13"/>
    </row>
    <row r="243">
      <c r="C243" s="24"/>
      <c r="E243" s="13"/>
      <c r="F243" s="13"/>
      <c r="H243" s="24"/>
      <c r="J243" s="13"/>
      <c r="K243" s="13"/>
      <c r="M243" s="24"/>
      <c r="O243" s="13"/>
      <c r="P243" s="13"/>
    </row>
    <row r="244">
      <c r="C244" s="24"/>
      <c r="E244" s="13"/>
      <c r="F244" s="13"/>
      <c r="H244" s="24"/>
      <c r="J244" s="13"/>
      <c r="K244" s="13"/>
      <c r="M244" s="24"/>
      <c r="O244" s="13"/>
      <c r="P244" s="13"/>
    </row>
    <row r="245">
      <c r="C245" s="24"/>
      <c r="E245" s="13"/>
      <c r="F245" s="13"/>
      <c r="H245" s="24"/>
      <c r="J245" s="13"/>
      <c r="K245" s="13"/>
      <c r="M245" s="24"/>
      <c r="O245" s="13"/>
      <c r="P245" s="13"/>
    </row>
    <row r="246">
      <c r="C246" s="24"/>
      <c r="E246" s="13"/>
      <c r="F246" s="13"/>
      <c r="H246" s="24"/>
      <c r="J246" s="13"/>
      <c r="K246" s="13"/>
      <c r="M246" s="24"/>
      <c r="O246" s="13"/>
      <c r="P246" s="13"/>
    </row>
    <row r="247">
      <c r="C247" s="24"/>
      <c r="E247" s="13"/>
      <c r="F247" s="13"/>
      <c r="H247" s="24"/>
      <c r="J247" s="13"/>
      <c r="K247" s="13"/>
      <c r="M247" s="24"/>
      <c r="O247" s="13"/>
      <c r="P247" s="13"/>
    </row>
    <row r="248">
      <c r="C248" s="24"/>
      <c r="E248" s="13"/>
      <c r="F248" s="13"/>
      <c r="H248" s="24"/>
      <c r="J248" s="13"/>
      <c r="K248" s="13"/>
      <c r="M248" s="24"/>
      <c r="O248" s="13"/>
      <c r="P248" s="13"/>
    </row>
    <row r="249">
      <c r="C249" s="24"/>
      <c r="E249" s="13"/>
      <c r="F249" s="13"/>
      <c r="H249" s="24"/>
      <c r="J249" s="13"/>
      <c r="K249" s="13"/>
      <c r="M249" s="24"/>
      <c r="O249" s="13"/>
      <c r="P249" s="13"/>
    </row>
    <row r="250">
      <c r="C250" s="24"/>
      <c r="E250" s="13"/>
      <c r="F250" s="13"/>
      <c r="H250" s="24"/>
      <c r="J250" s="13"/>
      <c r="K250" s="13"/>
      <c r="M250" s="24"/>
      <c r="O250" s="13"/>
      <c r="P250" s="13"/>
    </row>
    <row r="251">
      <c r="C251" s="24"/>
      <c r="E251" s="13"/>
      <c r="F251" s="13"/>
      <c r="H251" s="24"/>
      <c r="J251" s="13"/>
      <c r="K251" s="13"/>
      <c r="M251" s="24"/>
      <c r="O251" s="13"/>
      <c r="P251" s="13"/>
    </row>
    <row r="252">
      <c r="C252" s="24"/>
      <c r="E252" s="13"/>
      <c r="F252" s="13"/>
      <c r="H252" s="24"/>
      <c r="J252" s="13"/>
      <c r="K252" s="13"/>
      <c r="M252" s="24"/>
      <c r="O252" s="13"/>
      <c r="P252" s="13"/>
    </row>
    <row r="253">
      <c r="C253" s="24"/>
      <c r="E253" s="13"/>
      <c r="F253" s="13"/>
      <c r="H253" s="24"/>
      <c r="J253" s="13"/>
      <c r="K253" s="13"/>
      <c r="M253" s="24"/>
      <c r="O253" s="13"/>
      <c r="P253" s="13"/>
    </row>
    <row r="254">
      <c r="C254" s="24"/>
      <c r="E254" s="13"/>
      <c r="F254" s="13"/>
      <c r="H254" s="24"/>
      <c r="J254" s="13"/>
      <c r="K254" s="13"/>
      <c r="M254" s="24"/>
      <c r="O254" s="13"/>
      <c r="P254" s="13"/>
    </row>
    <row r="255">
      <c r="C255" s="24"/>
      <c r="E255" s="13"/>
      <c r="F255" s="13"/>
      <c r="H255" s="24"/>
      <c r="J255" s="13"/>
      <c r="K255" s="13"/>
      <c r="M255" s="24"/>
      <c r="O255" s="13"/>
      <c r="P255" s="13"/>
    </row>
    <row r="256">
      <c r="C256" s="24"/>
      <c r="E256" s="13"/>
      <c r="F256" s="13"/>
      <c r="H256" s="24"/>
      <c r="J256" s="13"/>
      <c r="K256" s="13"/>
      <c r="M256" s="24"/>
      <c r="O256" s="13"/>
      <c r="P256" s="13"/>
    </row>
    <row r="257">
      <c r="C257" s="24"/>
      <c r="E257" s="13"/>
      <c r="F257" s="13"/>
      <c r="H257" s="24"/>
      <c r="J257" s="13"/>
      <c r="K257" s="13"/>
      <c r="M257" s="24"/>
      <c r="O257" s="13"/>
      <c r="P257" s="13"/>
    </row>
    <row r="258">
      <c r="C258" s="24"/>
      <c r="E258" s="13"/>
      <c r="F258" s="13"/>
      <c r="H258" s="24"/>
      <c r="J258" s="13"/>
      <c r="K258" s="13"/>
      <c r="M258" s="24"/>
      <c r="O258" s="13"/>
      <c r="P258" s="13"/>
    </row>
    <row r="259">
      <c r="C259" s="24"/>
      <c r="E259" s="13"/>
      <c r="F259" s="13"/>
      <c r="H259" s="24"/>
      <c r="J259" s="13"/>
      <c r="K259" s="13"/>
      <c r="M259" s="24"/>
      <c r="O259" s="13"/>
      <c r="P259" s="13"/>
    </row>
    <row r="260">
      <c r="C260" s="24"/>
      <c r="E260" s="13"/>
      <c r="F260" s="13"/>
      <c r="H260" s="24"/>
      <c r="J260" s="13"/>
      <c r="K260" s="13"/>
      <c r="M260" s="24"/>
      <c r="O260" s="13"/>
      <c r="P260" s="13"/>
    </row>
    <row r="261">
      <c r="C261" s="24"/>
      <c r="E261" s="13"/>
      <c r="F261" s="13"/>
      <c r="H261" s="24"/>
      <c r="J261" s="13"/>
      <c r="K261" s="13"/>
      <c r="M261" s="24"/>
      <c r="O261" s="13"/>
      <c r="P261" s="13"/>
    </row>
    <row r="262">
      <c r="C262" s="24"/>
      <c r="E262" s="13"/>
      <c r="F262" s="13"/>
      <c r="H262" s="24"/>
      <c r="J262" s="13"/>
      <c r="K262" s="13"/>
      <c r="M262" s="24"/>
      <c r="O262" s="13"/>
      <c r="P262" s="13"/>
    </row>
    <row r="263">
      <c r="C263" s="24"/>
      <c r="E263" s="13"/>
      <c r="F263" s="13"/>
      <c r="H263" s="24"/>
      <c r="J263" s="13"/>
      <c r="K263" s="13"/>
      <c r="M263" s="24"/>
      <c r="O263" s="13"/>
      <c r="P263" s="13"/>
    </row>
    <row r="264">
      <c r="C264" s="24"/>
      <c r="E264" s="13"/>
      <c r="F264" s="13"/>
      <c r="H264" s="24"/>
      <c r="J264" s="13"/>
      <c r="K264" s="13"/>
      <c r="M264" s="24"/>
      <c r="O264" s="13"/>
      <c r="P264" s="13"/>
    </row>
    <row r="265">
      <c r="C265" s="24"/>
      <c r="E265" s="13"/>
      <c r="F265" s="13"/>
      <c r="H265" s="24"/>
      <c r="J265" s="13"/>
      <c r="K265" s="13"/>
      <c r="M265" s="24"/>
      <c r="O265" s="13"/>
      <c r="P265" s="13"/>
    </row>
    <row r="266">
      <c r="C266" s="24"/>
      <c r="E266" s="13"/>
      <c r="F266" s="13"/>
      <c r="H266" s="24"/>
      <c r="J266" s="13"/>
      <c r="K266" s="13"/>
      <c r="M266" s="24"/>
      <c r="O266" s="13"/>
      <c r="P266" s="13"/>
    </row>
    <row r="267">
      <c r="C267" s="24"/>
      <c r="E267" s="13"/>
      <c r="F267" s="13"/>
      <c r="H267" s="24"/>
      <c r="J267" s="13"/>
      <c r="K267" s="13"/>
      <c r="M267" s="24"/>
      <c r="O267" s="13"/>
      <c r="P267" s="13"/>
    </row>
    <row r="268">
      <c r="C268" s="24"/>
      <c r="E268" s="13"/>
      <c r="F268" s="13"/>
      <c r="H268" s="24"/>
      <c r="J268" s="13"/>
      <c r="K268" s="13"/>
      <c r="M268" s="24"/>
      <c r="O268" s="13"/>
      <c r="P268" s="13"/>
    </row>
    <row r="269">
      <c r="C269" s="24"/>
      <c r="E269" s="13"/>
      <c r="F269" s="13"/>
      <c r="H269" s="24"/>
      <c r="J269" s="13"/>
      <c r="K269" s="13"/>
      <c r="M269" s="24"/>
      <c r="O269" s="13"/>
      <c r="P269" s="13"/>
    </row>
    <row r="270">
      <c r="C270" s="24"/>
      <c r="E270" s="13"/>
      <c r="F270" s="13"/>
      <c r="H270" s="24"/>
      <c r="J270" s="13"/>
      <c r="K270" s="13"/>
      <c r="M270" s="24"/>
      <c r="O270" s="13"/>
      <c r="P270" s="13"/>
    </row>
    <row r="271">
      <c r="C271" s="24"/>
      <c r="E271" s="13"/>
      <c r="F271" s="13"/>
      <c r="H271" s="24"/>
      <c r="J271" s="13"/>
      <c r="K271" s="13"/>
      <c r="M271" s="24"/>
      <c r="O271" s="13"/>
      <c r="P271" s="13"/>
    </row>
    <row r="272">
      <c r="C272" s="24"/>
      <c r="E272" s="13"/>
      <c r="F272" s="13"/>
      <c r="H272" s="24"/>
      <c r="J272" s="13"/>
      <c r="K272" s="13"/>
      <c r="M272" s="24"/>
      <c r="O272" s="13"/>
      <c r="P272" s="13"/>
    </row>
    <row r="273">
      <c r="C273" s="24"/>
      <c r="E273" s="13"/>
      <c r="F273" s="13"/>
      <c r="H273" s="24"/>
      <c r="J273" s="13"/>
      <c r="K273" s="13"/>
      <c r="M273" s="24"/>
      <c r="O273" s="13"/>
      <c r="P273" s="13"/>
    </row>
    <row r="274">
      <c r="C274" s="24"/>
      <c r="E274" s="13"/>
      <c r="F274" s="13"/>
      <c r="H274" s="24"/>
      <c r="J274" s="13"/>
      <c r="K274" s="13"/>
      <c r="M274" s="24"/>
      <c r="O274" s="13"/>
      <c r="P274" s="13"/>
    </row>
    <row r="275">
      <c r="C275" s="24"/>
      <c r="E275" s="13"/>
      <c r="F275" s="13"/>
      <c r="H275" s="24"/>
      <c r="J275" s="13"/>
      <c r="K275" s="13"/>
      <c r="M275" s="24"/>
      <c r="O275" s="13"/>
      <c r="P275" s="13"/>
    </row>
    <row r="276">
      <c r="C276" s="24"/>
      <c r="E276" s="13"/>
      <c r="F276" s="13"/>
      <c r="H276" s="24"/>
      <c r="J276" s="13"/>
      <c r="K276" s="13"/>
      <c r="M276" s="24"/>
      <c r="O276" s="13"/>
      <c r="P276" s="13"/>
    </row>
    <row r="277">
      <c r="C277" s="24"/>
      <c r="E277" s="13"/>
      <c r="F277" s="13"/>
      <c r="H277" s="24"/>
      <c r="J277" s="13"/>
      <c r="K277" s="13"/>
      <c r="M277" s="24"/>
      <c r="O277" s="13"/>
      <c r="P277" s="13"/>
    </row>
    <row r="278">
      <c r="C278" s="24"/>
      <c r="E278" s="13"/>
      <c r="F278" s="13"/>
      <c r="H278" s="24"/>
      <c r="J278" s="13"/>
      <c r="K278" s="13"/>
      <c r="M278" s="24"/>
      <c r="O278" s="13"/>
      <c r="P278" s="13"/>
    </row>
    <row r="279">
      <c r="C279" s="24"/>
      <c r="E279" s="13"/>
      <c r="F279" s="13"/>
      <c r="H279" s="24"/>
      <c r="J279" s="13"/>
      <c r="K279" s="13"/>
      <c r="M279" s="24"/>
      <c r="O279" s="13"/>
      <c r="P279" s="13"/>
    </row>
    <row r="280">
      <c r="C280" s="24"/>
      <c r="E280" s="13"/>
      <c r="F280" s="13"/>
      <c r="H280" s="24"/>
      <c r="J280" s="13"/>
      <c r="K280" s="13"/>
      <c r="M280" s="24"/>
      <c r="O280" s="13"/>
      <c r="P280" s="13"/>
    </row>
    <row r="281">
      <c r="C281" s="24"/>
      <c r="E281" s="13"/>
      <c r="F281" s="13"/>
      <c r="H281" s="24"/>
      <c r="J281" s="13"/>
      <c r="K281" s="13"/>
      <c r="M281" s="24"/>
      <c r="O281" s="13"/>
      <c r="P281" s="13"/>
    </row>
    <row r="282">
      <c r="C282" s="24"/>
      <c r="E282" s="13"/>
      <c r="F282" s="13"/>
      <c r="H282" s="24"/>
      <c r="J282" s="13"/>
      <c r="K282" s="13"/>
      <c r="M282" s="24"/>
      <c r="O282" s="13"/>
      <c r="P282" s="13"/>
    </row>
    <row r="283">
      <c r="C283" s="24"/>
      <c r="E283" s="13"/>
      <c r="F283" s="13"/>
      <c r="H283" s="24"/>
      <c r="J283" s="13"/>
      <c r="K283" s="13"/>
      <c r="M283" s="24"/>
      <c r="O283" s="13"/>
      <c r="P283" s="13"/>
    </row>
    <row r="284">
      <c r="C284" s="24"/>
      <c r="E284" s="13"/>
      <c r="F284" s="13"/>
      <c r="H284" s="24"/>
      <c r="J284" s="13"/>
      <c r="K284" s="13"/>
      <c r="M284" s="24"/>
      <c r="O284" s="13"/>
      <c r="P284" s="13"/>
    </row>
    <row r="285">
      <c r="C285" s="24"/>
      <c r="E285" s="13"/>
      <c r="F285" s="13"/>
      <c r="H285" s="24"/>
      <c r="J285" s="13"/>
      <c r="K285" s="13"/>
      <c r="M285" s="24"/>
      <c r="O285" s="13"/>
      <c r="P285" s="13"/>
    </row>
    <row r="286">
      <c r="C286" s="24"/>
      <c r="E286" s="13"/>
      <c r="F286" s="13"/>
      <c r="H286" s="24"/>
      <c r="J286" s="13"/>
      <c r="K286" s="13"/>
      <c r="M286" s="24"/>
      <c r="O286" s="13"/>
      <c r="P286" s="13"/>
    </row>
    <row r="287">
      <c r="C287" s="24"/>
      <c r="E287" s="13"/>
      <c r="F287" s="13"/>
      <c r="H287" s="24"/>
      <c r="J287" s="13"/>
      <c r="K287" s="13"/>
      <c r="M287" s="24"/>
      <c r="O287" s="13"/>
      <c r="P287" s="13"/>
    </row>
    <row r="288">
      <c r="C288" s="24"/>
      <c r="E288" s="13"/>
      <c r="F288" s="13"/>
      <c r="H288" s="24"/>
      <c r="J288" s="13"/>
      <c r="K288" s="13"/>
      <c r="M288" s="24"/>
      <c r="O288" s="13"/>
      <c r="P288" s="13"/>
    </row>
    <row r="289">
      <c r="C289" s="24"/>
      <c r="E289" s="13"/>
      <c r="F289" s="13"/>
      <c r="H289" s="24"/>
      <c r="J289" s="13"/>
      <c r="K289" s="13"/>
      <c r="M289" s="24"/>
      <c r="O289" s="13"/>
      <c r="P289" s="13"/>
    </row>
    <row r="290">
      <c r="C290" s="24"/>
      <c r="E290" s="13"/>
      <c r="F290" s="13"/>
      <c r="H290" s="24"/>
      <c r="J290" s="13"/>
      <c r="K290" s="13"/>
      <c r="M290" s="24"/>
      <c r="O290" s="13"/>
      <c r="P290" s="13"/>
    </row>
    <row r="291">
      <c r="C291" s="24"/>
      <c r="E291" s="13"/>
      <c r="F291" s="13"/>
      <c r="H291" s="24"/>
      <c r="J291" s="13"/>
      <c r="K291" s="13"/>
      <c r="M291" s="24"/>
      <c r="O291" s="13"/>
      <c r="P291" s="13"/>
    </row>
    <row r="292">
      <c r="C292" s="24"/>
      <c r="E292" s="13"/>
      <c r="F292" s="13"/>
      <c r="H292" s="24"/>
      <c r="J292" s="13"/>
      <c r="K292" s="13"/>
      <c r="M292" s="24"/>
      <c r="O292" s="13"/>
      <c r="P292" s="13"/>
    </row>
    <row r="293">
      <c r="C293" s="24"/>
      <c r="E293" s="13"/>
      <c r="F293" s="13"/>
      <c r="H293" s="24"/>
      <c r="J293" s="13"/>
      <c r="K293" s="13"/>
      <c r="M293" s="24"/>
      <c r="O293" s="13"/>
      <c r="P293" s="13"/>
    </row>
    <row r="294">
      <c r="C294" s="24"/>
      <c r="E294" s="13"/>
      <c r="F294" s="13"/>
      <c r="H294" s="24"/>
      <c r="J294" s="13"/>
      <c r="K294" s="13"/>
      <c r="M294" s="24"/>
      <c r="O294" s="13"/>
      <c r="P294" s="13"/>
    </row>
    <row r="295">
      <c r="C295" s="24"/>
      <c r="E295" s="13"/>
      <c r="F295" s="13"/>
      <c r="H295" s="24"/>
      <c r="J295" s="13"/>
      <c r="K295" s="13"/>
      <c r="M295" s="24"/>
      <c r="O295" s="13"/>
      <c r="P295" s="13"/>
    </row>
    <row r="296">
      <c r="C296" s="24"/>
      <c r="E296" s="13"/>
      <c r="F296" s="13"/>
      <c r="H296" s="24"/>
      <c r="J296" s="13"/>
      <c r="K296" s="13"/>
      <c r="M296" s="24"/>
      <c r="O296" s="13"/>
      <c r="P296" s="13"/>
    </row>
    <row r="297">
      <c r="C297" s="24"/>
      <c r="E297" s="13"/>
      <c r="F297" s="13"/>
      <c r="H297" s="24"/>
      <c r="J297" s="13"/>
      <c r="K297" s="13"/>
      <c r="M297" s="24"/>
      <c r="O297" s="13"/>
      <c r="P297" s="13"/>
    </row>
    <row r="298">
      <c r="C298" s="24"/>
      <c r="E298" s="13"/>
      <c r="F298" s="13"/>
      <c r="H298" s="24"/>
      <c r="J298" s="13"/>
      <c r="K298" s="13"/>
      <c r="M298" s="24"/>
      <c r="O298" s="13"/>
      <c r="P298" s="13"/>
    </row>
    <row r="299">
      <c r="C299" s="24"/>
      <c r="E299" s="13"/>
      <c r="F299" s="13"/>
      <c r="H299" s="24"/>
      <c r="J299" s="13"/>
      <c r="K299" s="13"/>
      <c r="M299" s="24"/>
      <c r="O299" s="13"/>
      <c r="P299" s="13"/>
    </row>
    <row r="300">
      <c r="C300" s="24"/>
      <c r="E300" s="13"/>
      <c r="F300" s="13"/>
      <c r="H300" s="24"/>
      <c r="J300" s="13"/>
      <c r="K300" s="13"/>
      <c r="M300" s="24"/>
      <c r="O300" s="13"/>
      <c r="P300" s="13"/>
    </row>
    <row r="301">
      <c r="C301" s="24"/>
      <c r="E301" s="13"/>
      <c r="F301" s="13"/>
      <c r="H301" s="24"/>
      <c r="J301" s="13"/>
      <c r="K301" s="13"/>
      <c r="M301" s="24"/>
      <c r="O301" s="13"/>
      <c r="P301" s="13"/>
    </row>
    <row r="302">
      <c r="C302" s="24"/>
      <c r="E302" s="13"/>
      <c r="F302" s="13"/>
      <c r="H302" s="24"/>
      <c r="J302" s="13"/>
      <c r="K302" s="13"/>
      <c r="M302" s="24"/>
      <c r="O302" s="13"/>
      <c r="P302" s="13"/>
    </row>
    <row r="303">
      <c r="C303" s="24"/>
      <c r="E303" s="13"/>
      <c r="F303" s="13"/>
      <c r="H303" s="24"/>
      <c r="J303" s="13"/>
      <c r="K303" s="13"/>
      <c r="M303" s="24"/>
      <c r="O303" s="13"/>
      <c r="P303" s="13"/>
    </row>
    <row r="304">
      <c r="C304" s="24"/>
      <c r="E304" s="13"/>
      <c r="F304" s="13"/>
      <c r="H304" s="24"/>
      <c r="J304" s="13"/>
      <c r="K304" s="13"/>
      <c r="M304" s="24"/>
      <c r="O304" s="13"/>
      <c r="P304" s="13"/>
    </row>
    <row r="305">
      <c r="C305" s="24"/>
      <c r="E305" s="13"/>
      <c r="F305" s="13"/>
      <c r="H305" s="24"/>
      <c r="J305" s="13"/>
      <c r="K305" s="13"/>
      <c r="M305" s="24"/>
      <c r="O305" s="13"/>
      <c r="P305" s="13"/>
    </row>
    <row r="306">
      <c r="C306" s="24"/>
      <c r="E306" s="13"/>
      <c r="F306" s="13"/>
      <c r="H306" s="24"/>
      <c r="J306" s="13"/>
      <c r="K306" s="13"/>
      <c r="M306" s="24"/>
      <c r="O306" s="13"/>
      <c r="P306" s="13"/>
    </row>
    <row r="307">
      <c r="C307" s="24"/>
      <c r="E307" s="13"/>
      <c r="F307" s="13"/>
      <c r="H307" s="24"/>
      <c r="J307" s="13"/>
      <c r="K307" s="13"/>
      <c r="M307" s="24"/>
      <c r="O307" s="13"/>
      <c r="P307" s="13"/>
    </row>
    <row r="308">
      <c r="C308" s="24"/>
      <c r="E308" s="13"/>
      <c r="F308" s="13"/>
      <c r="H308" s="24"/>
      <c r="J308" s="13"/>
      <c r="K308" s="13"/>
      <c r="M308" s="24"/>
      <c r="O308" s="13"/>
      <c r="P308" s="13"/>
    </row>
    <row r="309">
      <c r="C309" s="24"/>
      <c r="E309" s="13"/>
      <c r="F309" s="13"/>
      <c r="H309" s="24"/>
      <c r="J309" s="13"/>
      <c r="K309" s="13"/>
      <c r="M309" s="24"/>
      <c r="O309" s="13"/>
      <c r="P309" s="13"/>
    </row>
    <row r="310">
      <c r="C310" s="24"/>
      <c r="E310" s="13"/>
      <c r="F310" s="13"/>
      <c r="H310" s="24"/>
      <c r="J310" s="13"/>
      <c r="K310" s="13"/>
      <c r="M310" s="24"/>
      <c r="O310" s="13"/>
      <c r="P310" s="13"/>
    </row>
    <row r="311">
      <c r="C311" s="24"/>
      <c r="E311" s="13"/>
      <c r="F311" s="13"/>
      <c r="H311" s="24"/>
      <c r="J311" s="13"/>
      <c r="K311" s="13"/>
      <c r="M311" s="24"/>
      <c r="O311" s="13"/>
      <c r="P311" s="13"/>
    </row>
    <row r="312">
      <c r="C312" s="24"/>
      <c r="E312" s="13"/>
      <c r="F312" s="13"/>
      <c r="H312" s="24"/>
      <c r="J312" s="13"/>
      <c r="K312" s="13"/>
      <c r="M312" s="24"/>
      <c r="O312" s="13"/>
      <c r="P312" s="13"/>
    </row>
    <row r="313">
      <c r="C313" s="24"/>
      <c r="E313" s="13"/>
      <c r="F313" s="13"/>
      <c r="H313" s="24"/>
      <c r="J313" s="13"/>
      <c r="K313" s="13"/>
      <c r="M313" s="24"/>
      <c r="O313" s="13"/>
      <c r="P313" s="13"/>
    </row>
    <row r="314">
      <c r="C314" s="24"/>
      <c r="E314" s="13"/>
      <c r="F314" s="13"/>
      <c r="H314" s="24"/>
      <c r="J314" s="13"/>
      <c r="K314" s="13"/>
      <c r="M314" s="24"/>
      <c r="O314" s="13"/>
      <c r="P314" s="13"/>
    </row>
    <row r="315">
      <c r="C315" s="24"/>
      <c r="E315" s="13"/>
      <c r="F315" s="13"/>
      <c r="H315" s="24"/>
      <c r="J315" s="13"/>
      <c r="K315" s="13"/>
      <c r="M315" s="24"/>
      <c r="O315" s="13"/>
      <c r="P315" s="13"/>
    </row>
    <row r="316">
      <c r="C316" s="24"/>
      <c r="E316" s="13"/>
      <c r="F316" s="13"/>
      <c r="H316" s="24"/>
      <c r="J316" s="13"/>
      <c r="K316" s="13"/>
      <c r="M316" s="24"/>
      <c r="O316" s="13"/>
      <c r="P316" s="13"/>
    </row>
    <row r="317">
      <c r="C317" s="24"/>
      <c r="E317" s="13"/>
      <c r="F317" s="13"/>
      <c r="H317" s="24"/>
      <c r="J317" s="13"/>
      <c r="K317" s="13"/>
      <c r="M317" s="24"/>
      <c r="O317" s="13"/>
      <c r="P317" s="13"/>
    </row>
    <row r="318">
      <c r="C318" s="24"/>
      <c r="E318" s="13"/>
      <c r="F318" s="13"/>
      <c r="H318" s="24"/>
      <c r="J318" s="13"/>
      <c r="K318" s="13"/>
      <c r="M318" s="24"/>
      <c r="O318" s="13"/>
      <c r="P318" s="13"/>
    </row>
    <row r="319">
      <c r="C319" s="24"/>
      <c r="E319" s="13"/>
      <c r="F319" s="13"/>
      <c r="H319" s="24"/>
      <c r="J319" s="13"/>
      <c r="K319" s="13"/>
      <c r="M319" s="24"/>
      <c r="O319" s="13"/>
      <c r="P319" s="13"/>
    </row>
    <row r="320">
      <c r="C320" s="24"/>
      <c r="E320" s="13"/>
      <c r="F320" s="13"/>
      <c r="H320" s="24"/>
      <c r="J320" s="13"/>
      <c r="K320" s="13"/>
      <c r="M320" s="24"/>
      <c r="O320" s="13"/>
      <c r="P320" s="13"/>
    </row>
    <row r="321">
      <c r="C321" s="24"/>
      <c r="E321" s="13"/>
      <c r="F321" s="13"/>
      <c r="H321" s="24"/>
      <c r="J321" s="13"/>
      <c r="K321" s="13"/>
      <c r="M321" s="24"/>
      <c r="O321" s="13"/>
      <c r="P321" s="13"/>
    </row>
    <row r="322">
      <c r="C322" s="24"/>
      <c r="E322" s="13"/>
      <c r="F322" s="13"/>
      <c r="H322" s="24"/>
      <c r="J322" s="13"/>
      <c r="K322" s="13"/>
      <c r="M322" s="24"/>
      <c r="O322" s="13"/>
      <c r="P322" s="13"/>
    </row>
    <row r="323">
      <c r="C323" s="24"/>
      <c r="E323" s="13"/>
      <c r="F323" s="13"/>
      <c r="H323" s="24"/>
      <c r="J323" s="13"/>
      <c r="K323" s="13"/>
      <c r="M323" s="24"/>
      <c r="O323" s="13"/>
      <c r="P323" s="13"/>
    </row>
    <row r="324">
      <c r="C324" s="24"/>
      <c r="E324" s="13"/>
      <c r="F324" s="13"/>
      <c r="H324" s="24"/>
      <c r="J324" s="13"/>
      <c r="K324" s="13"/>
      <c r="M324" s="24"/>
      <c r="O324" s="13"/>
      <c r="P324" s="13"/>
    </row>
    <row r="325">
      <c r="C325" s="24"/>
      <c r="E325" s="13"/>
      <c r="F325" s="13"/>
      <c r="H325" s="24"/>
      <c r="J325" s="13"/>
      <c r="K325" s="13"/>
      <c r="M325" s="24"/>
      <c r="O325" s="13"/>
      <c r="P325" s="13"/>
    </row>
    <row r="326">
      <c r="C326" s="24"/>
      <c r="E326" s="13"/>
      <c r="F326" s="13"/>
      <c r="H326" s="24"/>
      <c r="J326" s="13"/>
      <c r="K326" s="13"/>
      <c r="M326" s="24"/>
      <c r="O326" s="13"/>
      <c r="P326" s="13"/>
    </row>
    <row r="327">
      <c r="C327" s="24"/>
      <c r="E327" s="13"/>
      <c r="F327" s="13"/>
      <c r="H327" s="24"/>
      <c r="J327" s="13"/>
      <c r="K327" s="13"/>
      <c r="M327" s="24"/>
      <c r="O327" s="13"/>
      <c r="P327" s="13"/>
    </row>
    <row r="328">
      <c r="C328" s="24"/>
      <c r="E328" s="13"/>
      <c r="F328" s="13"/>
      <c r="H328" s="24"/>
      <c r="J328" s="13"/>
      <c r="K328" s="13"/>
      <c r="M328" s="24"/>
      <c r="O328" s="13"/>
      <c r="P328" s="13"/>
    </row>
    <row r="329">
      <c r="C329" s="24"/>
      <c r="E329" s="13"/>
      <c r="F329" s="13"/>
      <c r="H329" s="24"/>
      <c r="J329" s="13"/>
      <c r="K329" s="13"/>
      <c r="M329" s="24"/>
      <c r="O329" s="13"/>
      <c r="P329" s="13"/>
    </row>
    <row r="330">
      <c r="C330" s="24"/>
      <c r="E330" s="13"/>
      <c r="F330" s="13"/>
      <c r="H330" s="24"/>
      <c r="J330" s="13"/>
      <c r="K330" s="13"/>
      <c r="M330" s="24"/>
      <c r="O330" s="13"/>
      <c r="P330" s="13"/>
    </row>
    <row r="331">
      <c r="C331" s="24"/>
      <c r="E331" s="13"/>
      <c r="F331" s="13"/>
      <c r="H331" s="24"/>
      <c r="J331" s="13"/>
      <c r="K331" s="13"/>
      <c r="M331" s="24"/>
      <c r="O331" s="13"/>
      <c r="P331" s="13"/>
    </row>
    <row r="332">
      <c r="C332" s="24"/>
      <c r="E332" s="13"/>
      <c r="F332" s="13"/>
      <c r="H332" s="24"/>
      <c r="J332" s="13"/>
      <c r="K332" s="13"/>
      <c r="M332" s="24"/>
      <c r="O332" s="13"/>
      <c r="P332" s="13"/>
    </row>
    <row r="333">
      <c r="C333" s="24"/>
      <c r="E333" s="13"/>
      <c r="F333" s="13"/>
      <c r="H333" s="24"/>
      <c r="J333" s="13"/>
      <c r="K333" s="13"/>
      <c r="M333" s="24"/>
      <c r="O333" s="13"/>
      <c r="P333" s="13"/>
    </row>
    <row r="334">
      <c r="C334" s="24"/>
      <c r="E334" s="13"/>
      <c r="F334" s="13"/>
      <c r="H334" s="24"/>
      <c r="J334" s="13"/>
      <c r="K334" s="13"/>
      <c r="M334" s="24"/>
      <c r="O334" s="13"/>
      <c r="P334" s="13"/>
    </row>
    <row r="335">
      <c r="C335" s="24"/>
      <c r="E335" s="13"/>
      <c r="F335" s="13"/>
      <c r="H335" s="24"/>
      <c r="J335" s="13"/>
      <c r="K335" s="13"/>
      <c r="M335" s="24"/>
      <c r="O335" s="13"/>
      <c r="P335" s="13"/>
    </row>
    <row r="336">
      <c r="C336" s="24"/>
      <c r="E336" s="13"/>
      <c r="F336" s="13"/>
      <c r="H336" s="24"/>
      <c r="J336" s="13"/>
      <c r="K336" s="13"/>
      <c r="M336" s="24"/>
      <c r="O336" s="13"/>
      <c r="P336" s="13"/>
    </row>
    <row r="337">
      <c r="C337" s="24"/>
      <c r="E337" s="13"/>
      <c r="F337" s="13"/>
      <c r="H337" s="24"/>
      <c r="J337" s="13"/>
      <c r="K337" s="13"/>
      <c r="M337" s="24"/>
      <c r="O337" s="13"/>
      <c r="P337" s="13"/>
    </row>
    <row r="338">
      <c r="C338" s="24"/>
      <c r="E338" s="13"/>
      <c r="F338" s="13"/>
      <c r="H338" s="24"/>
      <c r="J338" s="13"/>
      <c r="K338" s="13"/>
      <c r="M338" s="24"/>
      <c r="O338" s="13"/>
      <c r="P338" s="13"/>
    </row>
    <row r="339">
      <c r="C339" s="24"/>
      <c r="E339" s="13"/>
      <c r="F339" s="13"/>
      <c r="H339" s="24"/>
      <c r="J339" s="13"/>
      <c r="K339" s="13"/>
      <c r="M339" s="24"/>
      <c r="O339" s="13"/>
      <c r="P339" s="13"/>
    </row>
    <row r="340">
      <c r="C340" s="24"/>
      <c r="E340" s="13"/>
      <c r="F340" s="13"/>
      <c r="H340" s="24"/>
      <c r="J340" s="13"/>
      <c r="K340" s="13"/>
      <c r="M340" s="24"/>
      <c r="O340" s="13"/>
      <c r="P340" s="13"/>
    </row>
    <row r="341">
      <c r="C341" s="24"/>
      <c r="E341" s="13"/>
      <c r="F341" s="13"/>
      <c r="H341" s="24"/>
      <c r="J341" s="13"/>
      <c r="K341" s="13"/>
      <c r="M341" s="24"/>
      <c r="O341" s="13"/>
      <c r="P341" s="13"/>
    </row>
    <row r="342">
      <c r="C342" s="24"/>
      <c r="E342" s="13"/>
      <c r="F342" s="13"/>
      <c r="H342" s="24"/>
      <c r="J342" s="13"/>
      <c r="K342" s="13"/>
      <c r="M342" s="24"/>
      <c r="O342" s="13"/>
      <c r="P342" s="13"/>
    </row>
    <row r="343">
      <c r="C343" s="24"/>
      <c r="E343" s="13"/>
      <c r="F343" s="13"/>
      <c r="H343" s="24"/>
      <c r="J343" s="13"/>
      <c r="K343" s="13"/>
      <c r="M343" s="24"/>
      <c r="O343" s="13"/>
      <c r="P343" s="13"/>
    </row>
    <row r="344">
      <c r="C344" s="24"/>
      <c r="E344" s="13"/>
      <c r="F344" s="13"/>
      <c r="H344" s="24"/>
      <c r="J344" s="13"/>
      <c r="K344" s="13"/>
      <c r="M344" s="24"/>
      <c r="O344" s="13"/>
      <c r="P344" s="13"/>
    </row>
    <row r="345">
      <c r="C345" s="24"/>
      <c r="E345" s="13"/>
      <c r="F345" s="13"/>
      <c r="H345" s="24"/>
      <c r="J345" s="13"/>
      <c r="K345" s="13"/>
      <c r="M345" s="24"/>
      <c r="O345" s="13"/>
      <c r="P345" s="13"/>
    </row>
    <row r="346">
      <c r="C346" s="24"/>
      <c r="E346" s="13"/>
      <c r="F346" s="13"/>
      <c r="H346" s="24"/>
      <c r="J346" s="13"/>
      <c r="K346" s="13"/>
      <c r="M346" s="24"/>
      <c r="O346" s="13"/>
      <c r="P346" s="13"/>
    </row>
    <row r="347">
      <c r="C347" s="24"/>
      <c r="E347" s="13"/>
      <c r="F347" s="13"/>
      <c r="H347" s="24"/>
      <c r="J347" s="13"/>
      <c r="K347" s="13"/>
      <c r="M347" s="24"/>
      <c r="O347" s="13"/>
      <c r="P347" s="13"/>
    </row>
    <row r="348">
      <c r="C348" s="24"/>
      <c r="E348" s="13"/>
      <c r="F348" s="13"/>
      <c r="H348" s="24"/>
      <c r="J348" s="13"/>
      <c r="K348" s="13"/>
      <c r="M348" s="24"/>
      <c r="O348" s="13"/>
      <c r="P348" s="13"/>
    </row>
    <row r="349">
      <c r="C349" s="24"/>
      <c r="E349" s="13"/>
      <c r="F349" s="13"/>
      <c r="H349" s="24"/>
      <c r="J349" s="13"/>
      <c r="K349" s="13"/>
      <c r="M349" s="24"/>
      <c r="O349" s="13"/>
      <c r="P349" s="13"/>
    </row>
    <row r="350">
      <c r="C350" s="24"/>
      <c r="E350" s="13"/>
      <c r="F350" s="13"/>
      <c r="H350" s="24"/>
      <c r="J350" s="13"/>
      <c r="K350" s="13"/>
      <c r="M350" s="24"/>
      <c r="O350" s="13"/>
      <c r="P350" s="13"/>
    </row>
    <row r="351">
      <c r="C351" s="24"/>
      <c r="E351" s="13"/>
      <c r="F351" s="13"/>
      <c r="H351" s="24"/>
      <c r="J351" s="13"/>
      <c r="K351" s="13"/>
      <c r="M351" s="24"/>
      <c r="O351" s="13"/>
      <c r="P351" s="13"/>
    </row>
    <row r="352">
      <c r="C352" s="24"/>
      <c r="E352" s="13"/>
      <c r="F352" s="13"/>
      <c r="H352" s="24"/>
      <c r="J352" s="13"/>
      <c r="K352" s="13"/>
      <c r="M352" s="24"/>
      <c r="O352" s="13"/>
      <c r="P352" s="13"/>
    </row>
    <row r="353">
      <c r="C353" s="24"/>
      <c r="E353" s="13"/>
      <c r="F353" s="13"/>
      <c r="H353" s="24"/>
      <c r="J353" s="13"/>
      <c r="K353" s="13"/>
      <c r="M353" s="24"/>
      <c r="O353" s="13"/>
      <c r="P353" s="13"/>
    </row>
    <row r="354">
      <c r="C354" s="24"/>
      <c r="E354" s="13"/>
      <c r="F354" s="13"/>
      <c r="H354" s="24"/>
      <c r="J354" s="13"/>
      <c r="K354" s="13"/>
      <c r="M354" s="24"/>
      <c r="O354" s="13"/>
      <c r="P354" s="13"/>
    </row>
    <row r="355">
      <c r="C355" s="24"/>
      <c r="E355" s="13"/>
      <c r="F355" s="13"/>
      <c r="H355" s="24"/>
      <c r="J355" s="13"/>
      <c r="K355" s="13"/>
      <c r="M355" s="24"/>
      <c r="O355" s="13"/>
      <c r="P355" s="13"/>
    </row>
    <row r="356">
      <c r="C356" s="24"/>
      <c r="E356" s="13"/>
      <c r="F356" s="13"/>
      <c r="H356" s="24"/>
      <c r="J356" s="13"/>
      <c r="K356" s="13"/>
      <c r="M356" s="24"/>
      <c r="O356" s="13"/>
      <c r="P356" s="13"/>
    </row>
    <row r="357">
      <c r="C357" s="24"/>
      <c r="E357" s="13"/>
      <c r="F357" s="13"/>
      <c r="H357" s="24"/>
      <c r="J357" s="13"/>
      <c r="K357" s="13"/>
      <c r="M357" s="24"/>
      <c r="O357" s="13"/>
      <c r="P357" s="13"/>
    </row>
    <row r="358">
      <c r="C358" s="24"/>
      <c r="E358" s="13"/>
      <c r="F358" s="13"/>
      <c r="H358" s="24"/>
      <c r="J358" s="13"/>
      <c r="K358" s="13"/>
      <c r="M358" s="24"/>
      <c r="O358" s="13"/>
      <c r="P358" s="13"/>
    </row>
    <row r="359">
      <c r="C359" s="24"/>
      <c r="E359" s="13"/>
      <c r="F359" s="13"/>
      <c r="H359" s="24"/>
      <c r="J359" s="13"/>
      <c r="K359" s="13"/>
      <c r="M359" s="24"/>
      <c r="O359" s="13"/>
      <c r="P359" s="13"/>
    </row>
    <row r="360">
      <c r="C360" s="24"/>
      <c r="E360" s="13"/>
      <c r="F360" s="13"/>
      <c r="H360" s="24"/>
      <c r="J360" s="13"/>
      <c r="K360" s="13"/>
      <c r="M360" s="24"/>
      <c r="O360" s="13"/>
      <c r="P360" s="13"/>
    </row>
    <row r="361">
      <c r="C361" s="24"/>
      <c r="E361" s="13"/>
      <c r="F361" s="13"/>
      <c r="H361" s="24"/>
      <c r="J361" s="13"/>
      <c r="K361" s="13"/>
      <c r="M361" s="24"/>
      <c r="O361" s="13"/>
      <c r="P361" s="13"/>
    </row>
    <row r="362">
      <c r="C362" s="24"/>
      <c r="E362" s="13"/>
      <c r="F362" s="13"/>
      <c r="H362" s="24"/>
      <c r="J362" s="13"/>
      <c r="K362" s="13"/>
      <c r="M362" s="24"/>
      <c r="O362" s="13"/>
      <c r="P362" s="13"/>
    </row>
    <row r="363">
      <c r="C363" s="24"/>
      <c r="E363" s="13"/>
      <c r="F363" s="13"/>
      <c r="H363" s="24"/>
      <c r="J363" s="13"/>
      <c r="K363" s="13"/>
      <c r="M363" s="24"/>
      <c r="O363" s="13"/>
      <c r="P363" s="13"/>
    </row>
    <row r="364">
      <c r="C364" s="24"/>
      <c r="E364" s="13"/>
      <c r="F364" s="13"/>
      <c r="H364" s="24"/>
      <c r="J364" s="13"/>
      <c r="K364" s="13"/>
      <c r="M364" s="24"/>
      <c r="O364" s="13"/>
      <c r="P364" s="13"/>
    </row>
    <row r="365">
      <c r="C365" s="24"/>
      <c r="E365" s="13"/>
      <c r="F365" s="13"/>
      <c r="H365" s="24"/>
      <c r="J365" s="13"/>
      <c r="K365" s="13"/>
      <c r="M365" s="24"/>
      <c r="O365" s="13"/>
      <c r="P365" s="13"/>
    </row>
    <row r="366">
      <c r="C366" s="24"/>
      <c r="E366" s="13"/>
      <c r="F366" s="13"/>
      <c r="H366" s="24"/>
      <c r="J366" s="13"/>
      <c r="K366" s="13"/>
      <c r="M366" s="24"/>
      <c r="O366" s="13"/>
      <c r="P366" s="13"/>
    </row>
    <row r="367">
      <c r="C367" s="24"/>
      <c r="E367" s="13"/>
      <c r="F367" s="13"/>
      <c r="H367" s="24"/>
      <c r="J367" s="13"/>
      <c r="K367" s="13"/>
      <c r="M367" s="24"/>
      <c r="O367" s="13"/>
      <c r="P367" s="13"/>
    </row>
    <row r="368">
      <c r="C368" s="24"/>
      <c r="E368" s="13"/>
      <c r="F368" s="13"/>
      <c r="H368" s="24"/>
      <c r="J368" s="13"/>
      <c r="K368" s="13"/>
      <c r="M368" s="24"/>
      <c r="O368" s="13"/>
      <c r="P368" s="13"/>
    </row>
    <row r="369">
      <c r="C369" s="24"/>
      <c r="E369" s="13"/>
      <c r="F369" s="13"/>
      <c r="H369" s="24"/>
      <c r="J369" s="13"/>
      <c r="K369" s="13"/>
      <c r="M369" s="24"/>
      <c r="O369" s="13"/>
      <c r="P369" s="13"/>
    </row>
    <row r="370">
      <c r="C370" s="24"/>
      <c r="E370" s="13"/>
      <c r="F370" s="13"/>
      <c r="H370" s="24"/>
      <c r="J370" s="13"/>
      <c r="K370" s="13"/>
      <c r="M370" s="24"/>
      <c r="O370" s="13"/>
      <c r="P370" s="13"/>
    </row>
    <row r="371">
      <c r="C371" s="24"/>
      <c r="E371" s="13"/>
      <c r="F371" s="13"/>
      <c r="H371" s="24"/>
      <c r="J371" s="13"/>
      <c r="K371" s="13"/>
      <c r="M371" s="24"/>
      <c r="O371" s="13"/>
      <c r="P371" s="13"/>
    </row>
    <row r="372">
      <c r="C372" s="24"/>
      <c r="E372" s="13"/>
      <c r="F372" s="13"/>
      <c r="H372" s="24"/>
      <c r="J372" s="13"/>
      <c r="K372" s="13"/>
      <c r="M372" s="24"/>
      <c r="O372" s="13"/>
      <c r="P372" s="13"/>
    </row>
    <row r="373">
      <c r="C373" s="24"/>
      <c r="E373" s="13"/>
      <c r="F373" s="13"/>
      <c r="H373" s="24"/>
      <c r="J373" s="13"/>
      <c r="K373" s="13"/>
      <c r="M373" s="24"/>
      <c r="O373" s="13"/>
      <c r="P373" s="13"/>
    </row>
    <row r="374">
      <c r="C374" s="24"/>
      <c r="E374" s="13"/>
      <c r="F374" s="13"/>
      <c r="H374" s="24"/>
      <c r="J374" s="13"/>
      <c r="K374" s="13"/>
      <c r="M374" s="24"/>
      <c r="O374" s="13"/>
      <c r="P374" s="13"/>
    </row>
    <row r="375">
      <c r="C375" s="24"/>
      <c r="E375" s="13"/>
      <c r="F375" s="13"/>
      <c r="H375" s="24"/>
      <c r="J375" s="13"/>
      <c r="K375" s="13"/>
      <c r="M375" s="24"/>
      <c r="O375" s="13"/>
      <c r="P375" s="13"/>
    </row>
    <row r="376">
      <c r="C376" s="24"/>
      <c r="E376" s="13"/>
      <c r="F376" s="13"/>
      <c r="H376" s="24"/>
      <c r="J376" s="13"/>
      <c r="K376" s="13"/>
      <c r="M376" s="24"/>
      <c r="O376" s="13"/>
      <c r="P376" s="13"/>
    </row>
    <row r="377">
      <c r="C377" s="24"/>
      <c r="E377" s="13"/>
      <c r="F377" s="13"/>
      <c r="H377" s="24"/>
      <c r="J377" s="13"/>
      <c r="K377" s="13"/>
      <c r="M377" s="24"/>
      <c r="O377" s="13"/>
      <c r="P377" s="13"/>
    </row>
    <row r="378">
      <c r="C378" s="24"/>
      <c r="E378" s="13"/>
      <c r="F378" s="13"/>
      <c r="H378" s="24"/>
      <c r="J378" s="13"/>
      <c r="K378" s="13"/>
      <c r="M378" s="24"/>
      <c r="O378" s="13"/>
      <c r="P378" s="13"/>
    </row>
    <row r="379">
      <c r="C379" s="24"/>
      <c r="E379" s="13"/>
      <c r="F379" s="13"/>
      <c r="H379" s="24"/>
      <c r="J379" s="13"/>
      <c r="K379" s="13"/>
      <c r="M379" s="24"/>
      <c r="O379" s="13"/>
      <c r="P379" s="13"/>
    </row>
    <row r="380">
      <c r="C380" s="24"/>
      <c r="E380" s="13"/>
      <c r="F380" s="13"/>
      <c r="H380" s="24"/>
      <c r="J380" s="13"/>
      <c r="K380" s="13"/>
      <c r="M380" s="24"/>
      <c r="O380" s="13"/>
      <c r="P380" s="13"/>
    </row>
    <row r="381">
      <c r="C381" s="24"/>
      <c r="E381" s="13"/>
      <c r="F381" s="13"/>
      <c r="H381" s="24"/>
      <c r="J381" s="13"/>
      <c r="K381" s="13"/>
      <c r="M381" s="24"/>
      <c r="O381" s="13"/>
      <c r="P381" s="13"/>
    </row>
    <row r="382">
      <c r="C382" s="24"/>
      <c r="E382" s="13"/>
      <c r="F382" s="13"/>
      <c r="H382" s="24"/>
      <c r="J382" s="13"/>
      <c r="K382" s="13"/>
      <c r="M382" s="24"/>
      <c r="O382" s="13"/>
      <c r="P382" s="13"/>
    </row>
    <row r="383">
      <c r="C383" s="24"/>
      <c r="E383" s="13"/>
      <c r="F383" s="13"/>
      <c r="H383" s="24"/>
      <c r="J383" s="13"/>
      <c r="K383" s="13"/>
      <c r="M383" s="24"/>
      <c r="O383" s="13"/>
      <c r="P383" s="13"/>
    </row>
    <row r="384">
      <c r="C384" s="24"/>
      <c r="E384" s="13"/>
      <c r="F384" s="13"/>
      <c r="H384" s="24"/>
      <c r="J384" s="13"/>
      <c r="K384" s="13"/>
      <c r="M384" s="24"/>
      <c r="O384" s="13"/>
      <c r="P384" s="13"/>
    </row>
    <row r="385">
      <c r="C385" s="24"/>
      <c r="E385" s="13"/>
      <c r="F385" s="13"/>
      <c r="H385" s="24"/>
      <c r="J385" s="13"/>
      <c r="K385" s="13"/>
      <c r="M385" s="24"/>
      <c r="O385" s="13"/>
      <c r="P385" s="13"/>
    </row>
    <row r="386">
      <c r="C386" s="24"/>
      <c r="E386" s="13"/>
      <c r="F386" s="13"/>
      <c r="H386" s="24"/>
      <c r="J386" s="13"/>
      <c r="K386" s="13"/>
      <c r="M386" s="24"/>
      <c r="O386" s="13"/>
      <c r="P386" s="13"/>
    </row>
    <row r="387">
      <c r="C387" s="24"/>
      <c r="E387" s="13"/>
      <c r="F387" s="13"/>
      <c r="H387" s="24"/>
      <c r="J387" s="13"/>
      <c r="K387" s="13"/>
      <c r="M387" s="24"/>
      <c r="O387" s="13"/>
      <c r="P387" s="13"/>
    </row>
    <row r="388">
      <c r="C388" s="24"/>
      <c r="E388" s="13"/>
      <c r="F388" s="13"/>
      <c r="H388" s="24"/>
      <c r="J388" s="13"/>
      <c r="K388" s="13"/>
      <c r="M388" s="24"/>
      <c r="O388" s="13"/>
      <c r="P388" s="13"/>
    </row>
    <row r="389">
      <c r="C389" s="24"/>
      <c r="E389" s="13"/>
      <c r="F389" s="13"/>
      <c r="H389" s="24"/>
      <c r="J389" s="13"/>
      <c r="K389" s="13"/>
      <c r="M389" s="24"/>
      <c r="O389" s="13"/>
      <c r="P389" s="13"/>
    </row>
    <row r="390">
      <c r="C390" s="24"/>
      <c r="E390" s="13"/>
      <c r="F390" s="13"/>
      <c r="H390" s="24"/>
      <c r="J390" s="13"/>
      <c r="K390" s="13"/>
      <c r="M390" s="24"/>
      <c r="O390" s="13"/>
      <c r="P390" s="13"/>
    </row>
    <row r="391">
      <c r="C391" s="24"/>
      <c r="E391" s="13"/>
      <c r="F391" s="13"/>
      <c r="H391" s="24"/>
      <c r="J391" s="13"/>
      <c r="K391" s="13"/>
      <c r="M391" s="24"/>
      <c r="O391" s="13"/>
      <c r="P391" s="13"/>
    </row>
    <row r="392">
      <c r="C392" s="24"/>
      <c r="E392" s="13"/>
      <c r="F392" s="13"/>
      <c r="H392" s="24"/>
      <c r="J392" s="13"/>
      <c r="K392" s="13"/>
      <c r="M392" s="24"/>
      <c r="O392" s="13"/>
      <c r="P392" s="13"/>
    </row>
    <row r="393">
      <c r="C393" s="24"/>
      <c r="E393" s="13"/>
      <c r="F393" s="13"/>
      <c r="H393" s="24"/>
      <c r="J393" s="13"/>
      <c r="K393" s="13"/>
      <c r="M393" s="24"/>
      <c r="O393" s="13"/>
      <c r="P393" s="13"/>
    </row>
    <row r="394">
      <c r="C394" s="24"/>
      <c r="E394" s="13"/>
      <c r="F394" s="13"/>
      <c r="H394" s="24"/>
      <c r="J394" s="13"/>
      <c r="K394" s="13"/>
      <c r="M394" s="24"/>
      <c r="O394" s="13"/>
      <c r="P394" s="13"/>
    </row>
    <row r="395">
      <c r="C395" s="24"/>
      <c r="E395" s="13"/>
      <c r="F395" s="13"/>
      <c r="H395" s="24"/>
      <c r="J395" s="13"/>
      <c r="K395" s="13"/>
      <c r="M395" s="24"/>
      <c r="O395" s="13"/>
      <c r="P395" s="13"/>
    </row>
    <row r="396">
      <c r="C396" s="24"/>
      <c r="E396" s="13"/>
      <c r="F396" s="13"/>
      <c r="H396" s="24"/>
      <c r="J396" s="13"/>
      <c r="K396" s="13"/>
      <c r="M396" s="24"/>
      <c r="O396" s="13"/>
      <c r="P396" s="13"/>
    </row>
    <row r="397">
      <c r="C397" s="24"/>
      <c r="E397" s="13"/>
      <c r="F397" s="13"/>
      <c r="H397" s="24"/>
      <c r="J397" s="13"/>
      <c r="K397" s="13"/>
      <c r="M397" s="24"/>
      <c r="O397" s="13"/>
      <c r="P397" s="13"/>
    </row>
    <row r="398">
      <c r="C398" s="24"/>
      <c r="E398" s="13"/>
      <c r="F398" s="13"/>
      <c r="H398" s="24"/>
      <c r="J398" s="13"/>
      <c r="K398" s="13"/>
      <c r="M398" s="24"/>
      <c r="O398" s="13"/>
      <c r="P398" s="13"/>
    </row>
    <row r="399">
      <c r="C399" s="24"/>
      <c r="E399" s="13"/>
      <c r="F399" s="13"/>
      <c r="H399" s="24"/>
      <c r="J399" s="13"/>
      <c r="K399" s="13"/>
      <c r="M399" s="24"/>
      <c r="O399" s="13"/>
      <c r="P399" s="13"/>
    </row>
    <row r="400">
      <c r="C400" s="24"/>
      <c r="E400" s="13"/>
      <c r="F400" s="13"/>
      <c r="H400" s="24"/>
      <c r="J400" s="13"/>
      <c r="K400" s="13"/>
      <c r="M400" s="24"/>
      <c r="O400" s="13"/>
      <c r="P400" s="13"/>
    </row>
    <row r="401">
      <c r="C401" s="24"/>
      <c r="E401" s="13"/>
      <c r="F401" s="13"/>
      <c r="H401" s="24"/>
      <c r="J401" s="13"/>
      <c r="K401" s="13"/>
      <c r="M401" s="24"/>
      <c r="O401" s="13"/>
      <c r="P401" s="13"/>
    </row>
    <row r="402">
      <c r="C402" s="24"/>
      <c r="E402" s="13"/>
      <c r="F402" s="13"/>
      <c r="H402" s="24"/>
      <c r="J402" s="13"/>
      <c r="K402" s="13"/>
      <c r="M402" s="24"/>
      <c r="O402" s="13"/>
      <c r="P402" s="13"/>
    </row>
    <row r="403">
      <c r="C403" s="24"/>
      <c r="E403" s="13"/>
      <c r="F403" s="13"/>
      <c r="H403" s="24"/>
      <c r="J403" s="13"/>
      <c r="K403" s="13"/>
      <c r="M403" s="24"/>
      <c r="O403" s="13"/>
      <c r="P403" s="13"/>
    </row>
    <row r="404">
      <c r="C404" s="24"/>
      <c r="E404" s="13"/>
      <c r="F404" s="13"/>
      <c r="H404" s="24"/>
      <c r="J404" s="13"/>
      <c r="K404" s="13"/>
      <c r="M404" s="24"/>
      <c r="O404" s="13"/>
      <c r="P404" s="13"/>
    </row>
    <row r="405">
      <c r="C405" s="24"/>
      <c r="E405" s="13"/>
      <c r="F405" s="13"/>
      <c r="H405" s="24"/>
      <c r="J405" s="13"/>
      <c r="K405" s="13"/>
      <c r="M405" s="24"/>
      <c r="O405" s="13"/>
      <c r="P405" s="13"/>
    </row>
    <row r="406">
      <c r="C406" s="24"/>
      <c r="E406" s="13"/>
      <c r="F406" s="13"/>
      <c r="H406" s="24"/>
      <c r="J406" s="13"/>
      <c r="K406" s="13"/>
      <c r="M406" s="24"/>
      <c r="O406" s="13"/>
      <c r="P406" s="13"/>
    </row>
    <row r="407">
      <c r="C407" s="24"/>
      <c r="E407" s="13"/>
      <c r="F407" s="13"/>
      <c r="H407" s="24"/>
      <c r="J407" s="13"/>
      <c r="K407" s="13"/>
      <c r="M407" s="24"/>
      <c r="O407" s="13"/>
      <c r="P407" s="13"/>
    </row>
    <row r="408">
      <c r="C408" s="24"/>
      <c r="E408" s="13"/>
      <c r="F408" s="13"/>
      <c r="H408" s="24"/>
      <c r="J408" s="13"/>
      <c r="K408" s="13"/>
      <c r="M408" s="24"/>
      <c r="O408" s="13"/>
      <c r="P408" s="13"/>
    </row>
    <row r="409">
      <c r="C409" s="24"/>
      <c r="E409" s="13"/>
      <c r="F409" s="13"/>
      <c r="H409" s="24"/>
      <c r="J409" s="13"/>
      <c r="K409" s="13"/>
      <c r="M409" s="24"/>
      <c r="O409" s="13"/>
      <c r="P409" s="13"/>
    </row>
    <row r="410">
      <c r="C410" s="24"/>
      <c r="E410" s="13"/>
      <c r="F410" s="13"/>
      <c r="H410" s="24"/>
      <c r="J410" s="13"/>
      <c r="K410" s="13"/>
      <c r="M410" s="24"/>
      <c r="O410" s="13"/>
      <c r="P410" s="13"/>
    </row>
    <row r="411">
      <c r="C411" s="24"/>
      <c r="E411" s="13"/>
      <c r="F411" s="13"/>
      <c r="H411" s="24"/>
      <c r="J411" s="13"/>
      <c r="K411" s="13"/>
      <c r="M411" s="24"/>
      <c r="O411" s="13"/>
      <c r="P411" s="13"/>
    </row>
    <row r="412">
      <c r="C412" s="24"/>
      <c r="E412" s="13"/>
      <c r="F412" s="13"/>
      <c r="H412" s="24"/>
      <c r="J412" s="13"/>
      <c r="K412" s="13"/>
      <c r="M412" s="24"/>
      <c r="O412" s="13"/>
      <c r="P412" s="13"/>
    </row>
    <row r="413">
      <c r="C413" s="24"/>
      <c r="E413" s="13"/>
      <c r="F413" s="13"/>
      <c r="H413" s="24"/>
      <c r="J413" s="13"/>
      <c r="K413" s="13"/>
      <c r="M413" s="24"/>
      <c r="O413" s="13"/>
      <c r="P413" s="13"/>
    </row>
    <row r="414">
      <c r="C414" s="24"/>
      <c r="E414" s="13"/>
      <c r="F414" s="13"/>
      <c r="H414" s="24"/>
      <c r="J414" s="13"/>
      <c r="K414" s="13"/>
      <c r="M414" s="24"/>
      <c r="O414" s="13"/>
      <c r="P414" s="13"/>
    </row>
    <row r="415">
      <c r="C415" s="24"/>
      <c r="E415" s="13"/>
      <c r="F415" s="13"/>
      <c r="H415" s="24"/>
      <c r="J415" s="13"/>
      <c r="K415" s="13"/>
      <c r="M415" s="24"/>
      <c r="O415" s="13"/>
      <c r="P415" s="13"/>
    </row>
    <row r="416">
      <c r="C416" s="24"/>
      <c r="E416" s="13"/>
      <c r="F416" s="13"/>
      <c r="H416" s="24"/>
      <c r="J416" s="13"/>
      <c r="K416" s="13"/>
      <c r="M416" s="24"/>
      <c r="O416" s="13"/>
      <c r="P416" s="13"/>
    </row>
    <row r="417">
      <c r="C417" s="24"/>
      <c r="E417" s="13"/>
      <c r="F417" s="13"/>
      <c r="H417" s="24"/>
      <c r="J417" s="13"/>
      <c r="K417" s="13"/>
      <c r="M417" s="24"/>
      <c r="O417" s="13"/>
      <c r="P417" s="13"/>
    </row>
    <row r="418">
      <c r="C418" s="24"/>
      <c r="E418" s="13"/>
      <c r="F418" s="13"/>
      <c r="H418" s="24"/>
      <c r="J418" s="13"/>
      <c r="K418" s="13"/>
      <c r="M418" s="24"/>
      <c r="O418" s="13"/>
      <c r="P418" s="13"/>
    </row>
    <row r="419">
      <c r="C419" s="24"/>
      <c r="E419" s="13"/>
      <c r="F419" s="13"/>
      <c r="H419" s="24"/>
      <c r="J419" s="13"/>
      <c r="K419" s="13"/>
      <c r="M419" s="24"/>
      <c r="O419" s="13"/>
      <c r="P419" s="13"/>
    </row>
    <row r="420">
      <c r="C420" s="24"/>
      <c r="E420" s="13"/>
      <c r="F420" s="13"/>
      <c r="H420" s="24"/>
      <c r="J420" s="13"/>
      <c r="K420" s="13"/>
      <c r="M420" s="24"/>
      <c r="O420" s="13"/>
      <c r="P420" s="13"/>
    </row>
    <row r="421">
      <c r="C421" s="24"/>
      <c r="E421" s="13"/>
      <c r="F421" s="13"/>
      <c r="H421" s="24"/>
      <c r="J421" s="13"/>
      <c r="K421" s="13"/>
      <c r="M421" s="24"/>
      <c r="O421" s="13"/>
      <c r="P421" s="13"/>
    </row>
    <row r="422">
      <c r="C422" s="24"/>
      <c r="E422" s="13"/>
      <c r="F422" s="13"/>
      <c r="H422" s="24"/>
      <c r="J422" s="13"/>
      <c r="K422" s="13"/>
      <c r="M422" s="24"/>
      <c r="O422" s="13"/>
      <c r="P422" s="13"/>
    </row>
    <row r="423">
      <c r="C423" s="24"/>
      <c r="E423" s="13"/>
      <c r="F423" s="13"/>
      <c r="H423" s="24"/>
      <c r="J423" s="13"/>
      <c r="K423" s="13"/>
      <c r="M423" s="24"/>
      <c r="O423" s="13"/>
      <c r="P423" s="13"/>
    </row>
    <row r="424">
      <c r="C424" s="24"/>
      <c r="E424" s="13"/>
      <c r="F424" s="13"/>
      <c r="H424" s="24"/>
      <c r="J424" s="13"/>
      <c r="K424" s="13"/>
      <c r="M424" s="24"/>
      <c r="O424" s="13"/>
      <c r="P424" s="13"/>
    </row>
    <row r="425">
      <c r="C425" s="24"/>
      <c r="E425" s="13"/>
      <c r="F425" s="13"/>
      <c r="H425" s="24"/>
      <c r="J425" s="13"/>
      <c r="K425" s="13"/>
      <c r="M425" s="24"/>
      <c r="O425" s="13"/>
      <c r="P425" s="13"/>
    </row>
    <row r="426">
      <c r="C426" s="24"/>
      <c r="E426" s="13"/>
      <c r="F426" s="13"/>
      <c r="H426" s="24"/>
      <c r="J426" s="13"/>
      <c r="K426" s="13"/>
      <c r="M426" s="24"/>
      <c r="O426" s="13"/>
      <c r="P426" s="13"/>
    </row>
    <row r="427">
      <c r="C427" s="24"/>
      <c r="E427" s="13"/>
      <c r="F427" s="13"/>
      <c r="H427" s="24"/>
      <c r="J427" s="13"/>
      <c r="K427" s="13"/>
      <c r="M427" s="24"/>
      <c r="O427" s="13"/>
      <c r="P427" s="13"/>
    </row>
    <row r="428">
      <c r="C428" s="24"/>
      <c r="E428" s="13"/>
      <c r="F428" s="13"/>
      <c r="H428" s="24"/>
      <c r="J428" s="13"/>
      <c r="K428" s="13"/>
      <c r="M428" s="24"/>
      <c r="O428" s="13"/>
      <c r="P428" s="13"/>
    </row>
    <row r="429">
      <c r="C429" s="24"/>
      <c r="E429" s="13"/>
      <c r="F429" s="13"/>
      <c r="H429" s="24"/>
      <c r="J429" s="13"/>
      <c r="K429" s="13"/>
      <c r="M429" s="24"/>
      <c r="O429" s="13"/>
      <c r="P429" s="13"/>
    </row>
    <row r="430">
      <c r="C430" s="24"/>
      <c r="E430" s="13"/>
      <c r="F430" s="13"/>
      <c r="H430" s="24"/>
      <c r="J430" s="13"/>
      <c r="K430" s="13"/>
      <c r="M430" s="24"/>
      <c r="O430" s="13"/>
      <c r="P430" s="13"/>
    </row>
    <row r="431">
      <c r="C431" s="24"/>
      <c r="E431" s="13"/>
      <c r="F431" s="13"/>
      <c r="H431" s="24"/>
      <c r="J431" s="13"/>
      <c r="K431" s="13"/>
      <c r="M431" s="24"/>
      <c r="O431" s="13"/>
      <c r="P431" s="13"/>
    </row>
    <row r="432">
      <c r="C432" s="24"/>
      <c r="E432" s="13"/>
      <c r="F432" s="13"/>
      <c r="H432" s="24"/>
      <c r="J432" s="13"/>
      <c r="K432" s="13"/>
      <c r="M432" s="24"/>
      <c r="O432" s="13"/>
      <c r="P432" s="13"/>
    </row>
    <row r="433">
      <c r="C433" s="24"/>
      <c r="E433" s="13"/>
      <c r="F433" s="13"/>
      <c r="H433" s="24"/>
      <c r="J433" s="13"/>
      <c r="K433" s="13"/>
      <c r="M433" s="24"/>
      <c r="O433" s="13"/>
      <c r="P433" s="13"/>
    </row>
    <row r="434">
      <c r="C434" s="24"/>
      <c r="E434" s="13"/>
      <c r="F434" s="13"/>
      <c r="H434" s="24"/>
      <c r="J434" s="13"/>
      <c r="K434" s="13"/>
      <c r="M434" s="24"/>
      <c r="O434" s="13"/>
      <c r="P434" s="13"/>
    </row>
    <row r="435">
      <c r="C435" s="24"/>
      <c r="E435" s="13"/>
      <c r="F435" s="13"/>
      <c r="H435" s="24"/>
      <c r="J435" s="13"/>
      <c r="K435" s="13"/>
      <c r="M435" s="24"/>
      <c r="O435" s="13"/>
      <c r="P435" s="13"/>
    </row>
    <row r="436">
      <c r="C436" s="24"/>
      <c r="E436" s="13"/>
      <c r="F436" s="13"/>
      <c r="H436" s="24"/>
      <c r="J436" s="13"/>
      <c r="K436" s="13"/>
      <c r="M436" s="24"/>
      <c r="O436" s="13"/>
      <c r="P436" s="13"/>
    </row>
    <row r="437">
      <c r="C437" s="24"/>
      <c r="E437" s="13"/>
      <c r="F437" s="13"/>
      <c r="H437" s="24"/>
      <c r="J437" s="13"/>
      <c r="K437" s="13"/>
      <c r="M437" s="24"/>
      <c r="O437" s="13"/>
      <c r="P437" s="13"/>
    </row>
    <row r="438">
      <c r="C438" s="24"/>
      <c r="E438" s="13"/>
      <c r="F438" s="13"/>
      <c r="H438" s="24"/>
      <c r="J438" s="13"/>
      <c r="K438" s="13"/>
      <c r="M438" s="24"/>
      <c r="O438" s="13"/>
      <c r="P438" s="13"/>
    </row>
    <row r="439">
      <c r="C439" s="24"/>
      <c r="E439" s="13"/>
      <c r="F439" s="13"/>
      <c r="H439" s="24"/>
      <c r="J439" s="13"/>
      <c r="K439" s="13"/>
      <c r="M439" s="24"/>
      <c r="O439" s="13"/>
      <c r="P439" s="13"/>
    </row>
    <row r="440">
      <c r="C440" s="24"/>
      <c r="E440" s="13"/>
      <c r="F440" s="13"/>
      <c r="H440" s="24"/>
      <c r="J440" s="13"/>
      <c r="K440" s="13"/>
      <c r="M440" s="24"/>
      <c r="O440" s="13"/>
      <c r="P440" s="13"/>
    </row>
    <row r="441">
      <c r="C441" s="24"/>
      <c r="E441" s="13"/>
      <c r="F441" s="13"/>
      <c r="H441" s="24"/>
      <c r="J441" s="13"/>
      <c r="K441" s="13"/>
      <c r="M441" s="24"/>
      <c r="O441" s="13"/>
      <c r="P441" s="13"/>
    </row>
    <row r="442">
      <c r="C442" s="24"/>
      <c r="E442" s="13"/>
      <c r="F442" s="13"/>
      <c r="H442" s="24"/>
      <c r="J442" s="13"/>
      <c r="K442" s="13"/>
      <c r="M442" s="24"/>
      <c r="O442" s="13"/>
      <c r="P442" s="13"/>
    </row>
    <row r="443">
      <c r="C443" s="24"/>
      <c r="E443" s="13"/>
      <c r="F443" s="13"/>
      <c r="H443" s="24"/>
      <c r="J443" s="13"/>
      <c r="K443" s="13"/>
      <c r="M443" s="24"/>
      <c r="O443" s="13"/>
      <c r="P443" s="13"/>
    </row>
    <row r="444">
      <c r="C444" s="24"/>
      <c r="E444" s="13"/>
      <c r="F444" s="13"/>
      <c r="H444" s="24"/>
      <c r="J444" s="13"/>
      <c r="K444" s="13"/>
      <c r="M444" s="24"/>
      <c r="O444" s="13"/>
      <c r="P444" s="13"/>
    </row>
    <row r="445">
      <c r="C445" s="24"/>
      <c r="E445" s="13"/>
      <c r="F445" s="13"/>
      <c r="H445" s="24"/>
      <c r="J445" s="13"/>
      <c r="K445" s="13"/>
      <c r="M445" s="24"/>
      <c r="O445" s="13"/>
      <c r="P445" s="13"/>
    </row>
    <row r="446">
      <c r="C446" s="24"/>
      <c r="E446" s="13"/>
      <c r="F446" s="13"/>
      <c r="H446" s="24"/>
      <c r="J446" s="13"/>
      <c r="K446" s="13"/>
      <c r="M446" s="24"/>
      <c r="O446" s="13"/>
      <c r="P446" s="13"/>
    </row>
    <row r="447">
      <c r="C447" s="24"/>
      <c r="E447" s="13"/>
      <c r="F447" s="13"/>
      <c r="H447" s="24"/>
      <c r="J447" s="13"/>
      <c r="K447" s="13"/>
      <c r="M447" s="24"/>
      <c r="O447" s="13"/>
      <c r="P447" s="13"/>
    </row>
    <row r="448">
      <c r="C448" s="24"/>
      <c r="E448" s="13"/>
      <c r="F448" s="13"/>
      <c r="H448" s="24"/>
      <c r="J448" s="13"/>
      <c r="K448" s="13"/>
      <c r="M448" s="24"/>
      <c r="O448" s="13"/>
      <c r="P448" s="13"/>
    </row>
    <row r="449">
      <c r="C449" s="24"/>
      <c r="E449" s="13"/>
      <c r="F449" s="13"/>
      <c r="H449" s="24"/>
      <c r="J449" s="13"/>
      <c r="K449" s="13"/>
      <c r="M449" s="24"/>
      <c r="O449" s="13"/>
      <c r="P449" s="13"/>
    </row>
    <row r="450">
      <c r="C450" s="24"/>
      <c r="E450" s="13"/>
      <c r="F450" s="13"/>
      <c r="H450" s="24"/>
      <c r="J450" s="13"/>
      <c r="K450" s="13"/>
      <c r="M450" s="24"/>
      <c r="O450" s="13"/>
      <c r="P450" s="13"/>
    </row>
    <row r="451">
      <c r="C451" s="24"/>
      <c r="E451" s="13"/>
      <c r="F451" s="13"/>
      <c r="H451" s="24"/>
      <c r="J451" s="13"/>
      <c r="K451" s="13"/>
      <c r="M451" s="24"/>
      <c r="O451" s="13"/>
      <c r="P451" s="13"/>
    </row>
    <row r="452">
      <c r="C452" s="24"/>
      <c r="E452" s="13"/>
      <c r="F452" s="13"/>
      <c r="H452" s="24"/>
      <c r="J452" s="13"/>
      <c r="K452" s="13"/>
      <c r="M452" s="24"/>
      <c r="O452" s="13"/>
      <c r="P452" s="13"/>
    </row>
    <row r="453">
      <c r="C453" s="24"/>
      <c r="E453" s="13"/>
      <c r="F453" s="13"/>
      <c r="H453" s="24"/>
      <c r="J453" s="13"/>
      <c r="K453" s="13"/>
      <c r="M453" s="24"/>
      <c r="O453" s="13"/>
      <c r="P453" s="13"/>
    </row>
    <row r="454">
      <c r="C454" s="24"/>
      <c r="E454" s="13"/>
      <c r="F454" s="13"/>
      <c r="H454" s="24"/>
      <c r="J454" s="13"/>
      <c r="K454" s="13"/>
      <c r="M454" s="24"/>
      <c r="O454" s="13"/>
      <c r="P454" s="13"/>
    </row>
    <row r="455">
      <c r="C455" s="24"/>
      <c r="E455" s="13"/>
      <c r="F455" s="13"/>
      <c r="H455" s="24"/>
      <c r="J455" s="13"/>
      <c r="K455" s="13"/>
      <c r="M455" s="24"/>
      <c r="O455" s="13"/>
      <c r="P455" s="13"/>
    </row>
    <row r="456">
      <c r="C456" s="24"/>
      <c r="E456" s="13"/>
      <c r="F456" s="13"/>
      <c r="H456" s="24"/>
      <c r="J456" s="13"/>
      <c r="K456" s="13"/>
      <c r="M456" s="24"/>
      <c r="O456" s="13"/>
      <c r="P456" s="13"/>
    </row>
    <row r="457">
      <c r="C457" s="24"/>
      <c r="E457" s="13"/>
      <c r="F457" s="13"/>
      <c r="H457" s="24"/>
      <c r="J457" s="13"/>
      <c r="K457" s="13"/>
      <c r="M457" s="24"/>
      <c r="O457" s="13"/>
      <c r="P457" s="13"/>
    </row>
    <row r="458">
      <c r="C458" s="24"/>
      <c r="E458" s="13"/>
      <c r="F458" s="13"/>
      <c r="H458" s="24"/>
      <c r="J458" s="13"/>
      <c r="K458" s="13"/>
      <c r="M458" s="24"/>
      <c r="O458" s="13"/>
      <c r="P458" s="13"/>
    </row>
    <row r="459">
      <c r="C459" s="24"/>
      <c r="E459" s="13"/>
      <c r="F459" s="13"/>
      <c r="H459" s="24"/>
      <c r="J459" s="13"/>
      <c r="K459" s="13"/>
      <c r="M459" s="24"/>
      <c r="O459" s="13"/>
      <c r="P459" s="13"/>
    </row>
    <row r="460">
      <c r="C460" s="24"/>
      <c r="E460" s="13"/>
      <c r="F460" s="13"/>
      <c r="H460" s="24"/>
      <c r="J460" s="13"/>
      <c r="K460" s="13"/>
      <c r="M460" s="24"/>
      <c r="O460" s="13"/>
      <c r="P460" s="13"/>
    </row>
    <row r="461">
      <c r="C461" s="24"/>
      <c r="E461" s="13"/>
      <c r="F461" s="13"/>
      <c r="H461" s="24"/>
      <c r="J461" s="13"/>
      <c r="K461" s="13"/>
      <c r="M461" s="24"/>
      <c r="O461" s="13"/>
      <c r="P461" s="13"/>
    </row>
    <row r="462">
      <c r="C462" s="24"/>
      <c r="E462" s="13"/>
      <c r="F462" s="13"/>
      <c r="H462" s="24"/>
      <c r="J462" s="13"/>
      <c r="K462" s="13"/>
      <c r="M462" s="24"/>
      <c r="O462" s="13"/>
      <c r="P462" s="13"/>
    </row>
    <row r="463">
      <c r="C463" s="24"/>
      <c r="E463" s="13"/>
      <c r="F463" s="13"/>
      <c r="H463" s="24"/>
      <c r="J463" s="13"/>
      <c r="K463" s="13"/>
      <c r="M463" s="24"/>
      <c r="O463" s="13"/>
      <c r="P463" s="13"/>
    </row>
    <row r="464">
      <c r="C464" s="24"/>
      <c r="E464" s="13"/>
      <c r="F464" s="13"/>
      <c r="H464" s="24"/>
      <c r="J464" s="13"/>
      <c r="K464" s="13"/>
      <c r="M464" s="24"/>
      <c r="O464" s="13"/>
      <c r="P464" s="13"/>
    </row>
    <row r="465">
      <c r="C465" s="24"/>
      <c r="E465" s="13"/>
      <c r="F465" s="13"/>
      <c r="H465" s="24"/>
      <c r="J465" s="13"/>
      <c r="K465" s="13"/>
      <c r="M465" s="24"/>
      <c r="O465" s="13"/>
      <c r="P465" s="13"/>
    </row>
    <row r="466">
      <c r="C466" s="24"/>
      <c r="E466" s="13"/>
      <c r="F466" s="13"/>
      <c r="H466" s="24"/>
      <c r="J466" s="13"/>
      <c r="K466" s="13"/>
      <c r="M466" s="24"/>
      <c r="O466" s="13"/>
      <c r="P466" s="13"/>
    </row>
    <row r="467">
      <c r="C467" s="24"/>
      <c r="E467" s="13"/>
      <c r="F467" s="13"/>
      <c r="H467" s="24"/>
      <c r="J467" s="13"/>
      <c r="K467" s="13"/>
      <c r="M467" s="24"/>
      <c r="O467" s="13"/>
      <c r="P467" s="13"/>
    </row>
    <row r="468">
      <c r="C468" s="24"/>
      <c r="E468" s="13"/>
      <c r="F468" s="13"/>
      <c r="H468" s="24"/>
      <c r="J468" s="13"/>
      <c r="K468" s="13"/>
      <c r="M468" s="24"/>
      <c r="O468" s="13"/>
      <c r="P468" s="13"/>
    </row>
    <row r="469">
      <c r="C469" s="24"/>
      <c r="E469" s="13"/>
      <c r="F469" s="13"/>
      <c r="H469" s="24"/>
      <c r="J469" s="13"/>
      <c r="K469" s="13"/>
      <c r="M469" s="24"/>
      <c r="O469" s="13"/>
      <c r="P469" s="13"/>
    </row>
    <row r="470">
      <c r="C470" s="24"/>
      <c r="E470" s="13"/>
      <c r="F470" s="13"/>
      <c r="H470" s="24"/>
      <c r="J470" s="13"/>
      <c r="K470" s="13"/>
      <c r="M470" s="24"/>
      <c r="O470" s="13"/>
      <c r="P470" s="13"/>
    </row>
    <row r="471">
      <c r="C471" s="24"/>
      <c r="E471" s="13"/>
      <c r="F471" s="13"/>
      <c r="H471" s="24"/>
      <c r="J471" s="13"/>
      <c r="K471" s="13"/>
      <c r="M471" s="24"/>
      <c r="O471" s="13"/>
      <c r="P471" s="13"/>
    </row>
    <row r="472">
      <c r="C472" s="24"/>
      <c r="E472" s="13"/>
      <c r="F472" s="13"/>
      <c r="H472" s="24"/>
      <c r="J472" s="13"/>
      <c r="K472" s="13"/>
      <c r="M472" s="24"/>
      <c r="O472" s="13"/>
      <c r="P472" s="13"/>
    </row>
    <row r="473">
      <c r="C473" s="24"/>
      <c r="E473" s="13"/>
      <c r="F473" s="13"/>
      <c r="H473" s="24"/>
      <c r="J473" s="13"/>
      <c r="K473" s="13"/>
      <c r="M473" s="24"/>
      <c r="O473" s="13"/>
      <c r="P473" s="13"/>
    </row>
    <row r="474">
      <c r="C474" s="24"/>
      <c r="E474" s="13"/>
      <c r="F474" s="13"/>
      <c r="H474" s="24"/>
      <c r="J474" s="13"/>
      <c r="K474" s="13"/>
      <c r="M474" s="24"/>
      <c r="O474" s="13"/>
      <c r="P474" s="13"/>
    </row>
    <row r="475">
      <c r="C475" s="24"/>
      <c r="E475" s="13"/>
      <c r="F475" s="13"/>
      <c r="H475" s="24"/>
      <c r="J475" s="13"/>
      <c r="K475" s="13"/>
      <c r="M475" s="24"/>
      <c r="O475" s="13"/>
      <c r="P475" s="13"/>
    </row>
    <row r="476">
      <c r="C476" s="24"/>
      <c r="E476" s="13"/>
      <c r="F476" s="13"/>
      <c r="H476" s="24"/>
      <c r="J476" s="13"/>
      <c r="K476" s="13"/>
      <c r="M476" s="24"/>
      <c r="O476" s="13"/>
      <c r="P476" s="13"/>
    </row>
    <row r="477">
      <c r="C477" s="24"/>
      <c r="E477" s="13"/>
      <c r="F477" s="13"/>
      <c r="H477" s="24"/>
      <c r="J477" s="13"/>
      <c r="K477" s="13"/>
      <c r="M477" s="24"/>
      <c r="O477" s="13"/>
      <c r="P477" s="13"/>
    </row>
    <row r="478">
      <c r="C478" s="24"/>
      <c r="E478" s="13"/>
      <c r="F478" s="13"/>
      <c r="H478" s="24"/>
      <c r="J478" s="13"/>
      <c r="K478" s="13"/>
      <c r="M478" s="24"/>
      <c r="O478" s="13"/>
      <c r="P478" s="13"/>
    </row>
    <row r="479">
      <c r="C479" s="24"/>
      <c r="E479" s="13"/>
      <c r="F479" s="13"/>
      <c r="H479" s="24"/>
      <c r="J479" s="13"/>
      <c r="K479" s="13"/>
      <c r="M479" s="24"/>
      <c r="O479" s="13"/>
      <c r="P479" s="13"/>
    </row>
    <row r="480">
      <c r="C480" s="24"/>
      <c r="E480" s="13"/>
      <c r="F480" s="13"/>
      <c r="H480" s="24"/>
      <c r="J480" s="13"/>
      <c r="K480" s="13"/>
      <c r="M480" s="24"/>
      <c r="O480" s="13"/>
      <c r="P480" s="13"/>
    </row>
    <row r="481">
      <c r="C481" s="24"/>
      <c r="E481" s="13"/>
      <c r="F481" s="13"/>
      <c r="H481" s="24"/>
      <c r="J481" s="13"/>
      <c r="K481" s="13"/>
      <c r="M481" s="24"/>
      <c r="O481" s="13"/>
      <c r="P481" s="13"/>
    </row>
    <row r="482">
      <c r="C482" s="24"/>
      <c r="E482" s="13"/>
      <c r="F482" s="13"/>
      <c r="H482" s="24"/>
      <c r="J482" s="13"/>
      <c r="K482" s="13"/>
      <c r="M482" s="24"/>
      <c r="O482" s="13"/>
      <c r="P482" s="13"/>
    </row>
    <row r="483">
      <c r="C483" s="24"/>
      <c r="E483" s="13"/>
      <c r="F483" s="13"/>
      <c r="H483" s="24"/>
      <c r="J483" s="13"/>
      <c r="K483" s="13"/>
      <c r="M483" s="24"/>
      <c r="O483" s="13"/>
      <c r="P483" s="13"/>
    </row>
    <row r="484">
      <c r="C484" s="24"/>
      <c r="E484" s="13"/>
      <c r="F484" s="13"/>
      <c r="H484" s="24"/>
      <c r="J484" s="13"/>
      <c r="K484" s="13"/>
      <c r="M484" s="24"/>
      <c r="O484" s="13"/>
      <c r="P484" s="13"/>
    </row>
    <row r="485">
      <c r="C485" s="24"/>
      <c r="E485" s="13"/>
      <c r="F485" s="13"/>
      <c r="H485" s="24"/>
      <c r="J485" s="13"/>
      <c r="K485" s="13"/>
      <c r="M485" s="24"/>
      <c r="O485" s="13"/>
      <c r="P485" s="13"/>
    </row>
    <row r="486">
      <c r="C486" s="24"/>
      <c r="E486" s="13"/>
      <c r="F486" s="13"/>
      <c r="H486" s="24"/>
      <c r="J486" s="13"/>
      <c r="K486" s="13"/>
      <c r="M486" s="24"/>
      <c r="O486" s="13"/>
      <c r="P486" s="13"/>
    </row>
    <row r="487">
      <c r="C487" s="24"/>
      <c r="E487" s="13"/>
      <c r="F487" s="13"/>
      <c r="H487" s="24"/>
      <c r="J487" s="13"/>
      <c r="K487" s="13"/>
      <c r="M487" s="24"/>
      <c r="O487" s="13"/>
      <c r="P487" s="13"/>
    </row>
    <row r="488">
      <c r="C488" s="24"/>
      <c r="E488" s="13"/>
      <c r="F488" s="13"/>
      <c r="H488" s="24"/>
      <c r="J488" s="13"/>
      <c r="K488" s="13"/>
      <c r="M488" s="24"/>
      <c r="O488" s="13"/>
      <c r="P488" s="13"/>
    </row>
    <row r="489">
      <c r="C489" s="24"/>
      <c r="E489" s="13"/>
      <c r="F489" s="13"/>
      <c r="H489" s="24"/>
      <c r="J489" s="13"/>
      <c r="K489" s="13"/>
      <c r="M489" s="24"/>
      <c r="O489" s="13"/>
      <c r="P489" s="13"/>
    </row>
    <row r="490">
      <c r="C490" s="24"/>
      <c r="E490" s="13"/>
      <c r="F490" s="13"/>
      <c r="H490" s="24"/>
      <c r="J490" s="13"/>
      <c r="K490" s="13"/>
      <c r="M490" s="24"/>
      <c r="O490" s="13"/>
      <c r="P490" s="13"/>
    </row>
    <row r="491">
      <c r="C491" s="24"/>
      <c r="E491" s="13"/>
      <c r="F491" s="13"/>
      <c r="H491" s="24"/>
      <c r="J491" s="13"/>
      <c r="K491" s="13"/>
      <c r="M491" s="24"/>
      <c r="O491" s="13"/>
      <c r="P491" s="13"/>
    </row>
    <row r="492">
      <c r="C492" s="24"/>
      <c r="E492" s="13"/>
      <c r="F492" s="13"/>
      <c r="H492" s="24"/>
      <c r="J492" s="13"/>
      <c r="K492" s="13"/>
      <c r="M492" s="24"/>
      <c r="O492" s="13"/>
      <c r="P492" s="13"/>
    </row>
    <row r="493">
      <c r="C493" s="24"/>
      <c r="E493" s="13"/>
      <c r="F493" s="13"/>
      <c r="H493" s="24"/>
      <c r="J493" s="13"/>
      <c r="K493" s="13"/>
      <c r="M493" s="24"/>
      <c r="O493" s="13"/>
      <c r="P493" s="13"/>
    </row>
    <row r="494">
      <c r="C494" s="24"/>
      <c r="E494" s="13"/>
      <c r="F494" s="13"/>
      <c r="H494" s="24"/>
      <c r="J494" s="13"/>
      <c r="K494" s="13"/>
      <c r="M494" s="24"/>
      <c r="O494" s="13"/>
      <c r="P494" s="13"/>
    </row>
    <row r="495">
      <c r="C495" s="24"/>
      <c r="E495" s="13"/>
      <c r="F495" s="13"/>
      <c r="H495" s="24"/>
      <c r="J495" s="13"/>
      <c r="K495" s="13"/>
      <c r="M495" s="24"/>
      <c r="O495" s="13"/>
      <c r="P495" s="13"/>
    </row>
    <row r="496">
      <c r="C496" s="24"/>
      <c r="E496" s="13"/>
      <c r="F496" s="13"/>
      <c r="H496" s="24"/>
      <c r="J496" s="13"/>
      <c r="K496" s="13"/>
      <c r="M496" s="24"/>
      <c r="O496" s="13"/>
      <c r="P496" s="13"/>
    </row>
    <row r="497">
      <c r="C497" s="24"/>
      <c r="E497" s="13"/>
      <c r="F497" s="13"/>
      <c r="H497" s="24"/>
      <c r="J497" s="13"/>
      <c r="K497" s="13"/>
      <c r="M497" s="24"/>
      <c r="O497" s="13"/>
      <c r="P497" s="13"/>
    </row>
    <row r="498">
      <c r="C498" s="24"/>
      <c r="E498" s="13"/>
      <c r="F498" s="13"/>
      <c r="H498" s="24"/>
      <c r="J498" s="13"/>
      <c r="K498" s="13"/>
      <c r="M498" s="24"/>
      <c r="O498" s="13"/>
      <c r="P498" s="13"/>
    </row>
    <row r="499">
      <c r="C499" s="24"/>
      <c r="E499" s="13"/>
      <c r="F499" s="13"/>
      <c r="H499" s="24"/>
      <c r="J499" s="13"/>
      <c r="K499" s="13"/>
      <c r="M499" s="24"/>
      <c r="O499" s="13"/>
      <c r="P499" s="13"/>
    </row>
    <row r="500">
      <c r="C500" s="24"/>
      <c r="E500" s="13"/>
      <c r="F500" s="13"/>
      <c r="H500" s="24"/>
      <c r="J500" s="13"/>
      <c r="K500" s="13"/>
      <c r="M500" s="24"/>
      <c r="O500" s="13"/>
      <c r="P500" s="13"/>
    </row>
    <row r="501">
      <c r="C501" s="24"/>
      <c r="E501" s="13"/>
      <c r="F501" s="13"/>
      <c r="H501" s="24"/>
      <c r="J501" s="13"/>
      <c r="K501" s="13"/>
      <c r="M501" s="24"/>
      <c r="O501" s="13"/>
      <c r="P501" s="13"/>
    </row>
    <row r="502">
      <c r="C502" s="24"/>
      <c r="E502" s="13"/>
      <c r="F502" s="13"/>
      <c r="H502" s="24"/>
      <c r="J502" s="13"/>
      <c r="K502" s="13"/>
      <c r="M502" s="24"/>
      <c r="O502" s="13"/>
      <c r="P502" s="13"/>
    </row>
    <row r="503">
      <c r="C503" s="24"/>
      <c r="E503" s="13"/>
      <c r="F503" s="13"/>
      <c r="H503" s="24"/>
      <c r="J503" s="13"/>
      <c r="K503" s="13"/>
      <c r="M503" s="24"/>
      <c r="O503" s="13"/>
      <c r="P503" s="13"/>
    </row>
    <row r="504">
      <c r="C504" s="24"/>
      <c r="E504" s="13"/>
      <c r="F504" s="13"/>
      <c r="H504" s="24"/>
      <c r="J504" s="13"/>
      <c r="K504" s="13"/>
      <c r="M504" s="24"/>
      <c r="O504" s="13"/>
      <c r="P504" s="13"/>
    </row>
    <row r="505">
      <c r="C505" s="24"/>
      <c r="E505" s="13"/>
      <c r="F505" s="13"/>
      <c r="H505" s="24"/>
      <c r="J505" s="13"/>
      <c r="K505" s="13"/>
      <c r="M505" s="24"/>
      <c r="O505" s="13"/>
      <c r="P505" s="13"/>
    </row>
    <row r="506">
      <c r="C506" s="24"/>
      <c r="E506" s="13"/>
      <c r="F506" s="13"/>
      <c r="H506" s="24"/>
      <c r="J506" s="13"/>
      <c r="K506" s="13"/>
      <c r="M506" s="24"/>
      <c r="O506" s="13"/>
      <c r="P506" s="13"/>
    </row>
    <row r="507">
      <c r="C507" s="24"/>
      <c r="E507" s="13"/>
      <c r="F507" s="13"/>
      <c r="H507" s="24"/>
      <c r="J507" s="13"/>
      <c r="K507" s="13"/>
      <c r="M507" s="24"/>
      <c r="O507" s="13"/>
      <c r="P507" s="13"/>
    </row>
    <row r="508">
      <c r="C508" s="24"/>
      <c r="E508" s="13"/>
      <c r="F508" s="13"/>
      <c r="H508" s="24"/>
      <c r="J508" s="13"/>
      <c r="K508" s="13"/>
      <c r="M508" s="24"/>
      <c r="O508" s="13"/>
      <c r="P508" s="13"/>
    </row>
    <row r="509">
      <c r="C509" s="24"/>
      <c r="E509" s="13"/>
      <c r="F509" s="13"/>
      <c r="H509" s="24"/>
      <c r="J509" s="13"/>
      <c r="K509" s="13"/>
      <c r="M509" s="24"/>
      <c r="O509" s="13"/>
      <c r="P509" s="13"/>
    </row>
    <row r="510">
      <c r="C510" s="24"/>
      <c r="E510" s="13"/>
      <c r="F510" s="13"/>
      <c r="H510" s="24"/>
      <c r="J510" s="13"/>
      <c r="K510" s="13"/>
      <c r="M510" s="24"/>
      <c r="O510" s="13"/>
      <c r="P510" s="13"/>
    </row>
    <row r="511">
      <c r="C511" s="24"/>
      <c r="E511" s="13"/>
      <c r="F511" s="13"/>
      <c r="H511" s="24"/>
      <c r="J511" s="13"/>
      <c r="K511" s="13"/>
      <c r="M511" s="24"/>
      <c r="O511" s="13"/>
      <c r="P511" s="13"/>
    </row>
    <row r="512">
      <c r="C512" s="24"/>
      <c r="E512" s="13"/>
      <c r="F512" s="13"/>
      <c r="H512" s="24"/>
      <c r="J512" s="13"/>
      <c r="K512" s="13"/>
      <c r="M512" s="24"/>
      <c r="O512" s="13"/>
      <c r="P512" s="13"/>
    </row>
    <row r="513">
      <c r="C513" s="24"/>
      <c r="E513" s="13"/>
      <c r="F513" s="13"/>
      <c r="H513" s="24"/>
      <c r="J513" s="13"/>
      <c r="K513" s="13"/>
      <c r="M513" s="24"/>
      <c r="O513" s="13"/>
      <c r="P513" s="13"/>
    </row>
    <row r="514">
      <c r="C514" s="24"/>
      <c r="E514" s="13"/>
      <c r="F514" s="13"/>
      <c r="H514" s="24"/>
      <c r="J514" s="13"/>
      <c r="K514" s="13"/>
      <c r="M514" s="24"/>
      <c r="O514" s="13"/>
      <c r="P514" s="13"/>
    </row>
    <row r="515">
      <c r="C515" s="24"/>
      <c r="E515" s="13"/>
      <c r="F515" s="13"/>
      <c r="H515" s="24"/>
      <c r="J515" s="13"/>
      <c r="K515" s="13"/>
      <c r="M515" s="24"/>
      <c r="O515" s="13"/>
      <c r="P515" s="13"/>
    </row>
    <row r="516">
      <c r="C516" s="24"/>
      <c r="E516" s="13"/>
      <c r="F516" s="13"/>
      <c r="H516" s="24"/>
      <c r="J516" s="13"/>
      <c r="K516" s="13"/>
      <c r="M516" s="24"/>
      <c r="O516" s="13"/>
      <c r="P516" s="13"/>
    </row>
    <row r="517">
      <c r="C517" s="24"/>
      <c r="E517" s="13"/>
      <c r="F517" s="13"/>
      <c r="H517" s="24"/>
      <c r="J517" s="13"/>
      <c r="K517" s="13"/>
      <c r="M517" s="24"/>
      <c r="O517" s="13"/>
      <c r="P517" s="13"/>
    </row>
    <row r="518">
      <c r="C518" s="24"/>
      <c r="E518" s="13"/>
      <c r="F518" s="13"/>
      <c r="H518" s="24"/>
      <c r="J518" s="13"/>
      <c r="K518" s="13"/>
      <c r="M518" s="24"/>
      <c r="O518" s="13"/>
      <c r="P518" s="13"/>
    </row>
    <row r="519">
      <c r="C519" s="24"/>
      <c r="E519" s="13"/>
      <c r="F519" s="13"/>
      <c r="H519" s="24"/>
      <c r="J519" s="13"/>
      <c r="K519" s="13"/>
      <c r="M519" s="24"/>
      <c r="O519" s="13"/>
      <c r="P519" s="13"/>
    </row>
    <row r="520">
      <c r="C520" s="24"/>
      <c r="E520" s="13"/>
      <c r="F520" s="13"/>
      <c r="H520" s="24"/>
      <c r="J520" s="13"/>
      <c r="K520" s="13"/>
      <c r="M520" s="24"/>
      <c r="O520" s="13"/>
      <c r="P520" s="13"/>
    </row>
    <row r="521">
      <c r="C521" s="24"/>
      <c r="E521" s="13"/>
      <c r="F521" s="13"/>
      <c r="H521" s="24"/>
      <c r="J521" s="13"/>
      <c r="K521" s="13"/>
      <c r="M521" s="24"/>
      <c r="O521" s="13"/>
      <c r="P521" s="13"/>
    </row>
    <row r="522">
      <c r="C522" s="24"/>
      <c r="E522" s="13"/>
      <c r="F522" s="13"/>
      <c r="H522" s="24"/>
      <c r="J522" s="13"/>
      <c r="K522" s="13"/>
      <c r="M522" s="24"/>
      <c r="O522" s="13"/>
      <c r="P522" s="13"/>
    </row>
    <row r="523">
      <c r="C523" s="24"/>
      <c r="E523" s="13"/>
      <c r="F523" s="13"/>
      <c r="H523" s="24"/>
      <c r="J523" s="13"/>
      <c r="K523" s="13"/>
      <c r="M523" s="24"/>
      <c r="O523" s="13"/>
      <c r="P523" s="13"/>
    </row>
    <row r="524">
      <c r="C524" s="24"/>
      <c r="E524" s="13"/>
      <c r="F524" s="13"/>
      <c r="H524" s="24"/>
      <c r="J524" s="13"/>
      <c r="K524" s="13"/>
      <c r="M524" s="24"/>
      <c r="O524" s="13"/>
      <c r="P524" s="13"/>
    </row>
    <row r="525">
      <c r="C525" s="24"/>
      <c r="E525" s="13"/>
      <c r="F525" s="13"/>
      <c r="H525" s="24"/>
      <c r="J525" s="13"/>
      <c r="K525" s="13"/>
      <c r="M525" s="24"/>
      <c r="O525" s="13"/>
      <c r="P525" s="13"/>
    </row>
    <row r="526">
      <c r="C526" s="24"/>
      <c r="E526" s="13"/>
      <c r="F526" s="13"/>
      <c r="H526" s="24"/>
      <c r="J526" s="13"/>
      <c r="K526" s="13"/>
      <c r="M526" s="24"/>
      <c r="O526" s="13"/>
      <c r="P526" s="13"/>
    </row>
    <row r="527">
      <c r="C527" s="24"/>
      <c r="E527" s="13"/>
      <c r="F527" s="13"/>
      <c r="H527" s="24"/>
      <c r="J527" s="13"/>
      <c r="K527" s="13"/>
      <c r="M527" s="24"/>
      <c r="O527" s="13"/>
      <c r="P527" s="13"/>
    </row>
    <row r="528">
      <c r="C528" s="24"/>
      <c r="E528" s="13"/>
      <c r="F528" s="13"/>
      <c r="H528" s="24"/>
      <c r="J528" s="13"/>
      <c r="K528" s="13"/>
      <c r="M528" s="24"/>
      <c r="O528" s="13"/>
      <c r="P528" s="13"/>
    </row>
    <row r="529">
      <c r="C529" s="24"/>
      <c r="E529" s="13"/>
      <c r="F529" s="13"/>
      <c r="H529" s="24"/>
      <c r="J529" s="13"/>
      <c r="K529" s="13"/>
      <c r="M529" s="24"/>
      <c r="O529" s="13"/>
      <c r="P529" s="13"/>
    </row>
    <row r="530">
      <c r="C530" s="24"/>
      <c r="E530" s="13"/>
      <c r="F530" s="13"/>
      <c r="H530" s="24"/>
      <c r="J530" s="13"/>
      <c r="K530" s="13"/>
      <c r="M530" s="24"/>
      <c r="O530" s="13"/>
      <c r="P530" s="13"/>
    </row>
    <row r="531">
      <c r="C531" s="24"/>
      <c r="E531" s="13"/>
      <c r="F531" s="13"/>
      <c r="H531" s="24"/>
      <c r="J531" s="13"/>
      <c r="K531" s="13"/>
      <c r="M531" s="24"/>
      <c r="O531" s="13"/>
      <c r="P531" s="13"/>
    </row>
    <row r="532">
      <c r="C532" s="24"/>
      <c r="E532" s="13"/>
      <c r="F532" s="13"/>
      <c r="H532" s="24"/>
      <c r="J532" s="13"/>
      <c r="K532" s="13"/>
      <c r="M532" s="24"/>
      <c r="O532" s="13"/>
      <c r="P532" s="13"/>
    </row>
    <row r="533">
      <c r="C533" s="24"/>
      <c r="E533" s="13"/>
      <c r="F533" s="13"/>
      <c r="H533" s="24"/>
      <c r="J533" s="13"/>
      <c r="K533" s="13"/>
      <c r="M533" s="24"/>
      <c r="O533" s="13"/>
      <c r="P533" s="13"/>
    </row>
    <row r="534">
      <c r="C534" s="24"/>
      <c r="E534" s="13"/>
      <c r="F534" s="13"/>
      <c r="H534" s="24"/>
      <c r="J534" s="13"/>
      <c r="K534" s="13"/>
      <c r="M534" s="24"/>
      <c r="O534" s="13"/>
      <c r="P534" s="13"/>
    </row>
    <row r="535">
      <c r="C535" s="24"/>
      <c r="E535" s="13"/>
      <c r="F535" s="13"/>
      <c r="H535" s="24"/>
      <c r="J535" s="13"/>
      <c r="K535" s="13"/>
      <c r="M535" s="24"/>
      <c r="O535" s="13"/>
      <c r="P535" s="13"/>
    </row>
    <row r="536">
      <c r="C536" s="24"/>
      <c r="E536" s="13"/>
      <c r="F536" s="13"/>
      <c r="H536" s="24"/>
      <c r="J536" s="13"/>
      <c r="K536" s="13"/>
      <c r="M536" s="24"/>
      <c r="O536" s="13"/>
      <c r="P536" s="13"/>
    </row>
    <row r="537">
      <c r="C537" s="24"/>
      <c r="E537" s="13"/>
      <c r="F537" s="13"/>
      <c r="H537" s="24"/>
      <c r="J537" s="13"/>
      <c r="K537" s="13"/>
      <c r="M537" s="24"/>
      <c r="O537" s="13"/>
      <c r="P537" s="13"/>
    </row>
    <row r="538">
      <c r="C538" s="24"/>
      <c r="E538" s="13"/>
      <c r="F538" s="13"/>
      <c r="H538" s="24"/>
      <c r="J538" s="13"/>
      <c r="K538" s="13"/>
      <c r="M538" s="24"/>
      <c r="O538" s="13"/>
      <c r="P538" s="13"/>
    </row>
    <row r="539">
      <c r="C539" s="24"/>
      <c r="E539" s="13"/>
      <c r="F539" s="13"/>
      <c r="H539" s="24"/>
      <c r="J539" s="13"/>
      <c r="K539" s="13"/>
      <c r="M539" s="24"/>
      <c r="O539" s="13"/>
      <c r="P539" s="13"/>
    </row>
    <row r="540">
      <c r="C540" s="24"/>
      <c r="E540" s="13"/>
      <c r="F540" s="13"/>
      <c r="H540" s="24"/>
      <c r="J540" s="13"/>
      <c r="K540" s="13"/>
      <c r="M540" s="24"/>
      <c r="O540" s="13"/>
      <c r="P540" s="13"/>
    </row>
    <row r="541">
      <c r="C541" s="24"/>
      <c r="E541" s="13"/>
      <c r="F541" s="13"/>
      <c r="H541" s="24"/>
      <c r="J541" s="13"/>
      <c r="K541" s="13"/>
      <c r="M541" s="24"/>
      <c r="O541" s="13"/>
      <c r="P541" s="13"/>
    </row>
    <row r="542">
      <c r="C542" s="24"/>
      <c r="E542" s="13"/>
      <c r="F542" s="13"/>
      <c r="H542" s="24"/>
      <c r="J542" s="13"/>
      <c r="K542" s="13"/>
      <c r="M542" s="24"/>
      <c r="O542" s="13"/>
      <c r="P542" s="13"/>
    </row>
    <row r="543">
      <c r="C543" s="24"/>
      <c r="E543" s="13"/>
      <c r="F543" s="13"/>
      <c r="H543" s="24"/>
      <c r="J543" s="13"/>
      <c r="K543" s="13"/>
      <c r="M543" s="24"/>
      <c r="O543" s="13"/>
      <c r="P543" s="13"/>
    </row>
    <row r="544">
      <c r="C544" s="24"/>
      <c r="E544" s="13"/>
      <c r="F544" s="13"/>
      <c r="H544" s="24"/>
      <c r="J544" s="13"/>
      <c r="K544" s="13"/>
      <c r="M544" s="24"/>
      <c r="O544" s="13"/>
      <c r="P544" s="13"/>
    </row>
    <row r="545">
      <c r="C545" s="24"/>
      <c r="E545" s="13"/>
      <c r="F545" s="13"/>
      <c r="H545" s="24"/>
      <c r="J545" s="13"/>
      <c r="K545" s="13"/>
      <c r="M545" s="24"/>
      <c r="O545" s="13"/>
      <c r="P545" s="13"/>
    </row>
    <row r="546">
      <c r="C546" s="24"/>
      <c r="E546" s="13"/>
      <c r="F546" s="13"/>
      <c r="H546" s="24"/>
      <c r="J546" s="13"/>
      <c r="K546" s="13"/>
      <c r="M546" s="24"/>
      <c r="O546" s="13"/>
      <c r="P546" s="13"/>
    </row>
    <row r="547">
      <c r="C547" s="24"/>
      <c r="E547" s="13"/>
      <c r="F547" s="13"/>
      <c r="H547" s="24"/>
      <c r="J547" s="13"/>
      <c r="K547" s="13"/>
      <c r="M547" s="24"/>
      <c r="O547" s="13"/>
      <c r="P547" s="13"/>
    </row>
    <row r="548">
      <c r="C548" s="24"/>
      <c r="E548" s="13"/>
      <c r="F548" s="13"/>
      <c r="H548" s="24"/>
      <c r="J548" s="13"/>
      <c r="K548" s="13"/>
      <c r="M548" s="24"/>
      <c r="O548" s="13"/>
      <c r="P548" s="13"/>
    </row>
    <row r="549">
      <c r="C549" s="24"/>
      <c r="E549" s="13"/>
      <c r="F549" s="13"/>
      <c r="H549" s="24"/>
      <c r="J549" s="13"/>
      <c r="K549" s="13"/>
      <c r="M549" s="24"/>
      <c r="O549" s="13"/>
      <c r="P549" s="13"/>
    </row>
    <row r="550">
      <c r="C550" s="24"/>
      <c r="E550" s="13"/>
      <c r="F550" s="13"/>
      <c r="H550" s="24"/>
      <c r="J550" s="13"/>
      <c r="K550" s="13"/>
      <c r="M550" s="24"/>
      <c r="O550" s="13"/>
      <c r="P550" s="13"/>
    </row>
    <row r="551">
      <c r="C551" s="24"/>
      <c r="E551" s="13"/>
      <c r="F551" s="13"/>
      <c r="H551" s="24"/>
      <c r="J551" s="13"/>
      <c r="K551" s="13"/>
      <c r="M551" s="24"/>
      <c r="O551" s="13"/>
      <c r="P551" s="13"/>
    </row>
    <row r="552">
      <c r="C552" s="24"/>
      <c r="E552" s="13"/>
      <c r="F552" s="13"/>
      <c r="H552" s="24"/>
      <c r="J552" s="13"/>
      <c r="K552" s="13"/>
      <c r="M552" s="24"/>
      <c r="O552" s="13"/>
      <c r="P552" s="13"/>
    </row>
    <row r="553">
      <c r="C553" s="24"/>
      <c r="E553" s="13"/>
      <c r="F553" s="13"/>
      <c r="H553" s="24"/>
      <c r="J553" s="13"/>
      <c r="K553" s="13"/>
      <c r="M553" s="24"/>
      <c r="O553" s="13"/>
      <c r="P553" s="13"/>
    </row>
    <row r="554">
      <c r="C554" s="24"/>
      <c r="E554" s="13"/>
      <c r="F554" s="13"/>
      <c r="H554" s="24"/>
      <c r="J554" s="13"/>
      <c r="K554" s="13"/>
      <c r="M554" s="24"/>
      <c r="O554" s="13"/>
      <c r="P554" s="13"/>
    </row>
    <row r="555">
      <c r="C555" s="24"/>
      <c r="E555" s="13"/>
      <c r="F555" s="13"/>
      <c r="H555" s="24"/>
      <c r="J555" s="13"/>
      <c r="K555" s="13"/>
      <c r="M555" s="24"/>
      <c r="O555" s="13"/>
      <c r="P555" s="13"/>
    </row>
    <row r="556">
      <c r="C556" s="24"/>
      <c r="E556" s="13"/>
      <c r="F556" s="13"/>
      <c r="H556" s="24"/>
      <c r="J556" s="13"/>
      <c r="K556" s="13"/>
      <c r="M556" s="24"/>
      <c r="O556" s="13"/>
      <c r="P556" s="13"/>
    </row>
    <row r="557">
      <c r="C557" s="24"/>
      <c r="E557" s="13"/>
      <c r="F557" s="13"/>
      <c r="H557" s="24"/>
      <c r="J557" s="13"/>
      <c r="K557" s="13"/>
      <c r="M557" s="24"/>
      <c r="O557" s="13"/>
      <c r="P557" s="13"/>
    </row>
    <row r="558">
      <c r="C558" s="24"/>
      <c r="E558" s="13"/>
      <c r="F558" s="13"/>
      <c r="H558" s="24"/>
      <c r="J558" s="13"/>
      <c r="K558" s="13"/>
      <c r="M558" s="24"/>
      <c r="O558" s="13"/>
      <c r="P558" s="13"/>
    </row>
    <row r="559">
      <c r="C559" s="24"/>
      <c r="E559" s="13"/>
      <c r="F559" s="13"/>
      <c r="H559" s="24"/>
      <c r="J559" s="13"/>
      <c r="K559" s="13"/>
      <c r="M559" s="24"/>
      <c r="O559" s="13"/>
      <c r="P559" s="13"/>
    </row>
    <row r="560">
      <c r="C560" s="24"/>
      <c r="E560" s="13"/>
      <c r="F560" s="13"/>
      <c r="H560" s="24"/>
      <c r="J560" s="13"/>
      <c r="K560" s="13"/>
      <c r="M560" s="24"/>
      <c r="O560" s="13"/>
      <c r="P560" s="13"/>
    </row>
    <row r="561">
      <c r="C561" s="24"/>
      <c r="E561" s="13"/>
      <c r="F561" s="13"/>
      <c r="H561" s="24"/>
      <c r="J561" s="13"/>
      <c r="K561" s="13"/>
      <c r="M561" s="24"/>
      <c r="O561" s="13"/>
      <c r="P561" s="13"/>
    </row>
    <row r="562">
      <c r="C562" s="24"/>
      <c r="E562" s="13"/>
      <c r="F562" s="13"/>
      <c r="H562" s="24"/>
      <c r="J562" s="13"/>
      <c r="K562" s="13"/>
      <c r="M562" s="24"/>
      <c r="O562" s="13"/>
      <c r="P562" s="13"/>
    </row>
    <row r="563">
      <c r="C563" s="24"/>
      <c r="E563" s="13"/>
      <c r="F563" s="13"/>
      <c r="H563" s="24"/>
      <c r="J563" s="13"/>
      <c r="K563" s="13"/>
      <c r="M563" s="24"/>
      <c r="O563" s="13"/>
      <c r="P563" s="13"/>
    </row>
    <row r="564">
      <c r="C564" s="24"/>
      <c r="E564" s="13"/>
      <c r="F564" s="13"/>
      <c r="H564" s="24"/>
      <c r="J564" s="13"/>
      <c r="K564" s="13"/>
      <c r="M564" s="24"/>
      <c r="O564" s="13"/>
      <c r="P564" s="13"/>
    </row>
    <row r="565">
      <c r="C565" s="24"/>
      <c r="E565" s="13"/>
      <c r="F565" s="13"/>
      <c r="H565" s="24"/>
      <c r="J565" s="13"/>
      <c r="K565" s="13"/>
      <c r="M565" s="24"/>
      <c r="O565" s="13"/>
      <c r="P565" s="13"/>
    </row>
    <row r="566">
      <c r="C566" s="24"/>
      <c r="E566" s="13"/>
      <c r="F566" s="13"/>
      <c r="H566" s="24"/>
      <c r="J566" s="13"/>
      <c r="K566" s="13"/>
      <c r="M566" s="24"/>
      <c r="O566" s="13"/>
      <c r="P566" s="13"/>
    </row>
    <row r="567">
      <c r="C567" s="24"/>
      <c r="E567" s="13"/>
      <c r="F567" s="13"/>
      <c r="H567" s="24"/>
      <c r="J567" s="13"/>
      <c r="K567" s="13"/>
      <c r="M567" s="24"/>
      <c r="O567" s="13"/>
      <c r="P567" s="13"/>
    </row>
    <row r="568">
      <c r="C568" s="24"/>
      <c r="E568" s="13"/>
      <c r="F568" s="13"/>
      <c r="H568" s="24"/>
      <c r="J568" s="13"/>
      <c r="K568" s="13"/>
      <c r="M568" s="24"/>
      <c r="O568" s="13"/>
      <c r="P568" s="13"/>
    </row>
    <row r="569">
      <c r="C569" s="24"/>
      <c r="E569" s="13"/>
      <c r="F569" s="13"/>
      <c r="H569" s="24"/>
      <c r="J569" s="13"/>
      <c r="K569" s="13"/>
      <c r="M569" s="24"/>
      <c r="O569" s="13"/>
      <c r="P569" s="13"/>
    </row>
    <row r="570">
      <c r="C570" s="24"/>
      <c r="E570" s="13"/>
      <c r="F570" s="13"/>
      <c r="H570" s="24"/>
      <c r="J570" s="13"/>
      <c r="K570" s="13"/>
      <c r="M570" s="24"/>
      <c r="O570" s="13"/>
      <c r="P570" s="13"/>
    </row>
    <row r="571">
      <c r="C571" s="24"/>
      <c r="E571" s="13"/>
      <c r="F571" s="13"/>
      <c r="H571" s="24"/>
      <c r="J571" s="13"/>
      <c r="K571" s="13"/>
      <c r="M571" s="24"/>
      <c r="O571" s="13"/>
      <c r="P571" s="13"/>
    </row>
    <row r="572">
      <c r="C572" s="24"/>
      <c r="E572" s="13"/>
      <c r="F572" s="13"/>
      <c r="H572" s="24"/>
      <c r="J572" s="13"/>
      <c r="K572" s="13"/>
      <c r="M572" s="24"/>
      <c r="O572" s="13"/>
      <c r="P572" s="13"/>
    </row>
    <row r="573">
      <c r="C573" s="24"/>
      <c r="E573" s="13"/>
      <c r="F573" s="13"/>
      <c r="H573" s="24"/>
      <c r="J573" s="13"/>
      <c r="K573" s="13"/>
      <c r="M573" s="24"/>
      <c r="O573" s="13"/>
      <c r="P573" s="13"/>
    </row>
    <row r="574">
      <c r="C574" s="24"/>
      <c r="E574" s="13"/>
      <c r="F574" s="13"/>
      <c r="H574" s="24"/>
      <c r="J574" s="13"/>
      <c r="K574" s="13"/>
      <c r="M574" s="24"/>
      <c r="O574" s="13"/>
      <c r="P574" s="13"/>
    </row>
    <row r="575">
      <c r="C575" s="24"/>
      <c r="E575" s="13"/>
      <c r="F575" s="13"/>
      <c r="H575" s="24"/>
      <c r="J575" s="13"/>
      <c r="K575" s="13"/>
      <c r="M575" s="24"/>
      <c r="O575" s="13"/>
      <c r="P575" s="13"/>
    </row>
    <row r="576">
      <c r="C576" s="24"/>
      <c r="E576" s="13"/>
      <c r="F576" s="13"/>
      <c r="H576" s="24"/>
      <c r="J576" s="13"/>
      <c r="K576" s="13"/>
      <c r="M576" s="24"/>
      <c r="O576" s="13"/>
      <c r="P576" s="13"/>
    </row>
    <row r="577">
      <c r="C577" s="24"/>
      <c r="E577" s="13"/>
      <c r="F577" s="13"/>
      <c r="H577" s="24"/>
      <c r="J577" s="13"/>
      <c r="K577" s="13"/>
      <c r="M577" s="24"/>
      <c r="O577" s="13"/>
      <c r="P577" s="13"/>
    </row>
    <row r="578">
      <c r="C578" s="24"/>
      <c r="E578" s="13"/>
      <c r="F578" s="13"/>
      <c r="H578" s="24"/>
      <c r="J578" s="13"/>
      <c r="K578" s="13"/>
      <c r="M578" s="24"/>
      <c r="O578" s="13"/>
      <c r="P578" s="13"/>
    </row>
    <row r="579">
      <c r="C579" s="24"/>
      <c r="E579" s="13"/>
      <c r="F579" s="13"/>
      <c r="H579" s="24"/>
      <c r="J579" s="13"/>
      <c r="K579" s="13"/>
      <c r="M579" s="24"/>
      <c r="O579" s="13"/>
      <c r="P579" s="13"/>
    </row>
    <row r="580">
      <c r="C580" s="24"/>
      <c r="E580" s="13"/>
      <c r="F580" s="13"/>
      <c r="H580" s="24"/>
      <c r="J580" s="13"/>
      <c r="K580" s="13"/>
      <c r="M580" s="24"/>
      <c r="O580" s="13"/>
      <c r="P580" s="13"/>
    </row>
    <row r="581">
      <c r="C581" s="24"/>
      <c r="E581" s="13"/>
      <c r="F581" s="13"/>
      <c r="H581" s="24"/>
      <c r="J581" s="13"/>
      <c r="K581" s="13"/>
      <c r="M581" s="24"/>
      <c r="O581" s="13"/>
      <c r="P581" s="13"/>
    </row>
    <row r="582">
      <c r="C582" s="24"/>
      <c r="E582" s="13"/>
      <c r="F582" s="13"/>
      <c r="H582" s="24"/>
      <c r="J582" s="13"/>
      <c r="K582" s="13"/>
      <c r="M582" s="24"/>
      <c r="O582" s="13"/>
      <c r="P582" s="13"/>
    </row>
    <row r="583">
      <c r="C583" s="24"/>
      <c r="E583" s="13"/>
      <c r="F583" s="13"/>
      <c r="H583" s="24"/>
      <c r="J583" s="13"/>
      <c r="K583" s="13"/>
      <c r="M583" s="24"/>
      <c r="O583" s="13"/>
      <c r="P583" s="13"/>
    </row>
    <row r="584">
      <c r="C584" s="24"/>
      <c r="E584" s="13"/>
      <c r="F584" s="13"/>
      <c r="H584" s="24"/>
      <c r="J584" s="13"/>
      <c r="K584" s="13"/>
      <c r="M584" s="24"/>
      <c r="O584" s="13"/>
      <c r="P584" s="13"/>
    </row>
    <row r="585">
      <c r="C585" s="24"/>
      <c r="E585" s="13"/>
      <c r="F585" s="13"/>
      <c r="H585" s="24"/>
      <c r="J585" s="13"/>
      <c r="K585" s="13"/>
      <c r="M585" s="24"/>
      <c r="O585" s="13"/>
      <c r="P585" s="13"/>
    </row>
    <row r="586">
      <c r="C586" s="24"/>
      <c r="E586" s="13"/>
      <c r="F586" s="13"/>
      <c r="H586" s="24"/>
      <c r="J586" s="13"/>
      <c r="K586" s="13"/>
      <c r="M586" s="24"/>
      <c r="O586" s="13"/>
      <c r="P586" s="13"/>
    </row>
    <row r="587">
      <c r="C587" s="24"/>
      <c r="E587" s="13"/>
      <c r="F587" s="13"/>
      <c r="H587" s="24"/>
      <c r="J587" s="13"/>
      <c r="K587" s="13"/>
      <c r="M587" s="24"/>
      <c r="O587" s="13"/>
      <c r="P587" s="13"/>
    </row>
    <row r="588">
      <c r="C588" s="24"/>
      <c r="E588" s="13"/>
      <c r="F588" s="13"/>
      <c r="H588" s="24"/>
      <c r="J588" s="13"/>
      <c r="K588" s="13"/>
      <c r="M588" s="24"/>
      <c r="O588" s="13"/>
      <c r="P588" s="13"/>
    </row>
    <row r="589">
      <c r="C589" s="24"/>
      <c r="E589" s="13"/>
      <c r="F589" s="13"/>
      <c r="H589" s="24"/>
      <c r="J589" s="13"/>
      <c r="K589" s="13"/>
      <c r="M589" s="24"/>
      <c r="O589" s="13"/>
      <c r="P589" s="13"/>
    </row>
    <row r="590">
      <c r="C590" s="24"/>
      <c r="E590" s="13"/>
      <c r="F590" s="13"/>
      <c r="H590" s="24"/>
      <c r="J590" s="13"/>
      <c r="K590" s="13"/>
      <c r="M590" s="24"/>
      <c r="O590" s="13"/>
      <c r="P590" s="13"/>
    </row>
    <row r="591">
      <c r="C591" s="24"/>
      <c r="E591" s="13"/>
      <c r="F591" s="13"/>
      <c r="H591" s="24"/>
      <c r="J591" s="13"/>
      <c r="K591" s="13"/>
      <c r="M591" s="24"/>
      <c r="O591" s="13"/>
      <c r="P591" s="13"/>
    </row>
    <row r="592">
      <c r="C592" s="24"/>
      <c r="E592" s="13"/>
      <c r="F592" s="13"/>
      <c r="H592" s="24"/>
      <c r="J592" s="13"/>
      <c r="K592" s="13"/>
      <c r="M592" s="24"/>
      <c r="O592" s="13"/>
      <c r="P592" s="13"/>
    </row>
    <row r="593">
      <c r="C593" s="24"/>
      <c r="E593" s="13"/>
      <c r="F593" s="13"/>
      <c r="H593" s="24"/>
      <c r="J593" s="13"/>
      <c r="K593" s="13"/>
      <c r="M593" s="24"/>
      <c r="O593" s="13"/>
      <c r="P593" s="13"/>
    </row>
    <row r="594">
      <c r="C594" s="24"/>
      <c r="E594" s="13"/>
      <c r="F594" s="13"/>
      <c r="H594" s="24"/>
      <c r="J594" s="13"/>
      <c r="K594" s="13"/>
      <c r="M594" s="24"/>
      <c r="O594" s="13"/>
      <c r="P594" s="13"/>
    </row>
    <row r="595">
      <c r="C595" s="24"/>
      <c r="E595" s="13"/>
      <c r="F595" s="13"/>
      <c r="H595" s="24"/>
      <c r="J595" s="13"/>
      <c r="K595" s="13"/>
      <c r="M595" s="24"/>
      <c r="O595" s="13"/>
      <c r="P595" s="13"/>
    </row>
    <row r="596">
      <c r="C596" s="24"/>
      <c r="E596" s="13"/>
      <c r="F596" s="13"/>
      <c r="H596" s="24"/>
      <c r="J596" s="13"/>
      <c r="K596" s="13"/>
      <c r="M596" s="24"/>
      <c r="O596" s="13"/>
      <c r="P596" s="13"/>
    </row>
    <row r="597">
      <c r="C597" s="24"/>
      <c r="E597" s="13"/>
      <c r="F597" s="13"/>
      <c r="H597" s="24"/>
      <c r="J597" s="13"/>
      <c r="K597" s="13"/>
      <c r="M597" s="24"/>
      <c r="O597" s="13"/>
      <c r="P597" s="13"/>
    </row>
    <row r="598">
      <c r="C598" s="24"/>
      <c r="E598" s="13"/>
      <c r="F598" s="13"/>
      <c r="H598" s="24"/>
      <c r="J598" s="13"/>
      <c r="K598" s="13"/>
      <c r="M598" s="24"/>
      <c r="O598" s="13"/>
      <c r="P598" s="13"/>
    </row>
    <row r="599">
      <c r="C599" s="24"/>
      <c r="E599" s="13"/>
      <c r="F599" s="13"/>
      <c r="H599" s="24"/>
      <c r="J599" s="13"/>
      <c r="K599" s="13"/>
      <c r="M599" s="24"/>
      <c r="O599" s="13"/>
      <c r="P599" s="13"/>
    </row>
    <row r="600">
      <c r="C600" s="24"/>
      <c r="E600" s="13"/>
      <c r="F600" s="13"/>
      <c r="H600" s="24"/>
      <c r="J600" s="13"/>
      <c r="K600" s="13"/>
      <c r="M600" s="24"/>
      <c r="O600" s="13"/>
      <c r="P600" s="13"/>
    </row>
    <row r="601">
      <c r="C601" s="24"/>
      <c r="E601" s="13"/>
      <c r="F601" s="13"/>
      <c r="H601" s="24"/>
      <c r="J601" s="13"/>
      <c r="K601" s="13"/>
      <c r="M601" s="24"/>
      <c r="O601" s="13"/>
      <c r="P601" s="13"/>
    </row>
    <row r="602">
      <c r="C602" s="24"/>
      <c r="E602" s="13"/>
      <c r="F602" s="13"/>
      <c r="H602" s="24"/>
      <c r="J602" s="13"/>
      <c r="K602" s="13"/>
      <c r="M602" s="24"/>
      <c r="O602" s="13"/>
      <c r="P602" s="13"/>
    </row>
    <row r="603">
      <c r="C603" s="24"/>
      <c r="E603" s="13"/>
      <c r="F603" s="13"/>
      <c r="H603" s="24"/>
      <c r="J603" s="13"/>
      <c r="K603" s="13"/>
      <c r="M603" s="24"/>
      <c r="O603" s="13"/>
      <c r="P603" s="13"/>
    </row>
    <row r="604">
      <c r="C604" s="24"/>
      <c r="E604" s="13"/>
      <c r="F604" s="13"/>
      <c r="H604" s="24"/>
      <c r="J604" s="13"/>
      <c r="K604" s="13"/>
      <c r="M604" s="24"/>
      <c r="O604" s="13"/>
      <c r="P604" s="13"/>
    </row>
    <row r="605">
      <c r="C605" s="24"/>
      <c r="E605" s="13"/>
      <c r="F605" s="13"/>
      <c r="H605" s="24"/>
      <c r="J605" s="13"/>
      <c r="K605" s="13"/>
      <c r="M605" s="24"/>
      <c r="O605" s="13"/>
      <c r="P605" s="13"/>
    </row>
    <row r="606">
      <c r="C606" s="24"/>
      <c r="E606" s="13"/>
      <c r="F606" s="13"/>
      <c r="H606" s="24"/>
      <c r="J606" s="13"/>
      <c r="K606" s="13"/>
      <c r="M606" s="24"/>
      <c r="O606" s="13"/>
      <c r="P606" s="13"/>
    </row>
    <row r="607">
      <c r="C607" s="24"/>
      <c r="E607" s="13"/>
      <c r="F607" s="13"/>
      <c r="H607" s="24"/>
      <c r="J607" s="13"/>
      <c r="K607" s="13"/>
      <c r="M607" s="24"/>
      <c r="O607" s="13"/>
      <c r="P607" s="13"/>
    </row>
    <row r="608">
      <c r="C608" s="24"/>
      <c r="E608" s="13"/>
      <c r="F608" s="13"/>
      <c r="H608" s="24"/>
      <c r="J608" s="13"/>
      <c r="K608" s="13"/>
      <c r="M608" s="24"/>
      <c r="O608" s="13"/>
      <c r="P608" s="13"/>
    </row>
    <row r="609">
      <c r="C609" s="24"/>
      <c r="E609" s="13"/>
      <c r="F609" s="13"/>
      <c r="H609" s="24"/>
      <c r="J609" s="13"/>
      <c r="K609" s="13"/>
      <c r="M609" s="24"/>
      <c r="O609" s="13"/>
      <c r="P609" s="13"/>
    </row>
    <row r="610">
      <c r="C610" s="24"/>
      <c r="E610" s="13"/>
      <c r="F610" s="13"/>
      <c r="H610" s="24"/>
      <c r="J610" s="13"/>
      <c r="K610" s="13"/>
      <c r="M610" s="24"/>
      <c r="O610" s="13"/>
      <c r="P610" s="13"/>
    </row>
    <row r="611">
      <c r="C611" s="24"/>
      <c r="E611" s="13"/>
      <c r="F611" s="13"/>
      <c r="H611" s="24"/>
      <c r="J611" s="13"/>
      <c r="K611" s="13"/>
      <c r="M611" s="24"/>
      <c r="O611" s="13"/>
      <c r="P611" s="13"/>
    </row>
    <row r="612">
      <c r="C612" s="24"/>
      <c r="E612" s="13"/>
      <c r="F612" s="13"/>
      <c r="H612" s="24"/>
      <c r="J612" s="13"/>
      <c r="K612" s="13"/>
      <c r="M612" s="24"/>
      <c r="O612" s="13"/>
      <c r="P612" s="13"/>
    </row>
    <row r="613">
      <c r="C613" s="24"/>
      <c r="E613" s="13"/>
      <c r="F613" s="13"/>
      <c r="H613" s="24"/>
      <c r="J613" s="13"/>
      <c r="K613" s="13"/>
      <c r="M613" s="24"/>
      <c r="O613" s="13"/>
      <c r="P613" s="13"/>
    </row>
    <row r="614">
      <c r="C614" s="24"/>
      <c r="E614" s="13"/>
      <c r="F614" s="13"/>
      <c r="H614" s="24"/>
      <c r="J614" s="13"/>
      <c r="K614" s="13"/>
      <c r="M614" s="24"/>
      <c r="O614" s="13"/>
      <c r="P614" s="13"/>
    </row>
    <row r="615">
      <c r="C615" s="24"/>
      <c r="E615" s="13"/>
      <c r="F615" s="13"/>
      <c r="H615" s="24"/>
      <c r="J615" s="13"/>
      <c r="K615" s="13"/>
      <c r="M615" s="24"/>
      <c r="O615" s="13"/>
      <c r="P615" s="13"/>
    </row>
    <row r="616">
      <c r="C616" s="24"/>
      <c r="E616" s="13"/>
      <c r="F616" s="13"/>
      <c r="H616" s="24"/>
      <c r="J616" s="13"/>
      <c r="K616" s="13"/>
      <c r="M616" s="24"/>
      <c r="O616" s="13"/>
      <c r="P616" s="13"/>
    </row>
    <row r="617">
      <c r="C617" s="24"/>
      <c r="E617" s="13"/>
      <c r="F617" s="13"/>
      <c r="H617" s="24"/>
      <c r="J617" s="13"/>
      <c r="K617" s="13"/>
      <c r="M617" s="24"/>
      <c r="O617" s="13"/>
      <c r="P617" s="13"/>
    </row>
    <row r="618">
      <c r="C618" s="24"/>
      <c r="E618" s="13"/>
      <c r="F618" s="13"/>
      <c r="H618" s="24"/>
      <c r="J618" s="13"/>
      <c r="K618" s="13"/>
      <c r="M618" s="24"/>
      <c r="O618" s="13"/>
      <c r="P618" s="13"/>
    </row>
    <row r="619">
      <c r="C619" s="24"/>
      <c r="E619" s="13"/>
      <c r="F619" s="13"/>
      <c r="H619" s="24"/>
      <c r="J619" s="13"/>
      <c r="K619" s="13"/>
      <c r="M619" s="24"/>
      <c r="O619" s="13"/>
      <c r="P619" s="13"/>
    </row>
    <row r="620">
      <c r="C620" s="24"/>
      <c r="E620" s="13"/>
      <c r="F620" s="13"/>
      <c r="H620" s="24"/>
      <c r="J620" s="13"/>
      <c r="K620" s="13"/>
      <c r="M620" s="24"/>
      <c r="O620" s="13"/>
      <c r="P620" s="13"/>
    </row>
    <row r="621">
      <c r="C621" s="24"/>
      <c r="E621" s="13"/>
      <c r="F621" s="13"/>
      <c r="H621" s="24"/>
      <c r="J621" s="13"/>
      <c r="K621" s="13"/>
      <c r="M621" s="24"/>
      <c r="O621" s="13"/>
      <c r="P621" s="13"/>
    </row>
    <row r="622">
      <c r="C622" s="24"/>
      <c r="E622" s="13"/>
      <c r="F622" s="13"/>
      <c r="H622" s="24"/>
      <c r="J622" s="13"/>
      <c r="K622" s="13"/>
      <c r="M622" s="24"/>
      <c r="O622" s="13"/>
      <c r="P622" s="13"/>
    </row>
    <row r="623">
      <c r="C623" s="24"/>
      <c r="E623" s="13"/>
      <c r="F623" s="13"/>
      <c r="H623" s="24"/>
      <c r="J623" s="13"/>
      <c r="K623" s="13"/>
      <c r="M623" s="24"/>
      <c r="O623" s="13"/>
      <c r="P623" s="13"/>
    </row>
    <row r="624">
      <c r="C624" s="24"/>
      <c r="E624" s="13"/>
      <c r="F624" s="13"/>
      <c r="H624" s="24"/>
      <c r="J624" s="13"/>
      <c r="K624" s="13"/>
      <c r="M624" s="24"/>
      <c r="O624" s="13"/>
      <c r="P624" s="13"/>
    </row>
    <row r="625">
      <c r="C625" s="24"/>
      <c r="E625" s="13"/>
      <c r="F625" s="13"/>
      <c r="H625" s="24"/>
      <c r="J625" s="13"/>
      <c r="K625" s="13"/>
      <c r="M625" s="24"/>
      <c r="O625" s="13"/>
      <c r="P625" s="13"/>
    </row>
    <row r="626">
      <c r="C626" s="24"/>
      <c r="E626" s="13"/>
      <c r="F626" s="13"/>
      <c r="H626" s="24"/>
      <c r="J626" s="13"/>
      <c r="K626" s="13"/>
      <c r="M626" s="24"/>
      <c r="O626" s="13"/>
      <c r="P626" s="13"/>
    </row>
    <row r="627">
      <c r="C627" s="24"/>
      <c r="E627" s="13"/>
      <c r="F627" s="13"/>
      <c r="H627" s="24"/>
      <c r="J627" s="13"/>
      <c r="K627" s="13"/>
      <c r="M627" s="24"/>
      <c r="O627" s="13"/>
      <c r="P627" s="13"/>
    </row>
    <row r="628">
      <c r="C628" s="24"/>
      <c r="E628" s="13"/>
      <c r="F628" s="13"/>
      <c r="H628" s="24"/>
      <c r="J628" s="13"/>
      <c r="K628" s="13"/>
      <c r="M628" s="24"/>
      <c r="O628" s="13"/>
      <c r="P628" s="13"/>
    </row>
    <row r="629">
      <c r="C629" s="24"/>
      <c r="E629" s="13"/>
      <c r="F629" s="13"/>
      <c r="H629" s="24"/>
      <c r="J629" s="13"/>
      <c r="K629" s="13"/>
      <c r="M629" s="24"/>
      <c r="O629" s="13"/>
      <c r="P629" s="13"/>
    </row>
    <row r="630">
      <c r="C630" s="24"/>
      <c r="E630" s="13"/>
      <c r="F630" s="13"/>
      <c r="H630" s="24"/>
      <c r="J630" s="13"/>
      <c r="K630" s="13"/>
      <c r="M630" s="24"/>
      <c r="O630" s="13"/>
      <c r="P630" s="13"/>
    </row>
    <row r="631">
      <c r="C631" s="24"/>
      <c r="E631" s="13"/>
      <c r="F631" s="13"/>
      <c r="H631" s="24"/>
      <c r="J631" s="13"/>
      <c r="K631" s="13"/>
      <c r="M631" s="24"/>
      <c r="O631" s="13"/>
      <c r="P631" s="13"/>
    </row>
    <row r="632">
      <c r="C632" s="24"/>
      <c r="E632" s="13"/>
      <c r="F632" s="13"/>
      <c r="H632" s="24"/>
      <c r="J632" s="13"/>
      <c r="K632" s="13"/>
      <c r="M632" s="24"/>
      <c r="O632" s="13"/>
      <c r="P632" s="13"/>
    </row>
    <row r="633">
      <c r="C633" s="24"/>
      <c r="E633" s="13"/>
      <c r="F633" s="13"/>
      <c r="H633" s="24"/>
      <c r="J633" s="13"/>
      <c r="K633" s="13"/>
      <c r="M633" s="24"/>
      <c r="O633" s="13"/>
      <c r="P633" s="13"/>
    </row>
    <row r="634">
      <c r="C634" s="24"/>
      <c r="E634" s="13"/>
      <c r="F634" s="13"/>
      <c r="H634" s="24"/>
      <c r="J634" s="13"/>
      <c r="K634" s="13"/>
      <c r="M634" s="24"/>
      <c r="O634" s="13"/>
      <c r="P634" s="13"/>
    </row>
    <row r="635">
      <c r="C635" s="24"/>
      <c r="E635" s="13"/>
      <c r="F635" s="13"/>
      <c r="H635" s="24"/>
      <c r="J635" s="13"/>
      <c r="K635" s="13"/>
      <c r="M635" s="24"/>
      <c r="O635" s="13"/>
      <c r="P635" s="13"/>
    </row>
    <row r="636">
      <c r="C636" s="24"/>
      <c r="E636" s="13"/>
      <c r="F636" s="13"/>
      <c r="H636" s="24"/>
      <c r="J636" s="13"/>
      <c r="K636" s="13"/>
      <c r="M636" s="24"/>
      <c r="O636" s="13"/>
      <c r="P636" s="13"/>
    </row>
    <row r="637">
      <c r="C637" s="24"/>
      <c r="E637" s="13"/>
      <c r="F637" s="13"/>
      <c r="H637" s="24"/>
      <c r="J637" s="13"/>
      <c r="K637" s="13"/>
      <c r="M637" s="24"/>
      <c r="O637" s="13"/>
      <c r="P637" s="13"/>
    </row>
    <row r="638">
      <c r="C638" s="24"/>
      <c r="E638" s="13"/>
      <c r="F638" s="13"/>
      <c r="H638" s="24"/>
      <c r="J638" s="13"/>
      <c r="K638" s="13"/>
      <c r="M638" s="24"/>
      <c r="O638" s="13"/>
      <c r="P638" s="13"/>
    </row>
    <row r="639">
      <c r="C639" s="24"/>
      <c r="E639" s="13"/>
      <c r="F639" s="13"/>
      <c r="H639" s="24"/>
      <c r="J639" s="13"/>
      <c r="K639" s="13"/>
      <c r="M639" s="24"/>
      <c r="O639" s="13"/>
      <c r="P639" s="13"/>
    </row>
    <row r="640">
      <c r="C640" s="24"/>
      <c r="E640" s="13"/>
      <c r="F640" s="13"/>
      <c r="H640" s="24"/>
      <c r="J640" s="13"/>
      <c r="K640" s="13"/>
      <c r="M640" s="24"/>
      <c r="O640" s="13"/>
      <c r="P640" s="13"/>
    </row>
    <row r="641">
      <c r="C641" s="24"/>
      <c r="E641" s="13"/>
      <c r="F641" s="13"/>
      <c r="H641" s="24"/>
      <c r="J641" s="13"/>
      <c r="K641" s="13"/>
      <c r="M641" s="24"/>
      <c r="O641" s="13"/>
      <c r="P641" s="13"/>
    </row>
    <row r="642">
      <c r="C642" s="24"/>
      <c r="E642" s="13"/>
      <c r="F642" s="13"/>
      <c r="H642" s="24"/>
      <c r="J642" s="13"/>
      <c r="K642" s="13"/>
      <c r="M642" s="24"/>
      <c r="O642" s="13"/>
      <c r="P642" s="13"/>
    </row>
    <row r="643">
      <c r="C643" s="24"/>
      <c r="E643" s="13"/>
      <c r="F643" s="13"/>
      <c r="H643" s="24"/>
      <c r="J643" s="13"/>
      <c r="K643" s="13"/>
      <c r="M643" s="24"/>
      <c r="O643" s="13"/>
      <c r="P643" s="13"/>
    </row>
    <row r="644">
      <c r="C644" s="24"/>
      <c r="E644" s="13"/>
      <c r="F644" s="13"/>
      <c r="H644" s="24"/>
      <c r="J644" s="13"/>
      <c r="K644" s="13"/>
      <c r="M644" s="24"/>
      <c r="O644" s="13"/>
      <c r="P644" s="13"/>
    </row>
    <row r="645">
      <c r="C645" s="24"/>
      <c r="E645" s="13"/>
      <c r="F645" s="13"/>
      <c r="H645" s="24"/>
      <c r="J645" s="13"/>
      <c r="K645" s="13"/>
      <c r="M645" s="24"/>
      <c r="O645" s="13"/>
      <c r="P645" s="13"/>
    </row>
    <row r="646">
      <c r="C646" s="24"/>
      <c r="E646" s="13"/>
      <c r="F646" s="13"/>
      <c r="H646" s="24"/>
      <c r="J646" s="13"/>
      <c r="K646" s="13"/>
      <c r="M646" s="24"/>
      <c r="O646" s="13"/>
      <c r="P646" s="13"/>
    </row>
    <row r="647">
      <c r="C647" s="24"/>
      <c r="E647" s="13"/>
      <c r="F647" s="13"/>
      <c r="H647" s="24"/>
      <c r="J647" s="13"/>
      <c r="K647" s="13"/>
      <c r="M647" s="24"/>
      <c r="O647" s="13"/>
      <c r="P647" s="13"/>
    </row>
    <row r="648">
      <c r="C648" s="24"/>
      <c r="E648" s="13"/>
      <c r="F648" s="13"/>
      <c r="H648" s="24"/>
      <c r="J648" s="13"/>
      <c r="K648" s="13"/>
      <c r="M648" s="24"/>
      <c r="O648" s="13"/>
      <c r="P648" s="13"/>
    </row>
    <row r="649">
      <c r="C649" s="24"/>
      <c r="E649" s="13"/>
      <c r="F649" s="13"/>
      <c r="H649" s="24"/>
      <c r="J649" s="13"/>
      <c r="K649" s="13"/>
      <c r="M649" s="24"/>
      <c r="O649" s="13"/>
      <c r="P649" s="13"/>
    </row>
    <row r="650">
      <c r="C650" s="24"/>
      <c r="E650" s="13"/>
      <c r="F650" s="13"/>
      <c r="H650" s="24"/>
      <c r="J650" s="13"/>
      <c r="K650" s="13"/>
      <c r="M650" s="24"/>
      <c r="O650" s="13"/>
      <c r="P650" s="13"/>
    </row>
    <row r="651">
      <c r="C651" s="24"/>
      <c r="E651" s="13"/>
      <c r="F651" s="13"/>
      <c r="H651" s="24"/>
      <c r="J651" s="13"/>
      <c r="K651" s="13"/>
      <c r="M651" s="24"/>
      <c r="O651" s="13"/>
      <c r="P651" s="13"/>
    </row>
    <row r="652">
      <c r="C652" s="24"/>
      <c r="E652" s="13"/>
      <c r="F652" s="13"/>
      <c r="H652" s="24"/>
      <c r="J652" s="13"/>
      <c r="K652" s="13"/>
      <c r="M652" s="24"/>
      <c r="O652" s="13"/>
      <c r="P652" s="13"/>
    </row>
    <row r="653">
      <c r="C653" s="24"/>
      <c r="E653" s="13"/>
      <c r="F653" s="13"/>
      <c r="H653" s="24"/>
      <c r="J653" s="13"/>
      <c r="K653" s="13"/>
      <c r="M653" s="24"/>
      <c r="O653" s="13"/>
      <c r="P653" s="13"/>
    </row>
    <row r="654">
      <c r="C654" s="24"/>
      <c r="E654" s="13"/>
      <c r="F654" s="13"/>
      <c r="H654" s="24"/>
      <c r="J654" s="13"/>
      <c r="K654" s="13"/>
      <c r="M654" s="24"/>
      <c r="O654" s="13"/>
      <c r="P654" s="13"/>
    </row>
    <row r="655">
      <c r="C655" s="24"/>
      <c r="E655" s="13"/>
      <c r="F655" s="13"/>
      <c r="H655" s="24"/>
      <c r="J655" s="13"/>
      <c r="K655" s="13"/>
      <c r="M655" s="24"/>
      <c r="O655" s="13"/>
      <c r="P655" s="13"/>
    </row>
    <row r="656">
      <c r="C656" s="24"/>
      <c r="E656" s="13"/>
      <c r="F656" s="13"/>
      <c r="H656" s="24"/>
      <c r="J656" s="13"/>
      <c r="K656" s="13"/>
      <c r="M656" s="24"/>
      <c r="O656" s="13"/>
      <c r="P656" s="13"/>
    </row>
    <row r="657">
      <c r="C657" s="24"/>
      <c r="E657" s="13"/>
      <c r="F657" s="13"/>
      <c r="H657" s="24"/>
      <c r="J657" s="13"/>
      <c r="K657" s="13"/>
      <c r="M657" s="24"/>
      <c r="O657" s="13"/>
      <c r="P657" s="13"/>
    </row>
    <row r="658">
      <c r="C658" s="24"/>
      <c r="E658" s="13"/>
      <c r="F658" s="13"/>
      <c r="H658" s="24"/>
      <c r="J658" s="13"/>
      <c r="K658" s="13"/>
      <c r="M658" s="24"/>
      <c r="O658" s="13"/>
      <c r="P658" s="13"/>
    </row>
    <row r="659">
      <c r="C659" s="24"/>
      <c r="E659" s="13"/>
      <c r="F659" s="13"/>
      <c r="H659" s="24"/>
      <c r="J659" s="13"/>
      <c r="K659" s="13"/>
      <c r="M659" s="24"/>
      <c r="O659" s="13"/>
      <c r="P659" s="13"/>
    </row>
    <row r="660">
      <c r="C660" s="24"/>
      <c r="E660" s="13"/>
      <c r="F660" s="13"/>
      <c r="H660" s="24"/>
      <c r="J660" s="13"/>
      <c r="K660" s="13"/>
      <c r="M660" s="24"/>
      <c r="O660" s="13"/>
      <c r="P660" s="13"/>
    </row>
    <row r="661">
      <c r="C661" s="24"/>
      <c r="E661" s="13"/>
      <c r="F661" s="13"/>
      <c r="H661" s="24"/>
      <c r="J661" s="13"/>
      <c r="K661" s="13"/>
      <c r="M661" s="24"/>
      <c r="O661" s="13"/>
      <c r="P661" s="13"/>
    </row>
    <row r="662">
      <c r="C662" s="24"/>
      <c r="E662" s="13"/>
      <c r="F662" s="13"/>
      <c r="H662" s="24"/>
      <c r="J662" s="13"/>
      <c r="K662" s="13"/>
      <c r="M662" s="24"/>
      <c r="O662" s="13"/>
      <c r="P662" s="13"/>
    </row>
    <row r="663">
      <c r="C663" s="24"/>
      <c r="E663" s="13"/>
      <c r="F663" s="13"/>
      <c r="H663" s="24"/>
      <c r="J663" s="13"/>
      <c r="K663" s="13"/>
      <c r="M663" s="24"/>
      <c r="O663" s="13"/>
      <c r="P663" s="13"/>
    </row>
    <row r="664">
      <c r="C664" s="24"/>
      <c r="E664" s="13"/>
      <c r="F664" s="13"/>
      <c r="H664" s="24"/>
      <c r="J664" s="13"/>
      <c r="K664" s="13"/>
      <c r="M664" s="24"/>
      <c r="O664" s="13"/>
      <c r="P664" s="13"/>
    </row>
    <row r="665">
      <c r="C665" s="24"/>
      <c r="E665" s="13"/>
      <c r="F665" s="13"/>
      <c r="H665" s="24"/>
      <c r="J665" s="13"/>
      <c r="K665" s="13"/>
      <c r="M665" s="24"/>
      <c r="O665" s="13"/>
      <c r="P665" s="13"/>
    </row>
    <row r="666">
      <c r="C666" s="24"/>
      <c r="E666" s="13"/>
      <c r="F666" s="13"/>
      <c r="H666" s="24"/>
      <c r="J666" s="13"/>
      <c r="K666" s="13"/>
      <c r="M666" s="24"/>
      <c r="O666" s="13"/>
      <c r="P666" s="13"/>
    </row>
    <row r="667">
      <c r="C667" s="24"/>
      <c r="E667" s="13"/>
      <c r="F667" s="13"/>
      <c r="H667" s="24"/>
      <c r="J667" s="13"/>
      <c r="K667" s="13"/>
      <c r="M667" s="24"/>
      <c r="O667" s="13"/>
      <c r="P667" s="13"/>
    </row>
    <row r="668">
      <c r="C668" s="24"/>
      <c r="E668" s="13"/>
      <c r="F668" s="13"/>
      <c r="H668" s="24"/>
      <c r="J668" s="13"/>
      <c r="K668" s="13"/>
      <c r="M668" s="24"/>
      <c r="O668" s="13"/>
      <c r="P668" s="13"/>
    </row>
    <row r="669">
      <c r="C669" s="24"/>
      <c r="E669" s="13"/>
      <c r="F669" s="13"/>
      <c r="H669" s="24"/>
      <c r="J669" s="13"/>
      <c r="K669" s="13"/>
      <c r="M669" s="24"/>
      <c r="O669" s="13"/>
      <c r="P669" s="13"/>
    </row>
    <row r="670">
      <c r="C670" s="24"/>
      <c r="E670" s="13"/>
      <c r="F670" s="13"/>
      <c r="H670" s="24"/>
      <c r="J670" s="13"/>
      <c r="K670" s="13"/>
      <c r="M670" s="24"/>
      <c r="O670" s="13"/>
      <c r="P670" s="13"/>
    </row>
    <row r="671">
      <c r="C671" s="24"/>
      <c r="E671" s="13"/>
      <c r="F671" s="13"/>
      <c r="H671" s="24"/>
      <c r="J671" s="13"/>
      <c r="K671" s="13"/>
      <c r="M671" s="24"/>
      <c r="O671" s="13"/>
      <c r="P671" s="13"/>
    </row>
    <row r="672">
      <c r="C672" s="24"/>
      <c r="E672" s="13"/>
      <c r="F672" s="13"/>
      <c r="H672" s="24"/>
      <c r="J672" s="13"/>
      <c r="K672" s="13"/>
      <c r="M672" s="24"/>
      <c r="O672" s="13"/>
      <c r="P672" s="13"/>
    </row>
    <row r="673">
      <c r="C673" s="24"/>
      <c r="E673" s="13"/>
      <c r="F673" s="13"/>
      <c r="H673" s="24"/>
      <c r="J673" s="13"/>
      <c r="K673" s="13"/>
      <c r="M673" s="24"/>
      <c r="O673" s="13"/>
      <c r="P673" s="13"/>
    </row>
    <row r="674">
      <c r="C674" s="24"/>
      <c r="E674" s="13"/>
      <c r="F674" s="13"/>
      <c r="H674" s="24"/>
      <c r="J674" s="13"/>
      <c r="K674" s="13"/>
      <c r="M674" s="24"/>
      <c r="O674" s="13"/>
      <c r="P674" s="13"/>
    </row>
    <row r="675">
      <c r="C675" s="24"/>
      <c r="E675" s="13"/>
      <c r="F675" s="13"/>
      <c r="H675" s="24"/>
      <c r="J675" s="13"/>
      <c r="K675" s="13"/>
      <c r="M675" s="24"/>
      <c r="O675" s="13"/>
      <c r="P675" s="13"/>
    </row>
    <row r="676">
      <c r="C676" s="24"/>
      <c r="E676" s="13"/>
      <c r="F676" s="13"/>
      <c r="H676" s="24"/>
      <c r="J676" s="13"/>
      <c r="K676" s="13"/>
      <c r="M676" s="24"/>
      <c r="O676" s="13"/>
      <c r="P676" s="13"/>
    </row>
    <row r="677">
      <c r="C677" s="24"/>
      <c r="E677" s="13"/>
      <c r="F677" s="13"/>
      <c r="H677" s="24"/>
      <c r="J677" s="13"/>
      <c r="K677" s="13"/>
      <c r="M677" s="24"/>
      <c r="O677" s="13"/>
      <c r="P677" s="13"/>
    </row>
    <row r="678">
      <c r="C678" s="24"/>
      <c r="E678" s="13"/>
      <c r="F678" s="13"/>
      <c r="H678" s="24"/>
      <c r="J678" s="13"/>
      <c r="K678" s="13"/>
      <c r="M678" s="24"/>
      <c r="O678" s="13"/>
      <c r="P678" s="13"/>
    </row>
    <row r="679">
      <c r="C679" s="24"/>
      <c r="E679" s="13"/>
      <c r="F679" s="13"/>
      <c r="H679" s="24"/>
      <c r="J679" s="13"/>
      <c r="K679" s="13"/>
      <c r="M679" s="24"/>
      <c r="O679" s="13"/>
      <c r="P679" s="13"/>
    </row>
    <row r="680">
      <c r="C680" s="24"/>
      <c r="E680" s="13"/>
      <c r="F680" s="13"/>
      <c r="H680" s="24"/>
      <c r="J680" s="13"/>
      <c r="K680" s="13"/>
      <c r="M680" s="24"/>
      <c r="O680" s="13"/>
      <c r="P680" s="13"/>
    </row>
    <row r="681">
      <c r="C681" s="24"/>
      <c r="E681" s="13"/>
      <c r="F681" s="13"/>
      <c r="H681" s="24"/>
      <c r="J681" s="13"/>
      <c r="K681" s="13"/>
      <c r="M681" s="24"/>
      <c r="O681" s="13"/>
      <c r="P681" s="13"/>
    </row>
    <row r="682">
      <c r="C682" s="24"/>
      <c r="E682" s="13"/>
      <c r="F682" s="13"/>
      <c r="H682" s="24"/>
      <c r="J682" s="13"/>
      <c r="K682" s="13"/>
      <c r="M682" s="24"/>
      <c r="O682" s="13"/>
      <c r="P682" s="13"/>
    </row>
    <row r="683">
      <c r="C683" s="24"/>
      <c r="E683" s="13"/>
      <c r="F683" s="13"/>
      <c r="H683" s="24"/>
      <c r="J683" s="13"/>
      <c r="K683" s="13"/>
      <c r="M683" s="24"/>
      <c r="O683" s="13"/>
      <c r="P683" s="13"/>
    </row>
    <row r="684">
      <c r="C684" s="24"/>
      <c r="E684" s="13"/>
      <c r="F684" s="13"/>
      <c r="H684" s="24"/>
      <c r="J684" s="13"/>
      <c r="K684" s="13"/>
      <c r="M684" s="24"/>
      <c r="O684" s="13"/>
      <c r="P684" s="13"/>
    </row>
    <row r="685">
      <c r="C685" s="24"/>
      <c r="E685" s="13"/>
      <c r="F685" s="13"/>
      <c r="H685" s="24"/>
      <c r="J685" s="13"/>
      <c r="K685" s="13"/>
      <c r="M685" s="24"/>
      <c r="O685" s="13"/>
      <c r="P685" s="13"/>
    </row>
    <row r="686">
      <c r="C686" s="24"/>
      <c r="E686" s="13"/>
      <c r="F686" s="13"/>
      <c r="H686" s="24"/>
      <c r="J686" s="13"/>
      <c r="K686" s="13"/>
      <c r="M686" s="24"/>
      <c r="O686" s="13"/>
      <c r="P686" s="13"/>
    </row>
    <row r="687">
      <c r="C687" s="24"/>
      <c r="E687" s="13"/>
      <c r="F687" s="13"/>
      <c r="H687" s="24"/>
      <c r="J687" s="13"/>
      <c r="K687" s="13"/>
      <c r="M687" s="24"/>
      <c r="O687" s="13"/>
      <c r="P687" s="13"/>
    </row>
    <row r="688">
      <c r="C688" s="24"/>
      <c r="E688" s="13"/>
      <c r="F688" s="13"/>
      <c r="H688" s="24"/>
      <c r="J688" s="13"/>
      <c r="K688" s="13"/>
      <c r="M688" s="24"/>
      <c r="O688" s="13"/>
      <c r="P688" s="13"/>
    </row>
    <row r="689">
      <c r="C689" s="24"/>
      <c r="E689" s="13"/>
      <c r="F689" s="13"/>
      <c r="H689" s="24"/>
      <c r="J689" s="13"/>
      <c r="K689" s="13"/>
      <c r="M689" s="24"/>
      <c r="O689" s="13"/>
      <c r="P689" s="13"/>
    </row>
    <row r="690">
      <c r="C690" s="24"/>
      <c r="E690" s="13"/>
      <c r="F690" s="13"/>
      <c r="H690" s="24"/>
      <c r="J690" s="13"/>
      <c r="K690" s="13"/>
      <c r="M690" s="24"/>
      <c r="O690" s="13"/>
      <c r="P690" s="13"/>
    </row>
    <row r="691">
      <c r="C691" s="24"/>
      <c r="E691" s="13"/>
      <c r="F691" s="13"/>
      <c r="H691" s="24"/>
      <c r="J691" s="13"/>
      <c r="K691" s="13"/>
      <c r="M691" s="24"/>
      <c r="O691" s="13"/>
      <c r="P691" s="13"/>
    </row>
    <row r="692">
      <c r="C692" s="24"/>
      <c r="E692" s="13"/>
      <c r="F692" s="13"/>
      <c r="H692" s="24"/>
      <c r="J692" s="13"/>
      <c r="K692" s="13"/>
      <c r="M692" s="24"/>
      <c r="O692" s="13"/>
      <c r="P692" s="13"/>
    </row>
    <row r="693">
      <c r="C693" s="24"/>
      <c r="E693" s="13"/>
      <c r="F693" s="13"/>
      <c r="H693" s="24"/>
      <c r="J693" s="13"/>
      <c r="K693" s="13"/>
      <c r="M693" s="24"/>
      <c r="O693" s="13"/>
      <c r="P693" s="13"/>
    </row>
    <row r="694">
      <c r="C694" s="24"/>
      <c r="E694" s="13"/>
      <c r="F694" s="13"/>
      <c r="H694" s="24"/>
      <c r="J694" s="13"/>
      <c r="K694" s="13"/>
      <c r="M694" s="24"/>
      <c r="O694" s="13"/>
      <c r="P694" s="13"/>
    </row>
    <row r="695">
      <c r="C695" s="24"/>
      <c r="E695" s="13"/>
      <c r="F695" s="13"/>
      <c r="H695" s="24"/>
      <c r="J695" s="13"/>
      <c r="K695" s="13"/>
      <c r="M695" s="24"/>
      <c r="O695" s="13"/>
      <c r="P695" s="13"/>
    </row>
    <row r="696">
      <c r="C696" s="24"/>
      <c r="E696" s="13"/>
      <c r="F696" s="13"/>
      <c r="H696" s="24"/>
      <c r="J696" s="13"/>
      <c r="K696" s="13"/>
      <c r="M696" s="24"/>
      <c r="O696" s="13"/>
      <c r="P696" s="13"/>
    </row>
    <row r="697">
      <c r="C697" s="24"/>
      <c r="E697" s="13"/>
      <c r="F697" s="13"/>
      <c r="H697" s="24"/>
      <c r="J697" s="13"/>
      <c r="K697" s="13"/>
      <c r="M697" s="24"/>
      <c r="O697" s="13"/>
      <c r="P697" s="13"/>
    </row>
    <row r="698">
      <c r="C698" s="24"/>
      <c r="E698" s="13"/>
      <c r="F698" s="13"/>
      <c r="H698" s="24"/>
      <c r="J698" s="13"/>
      <c r="K698" s="13"/>
      <c r="M698" s="24"/>
      <c r="O698" s="13"/>
      <c r="P698" s="13"/>
    </row>
    <row r="699">
      <c r="C699" s="24"/>
      <c r="E699" s="13"/>
      <c r="F699" s="13"/>
      <c r="H699" s="24"/>
      <c r="J699" s="13"/>
      <c r="K699" s="13"/>
      <c r="M699" s="24"/>
      <c r="O699" s="13"/>
      <c r="P699" s="13"/>
    </row>
    <row r="700">
      <c r="C700" s="24"/>
      <c r="E700" s="13"/>
      <c r="F700" s="13"/>
      <c r="H700" s="24"/>
      <c r="J700" s="13"/>
      <c r="K700" s="13"/>
      <c r="M700" s="24"/>
      <c r="O700" s="13"/>
      <c r="P700" s="13"/>
    </row>
    <row r="701">
      <c r="C701" s="24"/>
      <c r="E701" s="13"/>
      <c r="F701" s="13"/>
      <c r="H701" s="24"/>
      <c r="J701" s="13"/>
      <c r="K701" s="13"/>
      <c r="M701" s="24"/>
      <c r="O701" s="13"/>
      <c r="P701" s="13"/>
    </row>
    <row r="702">
      <c r="C702" s="24"/>
      <c r="E702" s="13"/>
      <c r="F702" s="13"/>
      <c r="H702" s="24"/>
      <c r="J702" s="13"/>
      <c r="K702" s="13"/>
      <c r="M702" s="24"/>
      <c r="O702" s="13"/>
      <c r="P702" s="13"/>
    </row>
    <row r="703">
      <c r="C703" s="24"/>
      <c r="E703" s="13"/>
      <c r="F703" s="13"/>
      <c r="H703" s="24"/>
      <c r="J703" s="13"/>
      <c r="K703" s="13"/>
      <c r="M703" s="24"/>
      <c r="O703" s="13"/>
      <c r="P703" s="13"/>
    </row>
    <row r="704">
      <c r="C704" s="24"/>
      <c r="E704" s="13"/>
      <c r="F704" s="13"/>
      <c r="H704" s="24"/>
      <c r="J704" s="13"/>
      <c r="K704" s="13"/>
      <c r="M704" s="24"/>
      <c r="O704" s="13"/>
      <c r="P704" s="13"/>
    </row>
    <row r="705">
      <c r="C705" s="24"/>
      <c r="E705" s="13"/>
      <c r="F705" s="13"/>
      <c r="H705" s="24"/>
      <c r="J705" s="13"/>
      <c r="K705" s="13"/>
      <c r="M705" s="24"/>
      <c r="O705" s="13"/>
      <c r="P705" s="13"/>
    </row>
    <row r="706">
      <c r="C706" s="24"/>
      <c r="E706" s="13"/>
      <c r="F706" s="13"/>
      <c r="H706" s="24"/>
      <c r="J706" s="13"/>
      <c r="K706" s="13"/>
      <c r="M706" s="24"/>
      <c r="O706" s="13"/>
      <c r="P706" s="13"/>
    </row>
    <row r="707">
      <c r="C707" s="24"/>
      <c r="E707" s="13"/>
      <c r="F707" s="13"/>
      <c r="H707" s="24"/>
      <c r="J707" s="13"/>
      <c r="K707" s="13"/>
      <c r="M707" s="24"/>
      <c r="O707" s="13"/>
      <c r="P707" s="13"/>
    </row>
    <row r="708">
      <c r="C708" s="24"/>
      <c r="E708" s="13"/>
      <c r="F708" s="13"/>
      <c r="H708" s="24"/>
      <c r="J708" s="13"/>
      <c r="K708" s="13"/>
      <c r="M708" s="24"/>
      <c r="O708" s="13"/>
      <c r="P708" s="13"/>
    </row>
    <row r="709">
      <c r="C709" s="24"/>
      <c r="E709" s="13"/>
      <c r="F709" s="13"/>
      <c r="H709" s="24"/>
      <c r="J709" s="13"/>
      <c r="K709" s="13"/>
      <c r="M709" s="24"/>
      <c r="O709" s="13"/>
      <c r="P709" s="13"/>
    </row>
    <row r="710">
      <c r="C710" s="24"/>
      <c r="E710" s="13"/>
      <c r="F710" s="13"/>
      <c r="H710" s="24"/>
      <c r="J710" s="13"/>
      <c r="K710" s="13"/>
      <c r="M710" s="24"/>
      <c r="O710" s="13"/>
      <c r="P710" s="13"/>
    </row>
    <row r="711">
      <c r="C711" s="24"/>
      <c r="E711" s="13"/>
      <c r="F711" s="13"/>
      <c r="H711" s="24"/>
      <c r="J711" s="13"/>
      <c r="K711" s="13"/>
      <c r="M711" s="24"/>
      <c r="O711" s="13"/>
      <c r="P711" s="13"/>
    </row>
    <row r="712">
      <c r="C712" s="24"/>
      <c r="E712" s="13"/>
      <c r="F712" s="13"/>
      <c r="H712" s="24"/>
      <c r="J712" s="13"/>
      <c r="K712" s="13"/>
      <c r="M712" s="24"/>
      <c r="O712" s="13"/>
      <c r="P712" s="13"/>
    </row>
    <row r="713">
      <c r="C713" s="24"/>
      <c r="E713" s="13"/>
      <c r="F713" s="13"/>
      <c r="H713" s="24"/>
      <c r="J713" s="13"/>
      <c r="K713" s="13"/>
      <c r="M713" s="24"/>
      <c r="O713" s="13"/>
      <c r="P713" s="13"/>
    </row>
    <row r="714">
      <c r="C714" s="24"/>
      <c r="E714" s="13"/>
      <c r="F714" s="13"/>
      <c r="H714" s="24"/>
      <c r="J714" s="13"/>
      <c r="K714" s="13"/>
      <c r="M714" s="24"/>
      <c r="O714" s="13"/>
      <c r="P714" s="13"/>
    </row>
    <row r="715">
      <c r="C715" s="24"/>
      <c r="E715" s="13"/>
      <c r="F715" s="13"/>
      <c r="H715" s="24"/>
      <c r="J715" s="13"/>
      <c r="K715" s="13"/>
      <c r="M715" s="24"/>
      <c r="O715" s="13"/>
      <c r="P715" s="13"/>
    </row>
    <row r="716">
      <c r="C716" s="24"/>
      <c r="E716" s="13"/>
      <c r="F716" s="13"/>
      <c r="H716" s="24"/>
      <c r="J716" s="13"/>
      <c r="K716" s="13"/>
      <c r="M716" s="24"/>
      <c r="O716" s="13"/>
      <c r="P716" s="13"/>
    </row>
    <row r="717">
      <c r="C717" s="24"/>
      <c r="E717" s="13"/>
      <c r="F717" s="13"/>
      <c r="H717" s="24"/>
      <c r="J717" s="13"/>
      <c r="K717" s="13"/>
      <c r="M717" s="24"/>
      <c r="O717" s="13"/>
      <c r="P717" s="13"/>
    </row>
    <row r="718">
      <c r="C718" s="24"/>
      <c r="E718" s="13"/>
      <c r="F718" s="13"/>
      <c r="H718" s="24"/>
      <c r="J718" s="13"/>
      <c r="K718" s="13"/>
      <c r="M718" s="24"/>
      <c r="O718" s="13"/>
      <c r="P718" s="13"/>
    </row>
    <row r="719">
      <c r="C719" s="24"/>
      <c r="E719" s="13"/>
      <c r="F719" s="13"/>
      <c r="H719" s="24"/>
      <c r="J719" s="13"/>
      <c r="K719" s="13"/>
      <c r="M719" s="24"/>
      <c r="O719" s="13"/>
      <c r="P719" s="13"/>
    </row>
    <row r="720">
      <c r="C720" s="24"/>
      <c r="E720" s="13"/>
      <c r="F720" s="13"/>
      <c r="H720" s="24"/>
      <c r="J720" s="13"/>
      <c r="K720" s="13"/>
      <c r="M720" s="24"/>
      <c r="O720" s="13"/>
      <c r="P720" s="13"/>
    </row>
    <row r="721">
      <c r="C721" s="24"/>
      <c r="E721" s="13"/>
      <c r="F721" s="13"/>
      <c r="H721" s="24"/>
      <c r="J721" s="13"/>
      <c r="K721" s="13"/>
      <c r="M721" s="24"/>
      <c r="O721" s="13"/>
      <c r="P721" s="13"/>
    </row>
    <row r="722">
      <c r="C722" s="24"/>
      <c r="E722" s="13"/>
      <c r="F722" s="13"/>
      <c r="H722" s="24"/>
      <c r="J722" s="13"/>
      <c r="K722" s="13"/>
      <c r="M722" s="24"/>
      <c r="O722" s="13"/>
      <c r="P722" s="13"/>
    </row>
    <row r="723">
      <c r="C723" s="24"/>
      <c r="E723" s="13"/>
      <c r="F723" s="13"/>
      <c r="H723" s="24"/>
      <c r="J723" s="13"/>
      <c r="K723" s="13"/>
      <c r="M723" s="24"/>
      <c r="O723" s="13"/>
      <c r="P723" s="13"/>
    </row>
    <row r="724">
      <c r="C724" s="24"/>
      <c r="E724" s="13"/>
      <c r="F724" s="13"/>
      <c r="H724" s="24"/>
      <c r="J724" s="13"/>
      <c r="K724" s="13"/>
      <c r="M724" s="24"/>
      <c r="O724" s="13"/>
      <c r="P724" s="13"/>
    </row>
    <row r="725">
      <c r="C725" s="24"/>
      <c r="E725" s="13"/>
      <c r="F725" s="13"/>
      <c r="H725" s="24"/>
      <c r="J725" s="13"/>
      <c r="K725" s="13"/>
      <c r="M725" s="24"/>
      <c r="O725" s="13"/>
      <c r="P725" s="13"/>
    </row>
    <row r="726">
      <c r="C726" s="24"/>
      <c r="E726" s="13"/>
      <c r="F726" s="13"/>
      <c r="H726" s="24"/>
      <c r="J726" s="13"/>
      <c r="K726" s="13"/>
      <c r="M726" s="24"/>
      <c r="O726" s="13"/>
      <c r="P726" s="13"/>
    </row>
    <row r="727">
      <c r="C727" s="24"/>
      <c r="E727" s="13"/>
      <c r="F727" s="13"/>
      <c r="H727" s="24"/>
      <c r="J727" s="13"/>
      <c r="K727" s="13"/>
      <c r="M727" s="24"/>
      <c r="O727" s="13"/>
      <c r="P727" s="13"/>
    </row>
    <row r="728">
      <c r="C728" s="24"/>
      <c r="E728" s="13"/>
      <c r="F728" s="13"/>
      <c r="H728" s="24"/>
      <c r="J728" s="13"/>
      <c r="K728" s="13"/>
      <c r="M728" s="24"/>
      <c r="O728" s="13"/>
      <c r="P728" s="13"/>
    </row>
    <row r="729">
      <c r="C729" s="24"/>
      <c r="E729" s="13"/>
      <c r="F729" s="13"/>
      <c r="H729" s="24"/>
      <c r="J729" s="13"/>
      <c r="K729" s="13"/>
      <c r="M729" s="24"/>
      <c r="O729" s="13"/>
      <c r="P729" s="13"/>
    </row>
    <row r="730">
      <c r="C730" s="24"/>
      <c r="E730" s="13"/>
      <c r="F730" s="13"/>
      <c r="H730" s="24"/>
      <c r="J730" s="13"/>
      <c r="K730" s="13"/>
      <c r="M730" s="24"/>
      <c r="O730" s="13"/>
      <c r="P730" s="13"/>
    </row>
    <row r="731">
      <c r="C731" s="24"/>
      <c r="E731" s="13"/>
      <c r="F731" s="13"/>
      <c r="H731" s="24"/>
      <c r="J731" s="13"/>
      <c r="K731" s="13"/>
      <c r="M731" s="24"/>
      <c r="O731" s="13"/>
      <c r="P731" s="13"/>
    </row>
    <row r="732">
      <c r="C732" s="24"/>
      <c r="E732" s="13"/>
      <c r="F732" s="13"/>
      <c r="H732" s="24"/>
      <c r="J732" s="13"/>
      <c r="K732" s="13"/>
      <c r="M732" s="24"/>
      <c r="O732" s="13"/>
      <c r="P732" s="13"/>
    </row>
    <row r="733">
      <c r="C733" s="24"/>
      <c r="E733" s="13"/>
      <c r="F733" s="13"/>
      <c r="H733" s="24"/>
      <c r="J733" s="13"/>
      <c r="K733" s="13"/>
      <c r="M733" s="24"/>
      <c r="O733" s="13"/>
      <c r="P733" s="13"/>
    </row>
    <row r="734">
      <c r="C734" s="24"/>
      <c r="E734" s="13"/>
      <c r="F734" s="13"/>
      <c r="H734" s="24"/>
      <c r="J734" s="13"/>
      <c r="K734" s="13"/>
      <c r="M734" s="24"/>
      <c r="O734" s="13"/>
      <c r="P734" s="13"/>
    </row>
    <row r="735">
      <c r="C735" s="24"/>
      <c r="E735" s="13"/>
      <c r="F735" s="13"/>
      <c r="H735" s="24"/>
      <c r="J735" s="13"/>
      <c r="K735" s="13"/>
      <c r="M735" s="24"/>
      <c r="O735" s="13"/>
      <c r="P735" s="13"/>
    </row>
    <row r="736">
      <c r="C736" s="24"/>
      <c r="E736" s="13"/>
      <c r="F736" s="13"/>
      <c r="H736" s="24"/>
      <c r="J736" s="13"/>
      <c r="K736" s="13"/>
      <c r="M736" s="24"/>
      <c r="O736" s="13"/>
      <c r="P736" s="13"/>
    </row>
    <row r="737">
      <c r="C737" s="24"/>
      <c r="E737" s="13"/>
      <c r="F737" s="13"/>
      <c r="H737" s="24"/>
      <c r="J737" s="13"/>
      <c r="K737" s="13"/>
      <c r="M737" s="24"/>
      <c r="O737" s="13"/>
      <c r="P737" s="13"/>
    </row>
    <row r="738">
      <c r="C738" s="24"/>
      <c r="E738" s="13"/>
      <c r="F738" s="13"/>
      <c r="H738" s="24"/>
      <c r="J738" s="13"/>
      <c r="K738" s="13"/>
      <c r="M738" s="24"/>
      <c r="O738" s="13"/>
      <c r="P738" s="13"/>
    </row>
    <row r="739">
      <c r="C739" s="24"/>
      <c r="E739" s="13"/>
      <c r="F739" s="13"/>
      <c r="H739" s="24"/>
      <c r="J739" s="13"/>
      <c r="K739" s="13"/>
      <c r="M739" s="24"/>
      <c r="O739" s="13"/>
      <c r="P739" s="13"/>
    </row>
    <row r="740">
      <c r="C740" s="24"/>
      <c r="E740" s="13"/>
      <c r="F740" s="13"/>
      <c r="H740" s="24"/>
      <c r="J740" s="13"/>
      <c r="K740" s="13"/>
      <c r="M740" s="24"/>
      <c r="O740" s="13"/>
      <c r="P740" s="13"/>
    </row>
    <row r="741">
      <c r="C741" s="24"/>
      <c r="E741" s="13"/>
      <c r="F741" s="13"/>
      <c r="H741" s="24"/>
      <c r="J741" s="13"/>
      <c r="K741" s="13"/>
      <c r="M741" s="24"/>
      <c r="O741" s="13"/>
      <c r="P741" s="13"/>
    </row>
    <row r="742">
      <c r="C742" s="24"/>
      <c r="E742" s="13"/>
      <c r="F742" s="13"/>
      <c r="H742" s="24"/>
      <c r="J742" s="13"/>
      <c r="K742" s="13"/>
      <c r="M742" s="24"/>
      <c r="O742" s="13"/>
      <c r="P742" s="13"/>
    </row>
    <row r="743">
      <c r="C743" s="24"/>
      <c r="E743" s="13"/>
      <c r="F743" s="13"/>
      <c r="H743" s="24"/>
      <c r="J743" s="13"/>
      <c r="K743" s="13"/>
      <c r="M743" s="24"/>
      <c r="O743" s="13"/>
      <c r="P743" s="13"/>
    </row>
    <row r="744">
      <c r="C744" s="24"/>
      <c r="E744" s="13"/>
      <c r="F744" s="13"/>
      <c r="H744" s="24"/>
      <c r="J744" s="13"/>
      <c r="K744" s="13"/>
      <c r="M744" s="24"/>
      <c r="O744" s="13"/>
      <c r="P744" s="13"/>
    </row>
    <row r="745">
      <c r="C745" s="24"/>
      <c r="E745" s="13"/>
      <c r="F745" s="13"/>
      <c r="H745" s="24"/>
      <c r="J745" s="13"/>
      <c r="K745" s="13"/>
      <c r="M745" s="24"/>
      <c r="O745" s="13"/>
      <c r="P745" s="13"/>
    </row>
    <row r="746">
      <c r="C746" s="24"/>
      <c r="E746" s="13"/>
      <c r="F746" s="13"/>
      <c r="H746" s="24"/>
      <c r="J746" s="13"/>
      <c r="K746" s="13"/>
      <c r="M746" s="24"/>
      <c r="O746" s="13"/>
      <c r="P746" s="13"/>
    </row>
    <row r="747">
      <c r="C747" s="24"/>
      <c r="E747" s="13"/>
      <c r="F747" s="13"/>
      <c r="H747" s="24"/>
      <c r="J747" s="13"/>
      <c r="K747" s="13"/>
      <c r="M747" s="24"/>
      <c r="O747" s="13"/>
      <c r="P747" s="13"/>
    </row>
    <row r="748">
      <c r="C748" s="24"/>
      <c r="E748" s="13"/>
      <c r="F748" s="13"/>
      <c r="H748" s="24"/>
      <c r="J748" s="13"/>
      <c r="K748" s="13"/>
      <c r="M748" s="24"/>
      <c r="O748" s="13"/>
      <c r="P748" s="13"/>
    </row>
    <row r="749">
      <c r="C749" s="24"/>
      <c r="E749" s="13"/>
      <c r="F749" s="13"/>
      <c r="H749" s="24"/>
      <c r="J749" s="13"/>
      <c r="K749" s="13"/>
      <c r="M749" s="24"/>
      <c r="O749" s="13"/>
      <c r="P749" s="13"/>
    </row>
    <row r="750">
      <c r="C750" s="24"/>
      <c r="E750" s="13"/>
      <c r="F750" s="13"/>
      <c r="H750" s="24"/>
      <c r="J750" s="13"/>
      <c r="K750" s="13"/>
      <c r="M750" s="24"/>
      <c r="O750" s="13"/>
      <c r="P750" s="13"/>
    </row>
    <row r="751">
      <c r="C751" s="24"/>
      <c r="E751" s="13"/>
      <c r="F751" s="13"/>
      <c r="H751" s="24"/>
      <c r="J751" s="13"/>
      <c r="K751" s="13"/>
      <c r="M751" s="24"/>
      <c r="O751" s="13"/>
      <c r="P751" s="13"/>
    </row>
    <row r="752">
      <c r="C752" s="24"/>
      <c r="E752" s="13"/>
      <c r="F752" s="13"/>
      <c r="H752" s="24"/>
      <c r="J752" s="13"/>
      <c r="K752" s="13"/>
      <c r="M752" s="24"/>
      <c r="O752" s="13"/>
      <c r="P752" s="13"/>
    </row>
    <row r="753">
      <c r="C753" s="24"/>
      <c r="E753" s="13"/>
      <c r="F753" s="13"/>
      <c r="H753" s="24"/>
      <c r="J753" s="13"/>
      <c r="K753" s="13"/>
      <c r="M753" s="24"/>
      <c r="O753" s="13"/>
      <c r="P753" s="13"/>
    </row>
    <row r="754">
      <c r="C754" s="24"/>
      <c r="E754" s="13"/>
      <c r="F754" s="13"/>
      <c r="H754" s="24"/>
      <c r="J754" s="13"/>
      <c r="K754" s="13"/>
      <c r="M754" s="24"/>
      <c r="O754" s="13"/>
      <c r="P754" s="13"/>
    </row>
    <row r="755">
      <c r="C755" s="24"/>
      <c r="E755" s="13"/>
      <c r="F755" s="13"/>
      <c r="H755" s="24"/>
      <c r="J755" s="13"/>
      <c r="K755" s="13"/>
      <c r="M755" s="24"/>
      <c r="O755" s="13"/>
      <c r="P755" s="13"/>
    </row>
    <row r="756">
      <c r="C756" s="24"/>
      <c r="E756" s="13"/>
      <c r="F756" s="13"/>
      <c r="H756" s="24"/>
      <c r="J756" s="13"/>
      <c r="K756" s="13"/>
      <c r="M756" s="24"/>
      <c r="O756" s="13"/>
      <c r="P756" s="13"/>
    </row>
    <row r="757">
      <c r="C757" s="24"/>
      <c r="E757" s="13"/>
      <c r="F757" s="13"/>
      <c r="H757" s="24"/>
      <c r="J757" s="13"/>
      <c r="K757" s="13"/>
      <c r="M757" s="24"/>
      <c r="O757" s="13"/>
      <c r="P757" s="13"/>
    </row>
    <row r="758">
      <c r="C758" s="24"/>
      <c r="E758" s="13"/>
      <c r="F758" s="13"/>
      <c r="H758" s="24"/>
      <c r="J758" s="13"/>
      <c r="K758" s="13"/>
      <c r="M758" s="24"/>
      <c r="O758" s="13"/>
      <c r="P758" s="13"/>
    </row>
    <row r="759">
      <c r="C759" s="24"/>
      <c r="E759" s="13"/>
      <c r="F759" s="13"/>
      <c r="H759" s="24"/>
      <c r="J759" s="13"/>
      <c r="K759" s="13"/>
      <c r="M759" s="24"/>
      <c r="O759" s="13"/>
      <c r="P759" s="13"/>
    </row>
    <row r="760">
      <c r="C760" s="24"/>
      <c r="E760" s="13"/>
      <c r="F760" s="13"/>
      <c r="H760" s="24"/>
      <c r="J760" s="13"/>
      <c r="K760" s="13"/>
      <c r="M760" s="24"/>
      <c r="O760" s="13"/>
      <c r="P760" s="13"/>
    </row>
    <row r="761">
      <c r="C761" s="24"/>
      <c r="E761" s="13"/>
      <c r="F761" s="13"/>
      <c r="H761" s="24"/>
      <c r="J761" s="13"/>
      <c r="K761" s="13"/>
      <c r="M761" s="24"/>
      <c r="O761" s="13"/>
      <c r="P761" s="13"/>
    </row>
    <row r="762">
      <c r="C762" s="24"/>
      <c r="E762" s="13"/>
      <c r="F762" s="13"/>
      <c r="H762" s="24"/>
      <c r="J762" s="13"/>
      <c r="K762" s="13"/>
      <c r="M762" s="24"/>
      <c r="O762" s="13"/>
      <c r="P762" s="13"/>
    </row>
    <row r="763">
      <c r="C763" s="24"/>
      <c r="E763" s="13"/>
      <c r="F763" s="13"/>
      <c r="H763" s="24"/>
      <c r="J763" s="13"/>
      <c r="K763" s="13"/>
      <c r="M763" s="24"/>
      <c r="O763" s="13"/>
      <c r="P763" s="13"/>
    </row>
    <row r="764">
      <c r="C764" s="24"/>
      <c r="E764" s="13"/>
      <c r="F764" s="13"/>
      <c r="H764" s="24"/>
      <c r="J764" s="13"/>
      <c r="K764" s="13"/>
      <c r="M764" s="24"/>
      <c r="O764" s="13"/>
      <c r="P764" s="13"/>
    </row>
    <row r="765">
      <c r="C765" s="24"/>
      <c r="E765" s="13"/>
      <c r="F765" s="13"/>
      <c r="H765" s="24"/>
      <c r="J765" s="13"/>
      <c r="K765" s="13"/>
      <c r="M765" s="24"/>
      <c r="O765" s="13"/>
      <c r="P765" s="13"/>
    </row>
    <row r="766">
      <c r="C766" s="24"/>
      <c r="E766" s="13"/>
      <c r="F766" s="13"/>
      <c r="H766" s="24"/>
      <c r="J766" s="13"/>
      <c r="K766" s="13"/>
      <c r="M766" s="24"/>
      <c r="O766" s="13"/>
      <c r="P766" s="13"/>
    </row>
    <row r="767">
      <c r="C767" s="24"/>
      <c r="E767" s="13"/>
      <c r="F767" s="13"/>
      <c r="H767" s="24"/>
      <c r="J767" s="13"/>
      <c r="K767" s="13"/>
      <c r="M767" s="24"/>
      <c r="O767" s="13"/>
      <c r="P767" s="13"/>
    </row>
    <row r="768">
      <c r="C768" s="24"/>
      <c r="E768" s="13"/>
      <c r="F768" s="13"/>
      <c r="H768" s="24"/>
      <c r="J768" s="13"/>
      <c r="K768" s="13"/>
      <c r="M768" s="24"/>
      <c r="O768" s="13"/>
      <c r="P768" s="13"/>
    </row>
    <row r="769">
      <c r="C769" s="24"/>
      <c r="E769" s="13"/>
      <c r="F769" s="13"/>
      <c r="H769" s="24"/>
      <c r="J769" s="13"/>
      <c r="K769" s="13"/>
      <c r="M769" s="24"/>
      <c r="O769" s="13"/>
      <c r="P769" s="13"/>
    </row>
    <row r="770">
      <c r="C770" s="24"/>
      <c r="E770" s="13"/>
      <c r="F770" s="13"/>
      <c r="H770" s="24"/>
      <c r="J770" s="13"/>
      <c r="K770" s="13"/>
      <c r="M770" s="24"/>
      <c r="O770" s="13"/>
      <c r="P770" s="13"/>
    </row>
    <row r="771">
      <c r="C771" s="24"/>
      <c r="E771" s="13"/>
      <c r="F771" s="13"/>
      <c r="H771" s="24"/>
      <c r="J771" s="13"/>
      <c r="K771" s="13"/>
      <c r="M771" s="24"/>
      <c r="O771" s="13"/>
      <c r="P771" s="13"/>
    </row>
    <row r="772">
      <c r="C772" s="24"/>
      <c r="E772" s="13"/>
      <c r="F772" s="13"/>
      <c r="H772" s="24"/>
      <c r="J772" s="13"/>
      <c r="K772" s="13"/>
      <c r="M772" s="24"/>
      <c r="O772" s="13"/>
      <c r="P772" s="13"/>
    </row>
    <row r="773">
      <c r="C773" s="24"/>
      <c r="E773" s="13"/>
      <c r="F773" s="13"/>
      <c r="H773" s="24"/>
      <c r="J773" s="13"/>
      <c r="K773" s="13"/>
      <c r="M773" s="24"/>
      <c r="O773" s="13"/>
      <c r="P773" s="13"/>
    </row>
    <row r="774">
      <c r="C774" s="24"/>
      <c r="E774" s="13"/>
      <c r="F774" s="13"/>
      <c r="H774" s="24"/>
      <c r="J774" s="13"/>
      <c r="K774" s="13"/>
      <c r="M774" s="24"/>
      <c r="O774" s="13"/>
      <c r="P774" s="13"/>
    </row>
    <row r="775">
      <c r="C775" s="24"/>
      <c r="E775" s="13"/>
      <c r="F775" s="13"/>
      <c r="H775" s="24"/>
      <c r="J775" s="13"/>
      <c r="K775" s="13"/>
      <c r="M775" s="24"/>
      <c r="O775" s="13"/>
      <c r="P775" s="13"/>
    </row>
    <row r="776">
      <c r="C776" s="24"/>
      <c r="E776" s="13"/>
      <c r="F776" s="13"/>
      <c r="H776" s="24"/>
      <c r="J776" s="13"/>
      <c r="K776" s="13"/>
      <c r="M776" s="24"/>
      <c r="O776" s="13"/>
      <c r="P776" s="13"/>
    </row>
    <row r="777">
      <c r="C777" s="24"/>
      <c r="E777" s="13"/>
      <c r="F777" s="13"/>
      <c r="H777" s="24"/>
      <c r="J777" s="13"/>
      <c r="K777" s="13"/>
      <c r="M777" s="24"/>
      <c r="O777" s="13"/>
      <c r="P777" s="13"/>
    </row>
    <row r="778">
      <c r="C778" s="24"/>
      <c r="E778" s="13"/>
      <c r="F778" s="13"/>
      <c r="H778" s="24"/>
      <c r="J778" s="13"/>
      <c r="K778" s="13"/>
      <c r="M778" s="24"/>
      <c r="O778" s="13"/>
      <c r="P778" s="13"/>
    </row>
    <row r="779">
      <c r="C779" s="24"/>
      <c r="E779" s="13"/>
      <c r="F779" s="13"/>
      <c r="H779" s="24"/>
      <c r="J779" s="13"/>
      <c r="K779" s="13"/>
      <c r="M779" s="24"/>
      <c r="O779" s="13"/>
      <c r="P779" s="13"/>
    </row>
    <row r="780">
      <c r="C780" s="24"/>
      <c r="E780" s="13"/>
      <c r="F780" s="13"/>
      <c r="H780" s="24"/>
      <c r="J780" s="13"/>
      <c r="K780" s="13"/>
      <c r="M780" s="24"/>
      <c r="O780" s="13"/>
      <c r="P780" s="13"/>
    </row>
    <row r="781">
      <c r="C781" s="24"/>
      <c r="E781" s="13"/>
      <c r="F781" s="13"/>
      <c r="H781" s="24"/>
      <c r="J781" s="13"/>
      <c r="K781" s="13"/>
      <c r="M781" s="24"/>
      <c r="O781" s="13"/>
      <c r="P781" s="13"/>
    </row>
    <row r="782">
      <c r="C782" s="24"/>
      <c r="E782" s="13"/>
      <c r="F782" s="13"/>
      <c r="H782" s="24"/>
      <c r="J782" s="13"/>
      <c r="K782" s="13"/>
      <c r="M782" s="24"/>
      <c r="O782" s="13"/>
      <c r="P782" s="13"/>
    </row>
    <row r="783">
      <c r="C783" s="24"/>
      <c r="E783" s="13"/>
      <c r="F783" s="13"/>
      <c r="H783" s="24"/>
      <c r="J783" s="13"/>
      <c r="K783" s="13"/>
      <c r="M783" s="24"/>
      <c r="O783" s="13"/>
      <c r="P783" s="13"/>
    </row>
    <row r="784">
      <c r="C784" s="24"/>
      <c r="E784" s="13"/>
      <c r="F784" s="13"/>
      <c r="H784" s="24"/>
      <c r="J784" s="13"/>
      <c r="K784" s="13"/>
      <c r="M784" s="24"/>
      <c r="O784" s="13"/>
      <c r="P784" s="13"/>
    </row>
    <row r="785">
      <c r="C785" s="24"/>
      <c r="E785" s="13"/>
      <c r="F785" s="13"/>
      <c r="H785" s="24"/>
      <c r="J785" s="13"/>
      <c r="K785" s="13"/>
      <c r="M785" s="24"/>
      <c r="O785" s="13"/>
      <c r="P785" s="13"/>
    </row>
    <row r="786">
      <c r="C786" s="24"/>
      <c r="E786" s="13"/>
      <c r="F786" s="13"/>
      <c r="H786" s="24"/>
      <c r="J786" s="13"/>
      <c r="K786" s="13"/>
      <c r="M786" s="24"/>
      <c r="O786" s="13"/>
      <c r="P786" s="13"/>
    </row>
    <row r="787">
      <c r="C787" s="24"/>
      <c r="E787" s="13"/>
      <c r="F787" s="13"/>
      <c r="H787" s="24"/>
      <c r="J787" s="13"/>
      <c r="K787" s="13"/>
      <c r="M787" s="24"/>
      <c r="O787" s="13"/>
      <c r="P787" s="13"/>
    </row>
    <row r="788">
      <c r="C788" s="24"/>
      <c r="E788" s="13"/>
      <c r="F788" s="13"/>
      <c r="H788" s="24"/>
      <c r="J788" s="13"/>
      <c r="K788" s="13"/>
      <c r="M788" s="24"/>
      <c r="O788" s="13"/>
      <c r="P788" s="13"/>
    </row>
    <row r="789">
      <c r="C789" s="24"/>
      <c r="E789" s="13"/>
      <c r="F789" s="13"/>
      <c r="H789" s="24"/>
      <c r="J789" s="13"/>
      <c r="K789" s="13"/>
      <c r="M789" s="24"/>
      <c r="O789" s="13"/>
      <c r="P789" s="13"/>
    </row>
    <row r="790">
      <c r="C790" s="24"/>
      <c r="E790" s="13"/>
      <c r="F790" s="13"/>
      <c r="H790" s="24"/>
      <c r="J790" s="13"/>
      <c r="K790" s="13"/>
      <c r="M790" s="24"/>
      <c r="O790" s="13"/>
      <c r="P790" s="13"/>
    </row>
    <row r="791">
      <c r="C791" s="24"/>
      <c r="E791" s="13"/>
      <c r="F791" s="13"/>
      <c r="H791" s="24"/>
      <c r="J791" s="13"/>
      <c r="K791" s="13"/>
      <c r="M791" s="24"/>
      <c r="O791" s="13"/>
      <c r="P791" s="13"/>
    </row>
    <row r="792">
      <c r="C792" s="24"/>
      <c r="E792" s="13"/>
      <c r="F792" s="13"/>
      <c r="H792" s="24"/>
      <c r="J792" s="13"/>
      <c r="K792" s="13"/>
      <c r="M792" s="24"/>
      <c r="O792" s="13"/>
      <c r="P792" s="13"/>
    </row>
    <row r="793">
      <c r="C793" s="24"/>
      <c r="E793" s="13"/>
      <c r="F793" s="13"/>
      <c r="H793" s="24"/>
      <c r="J793" s="13"/>
      <c r="K793" s="13"/>
      <c r="M793" s="24"/>
      <c r="O793" s="13"/>
      <c r="P793" s="13"/>
    </row>
    <row r="794">
      <c r="C794" s="24"/>
      <c r="E794" s="13"/>
      <c r="F794" s="13"/>
      <c r="H794" s="24"/>
      <c r="J794" s="13"/>
      <c r="K794" s="13"/>
      <c r="M794" s="24"/>
      <c r="O794" s="13"/>
      <c r="P794" s="13"/>
    </row>
    <row r="795">
      <c r="C795" s="24"/>
      <c r="E795" s="13"/>
      <c r="F795" s="13"/>
      <c r="H795" s="24"/>
      <c r="J795" s="13"/>
      <c r="K795" s="13"/>
      <c r="M795" s="24"/>
      <c r="O795" s="13"/>
      <c r="P795" s="13"/>
    </row>
    <row r="796">
      <c r="C796" s="24"/>
      <c r="E796" s="13"/>
      <c r="F796" s="13"/>
      <c r="H796" s="24"/>
      <c r="J796" s="13"/>
      <c r="K796" s="13"/>
      <c r="M796" s="24"/>
      <c r="O796" s="13"/>
      <c r="P796" s="13"/>
    </row>
    <row r="797">
      <c r="C797" s="24"/>
      <c r="E797" s="13"/>
      <c r="F797" s="13"/>
      <c r="H797" s="24"/>
      <c r="J797" s="13"/>
      <c r="K797" s="13"/>
      <c r="M797" s="24"/>
      <c r="O797" s="13"/>
      <c r="P797" s="13"/>
    </row>
    <row r="798">
      <c r="C798" s="24"/>
      <c r="E798" s="13"/>
      <c r="F798" s="13"/>
      <c r="H798" s="24"/>
      <c r="J798" s="13"/>
      <c r="K798" s="13"/>
      <c r="M798" s="24"/>
      <c r="O798" s="13"/>
      <c r="P798" s="13"/>
    </row>
    <row r="799">
      <c r="C799" s="24"/>
      <c r="E799" s="13"/>
      <c r="F799" s="13"/>
      <c r="H799" s="24"/>
      <c r="J799" s="13"/>
      <c r="K799" s="13"/>
      <c r="M799" s="24"/>
      <c r="O799" s="13"/>
      <c r="P799" s="13"/>
    </row>
    <row r="800">
      <c r="C800" s="24"/>
      <c r="E800" s="13"/>
      <c r="F800" s="13"/>
      <c r="H800" s="24"/>
      <c r="J800" s="13"/>
      <c r="K800" s="13"/>
      <c r="M800" s="24"/>
      <c r="O800" s="13"/>
      <c r="P800" s="13"/>
    </row>
    <row r="801">
      <c r="C801" s="24"/>
      <c r="E801" s="13"/>
      <c r="F801" s="13"/>
      <c r="H801" s="24"/>
      <c r="J801" s="13"/>
      <c r="K801" s="13"/>
      <c r="M801" s="24"/>
      <c r="O801" s="13"/>
      <c r="P801" s="13"/>
    </row>
    <row r="802">
      <c r="C802" s="24"/>
      <c r="E802" s="13"/>
      <c r="F802" s="13"/>
      <c r="H802" s="24"/>
      <c r="J802" s="13"/>
      <c r="K802" s="13"/>
      <c r="M802" s="24"/>
      <c r="O802" s="13"/>
      <c r="P802" s="13"/>
    </row>
    <row r="803">
      <c r="C803" s="24"/>
      <c r="E803" s="13"/>
      <c r="F803" s="13"/>
      <c r="H803" s="24"/>
      <c r="J803" s="13"/>
      <c r="K803" s="13"/>
      <c r="M803" s="24"/>
      <c r="O803" s="13"/>
      <c r="P803" s="13"/>
    </row>
    <row r="804">
      <c r="C804" s="24"/>
      <c r="E804" s="13"/>
      <c r="F804" s="13"/>
      <c r="H804" s="24"/>
      <c r="J804" s="13"/>
      <c r="K804" s="13"/>
      <c r="M804" s="24"/>
      <c r="O804" s="13"/>
      <c r="P804" s="13"/>
    </row>
    <row r="805">
      <c r="C805" s="24"/>
      <c r="E805" s="13"/>
      <c r="F805" s="13"/>
      <c r="H805" s="24"/>
      <c r="J805" s="13"/>
      <c r="K805" s="13"/>
      <c r="M805" s="24"/>
      <c r="O805" s="13"/>
      <c r="P805" s="13"/>
    </row>
    <row r="806">
      <c r="C806" s="24"/>
      <c r="E806" s="13"/>
      <c r="F806" s="13"/>
      <c r="H806" s="24"/>
      <c r="J806" s="13"/>
      <c r="K806" s="13"/>
      <c r="M806" s="24"/>
      <c r="O806" s="13"/>
      <c r="P806" s="13"/>
    </row>
    <row r="807">
      <c r="C807" s="24"/>
      <c r="E807" s="13"/>
      <c r="F807" s="13"/>
      <c r="H807" s="24"/>
      <c r="J807" s="13"/>
      <c r="K807" s="13"/>
      <c r="M807" s="24"/>
      <c r="O807" s="13"/>
      <c r="P807" s="13"/>
    </row>
    <row r="808">
      <c r="C808" s="24"/>
      <c r="E808" s="13"/>
      <c r="F808" s="13"/>
      <c r="H808" s="24"/>
      <c r="J808" s="13"/>
      <c r="K808" s="13"/>
      <c r="M808" s="24"/>
      <c r="O808" s="13"/>
      <c r="P808" s="13"/>
    </row>
    <row r="809">
      <c r="C809" s="24"/>
      <c r="E809" s="13"/>
      <c r="F809" s="13"/>
      <c r="H809" s="24"/>
      <c r="J809" s="13"/>
      <c r="K809" s="13"/>
      <c r="M809" s="24"/>
      <c r="O809" s="13"/>
      <c r="P809" s="13"/>
    </row>
    <row r="810">
      <c r="C810" s="24"/>
      <c r="E810" s="13"/>
      <c r="F810" s="13"/>
      <c r="H810" s="24"/>
      <c r="J810" s="13"/>
      <c r="K810" s="13"/>
      <c r="M810" s="24"/>
      <c r="O810" s="13"/>
      <c r="P810" s="13"/>
    </row>
    <row r="811">
      <c r="C811" s="24"/>
      <c r="E811" s="13"/>
      <c r="F811" s="13"/>
      <c r="H811" s="24"/>
      <c r="J811" s="13"/>
      <c r="K811" s="13"/>
      <c r="M811" s="24"/>
      <c r="O811" s="13"/>
      <c r="P811" s="13"/>
    </row>
    <row r="812">
      <c r="C812" s="24"/>
      <c r="E812" s="13"/>
      <c r="F812" s="13"/>
      <c r="H812" s="24"/>
      <c r="J812" s="13"/>
      <c r="K812" s="13"/>
      <c r="M812" s="24"/>
      <c r="O812" s="13"/>
      <c r="P812" s="13"/>
    </row>
    <row r="813">
      <c r="C813" s="24"/>
      <c r="E813" s="13"/>
      <c r="F813" s="13"/>
      <c r="H813" s="24"/>
      <c r="J813" s="13"/>
      <c r="K813" s="13"/>
      <c r="M813" s="24"/>
      <c r="O813" s="13"/>
      <c r="P813" s="13"/>
    </row>
    <row r="814">
      <c r="C814" s="24"/>
      <c r="E814" s="13"/>
      <c r="F814" s="13"/>
      <c r="H814" s="24"/>
      <c r="J814" s="13"/>
      <c r="K814" s="13"/>
      <c r="M814" s="24"/>
      <c r="O814" s="13"/>
      <c r="P814" s="13"/>
    </row>
    <row r="815">
      <c r="C815" s="24"/>
      <c r="E815" s="13"/>
      <c r="F815" s="13"/>
      <c r="H815" s="24"/>
      <c r="J815" s="13"/>
      <c r="K815" s="13"/>
      <c r="M815" s="24"/>
      <c r="O815" s="13"/>
      <c r="P815" s="13"/>
    </row>
    <row r="816">
      <c r="C816" s="24"/>
      <c r="E816" s="13"/>
      <c r="F816" s="13"/>
      <c r="H816" s="24"/>
      <c r="J816" s="13"/>
      <c r="K816" s="13"/>
      <c r="M816" s="24"/>
      <c r="O816" s="13"/>
      <c r="P816" s="13"/>
    </row>
    <row r="817">
      <c r="C817" s="24"/>
      <c r="E817" s="13"/>
      <c r="F817" s="13"/>
      <c r="H817" s="24"/>
      <c r="J817" s="13"/>
      <c r="K817" s="13"/>
      <c r="M817" s="24"/>
      <c r="O817" s="13"/>
      <c r="P817" s="13"/>
    </row>
    <row r="818">
      <c r="C818" s="24"/>
      <c r="E818" s="13"/>
      <c r="F818" s="13"/>
      <c r="H818" s="24"/>
      <c r="J818" s="13"/>
      <c r="K818" s="13"/>
      <c r="M818" s="24"/>
      <c r="O818" s="13"/>
      <c r="P818" s="13"/>
    </row>
    <row r="819">
      <c r="C819" s="24"/>
      <c r="E819" s="13"/>
      <c r="F819" s="13"/>
      <c r="H819" s="24"/>
      <c r="J819" s="13"/>
      <c r="K819" s="13"/>
      <c r="M819" s="24"/>
      <c r="O819" s="13"/>
      <c r="P819" s="13"/>
    </row>
    <row r="820">
      <c r="C820" s="24"/>
      <c r="E820" s="13"/>
      <c r="F820" s="13"/>
      <c r="H820" s="24"/>
      <c r="J820" s="13"/>
      <c r="K820" s="13"/>
      <c r="M820" s="24"/>
      <c r="O820" s="13"/>
      <c r="P820" s="13"/>
    </row>
    <row r="821">
      <c r="C821" s="24"/>
      <c r="E821" s="13"/>
      <c r="F821" s="13"/>
      <c r="H821" s="24"/>
      <c r="J821" s="13"/>
      <c r="K821" s="13"/>
      <c r="M821" s="24"/>
      <c r="O821" s="13"/>
      <c r="P821" s="13"/>
    </row>
    <row r="822">
      <c r="C822" s="24"/>
      <c r="E822" s="13"/>
      <c r="F822" s="13"/>
      <c r="H822" s="24"/>
      <c r="J822" s="13"/>
      <c r="K822" s="13"/>
      <c r="M822" s="24"/>
      <c r="O822" s="13"/>
      <c r="P822" s="13"/>
    </row>
    <row r="823">
      <c r="C823" s="24"/>
      <c r="E823" s="13"/>
      <c r="F823" s="13"/>
      <c r="H823" s="24"/>
      <c r="J823" s="13"/>
      <c r="K823" s="13"/>
      <c r="M823" s="24"/>
      <c r="O823" s="13"/>
      <c r="P823" s="13"/>
    </row>
    <row r="824">
      <c r="C824" s="24"/>
      <c r="E824" s="13"/>
      <c r="F824" s="13"/>
      <c r="H824" s="24"/>
      <c r="J824" s="13"/>
      <c r="K824" s="13"/>
      <c r="M824" s="24"/>
      <c r="O824" s="13"/>
      <c r="P824" s="13"/>
    </row>
    <row r="825">
      <c r="C825" s="24"/>
      <c r="E825" s="13"/>
      <c r="F825" s="13"/>
      <c r="H825" s="24"/>
      <c r="J825" s="13"/>
      <c r="K825" s="13"/>
      <c r="M825" s="24"/>
      <c r="O825" s="13"/>
      <c r="P825" s="13"/>
    </row>
    <row r="826">
      <c r="C826" s="24"/>
      <c r="E826" s="13"/>
      <c r="F826" s="13"/>
      <c r="H826" s="24"/>
      <c r="J826" s="13"/>
      <c r="K826" s="13"/>
      <c r="M826" s="24"/>
      <c r="O826" s="13"/>
      <c r="P826" s="13"/>
    </row>
    <row r="827">
      <c r="C827" s="24"/>
      <c r="E827" s="13"/>
      <c r="F827" s="13"/>
      <c r="H827" s="24"/>
      <c r="J827" s="13"/>
      <c r="K827" s="13"/>
      <c r="M827" s="24"/>
      <c r="O827" s="13"/>
      <c r="P827" s="13"/>
    </row>
    <row r="828">
      <c r="C828" s="24"/>
      <c r="E828" s="13"/>
      <c r="F828" s="13"/>
      <c r="H828" s="24"/>
      <c r="J828" s="13"/>
      <c r="K828" s="13"/>
      <c r="M828" s="24"/>
      <c r="O828" s="13"/>
      <c r="P828" s="13"/>
    </row>
    <row r="829">
      <c r="C829" s="24"/>
      <c r="E829" s="13"/>
      <c r="F829" s="13"/>
      <c r="H829" s="24"/>
      <c r="J829" s="13"/>
      <c r="K829" s="13"/>
      <c r="M829" s="24"/>
      <c r="O829" s="13"/>
      <c r="P829" s="13"/>
    </row>
    <row r="830">
      <c r="C830" s="24"/>
      <c r="E830" s="13"/>
      <c r="F830" s="13"/>
      <c r="H830" s="24"/>
      <c r="J830" s="13"/>
      <c r="K830" s="13"/>
      <c r="M830" s="24"/>
      <c r="O830" s="13"/>
      <c r="P830" s="13"/>
    </row>
    <row r="831">
      <c r="C831" s="24"/>
      <c r="E831" s="13"/>
      <c r="F831" s="13"/>
      <c r="H831" s="24"/>
      <c r="J831" s="13"/>
      <c r="K831" s="13"/>
      <c r="M831" s="24"/>
      <c r="O831" s="13"/>
      <c r="P831" s="13"/>
    </row>
    <row r="832">
      <c r="C832" s="24"/>
      <c r="E832" s="13"/>
      <c r="F832" s="13"/>
      <c r="H832" s="24"/>
      <c r="J832" s="13"/>
      <c r="K832" s="13"/>
      <c r="M832" s="24"/>
      <c r="O832" s="13"/>
      <c r="P832" s="13"/>
    </row>
    <row r="833">
      <c r="C833" s="24"/>
      <c r="E833" s="13"/>
      <c r="F833" s="13"/>
      <c r="H833" s="24"/>
      <c r="J833" s="13"/>
      <c r="K833" s="13"/>
      <c r="M833" s="24"/>
      <c r="O833" s="13"/>
      <c r="P833" s="13"/>
    </row>
    <row r="834">
      <c r="C834" s="24"/>
      <c r="E834" s="13"/>
      <c r="F834" s="13"/>
      <c r="H834" s="24"/>
      <c r="J834" s="13"/>
      <c r="K834" s="13"/>
      <c r="M834" s="24"/>
      <c r="O834" s="13"/>
      <c r="P834" s="13"/>
    </row>
    <row r="835">
      <c r="C835" s="24"/>
      <c r="E835" s="13"/>
      <c r="F835" s="13"/>
      <c r="H835" s="24"/>
      <c r="J835" s="13"/>
      <c r="K835" s="13"/>
      <c r="M835" s="24"/>
      <c r="O835" s="13"/>
      <c r="P835" s="13"/>
    </row>
    <row r="836">
      <c r="C836" s="24"/>
      <c r="E836" s="13"/>
      <c r="F836" s="13"/>
      <c r="H836" s="24"/>
      <c r="J836" s="13"/>
      <c r="K836" s="13"/>
      <c r="M836" s="24"/>
      <c r="O836" s="13"/>
      <c r="P836" s="13"/>
    </row>
    <row r="837">
      <c r="C837" s="24"/>
      <c r="E837" s="13"/>
      <c r="F837" s="13"/>
      <c r="H837" s="24"/>
      <c r="J837" s="13"/>
      <c r="K837" s="13"/>
      <c r="M837" s="24"/>
      <c r="O837" s="13"/>
      <c r="P837" s="13"/>
    </row>
    <row r="838">
      <c r="C838" s="24"/>
      <c r="E838" s="13"/>
      <c r="F838" s="13"/>
      <c r="H838" s="24"/>
      <c r="J838" s="13"/>
      <c r="K838" s="13"/>
      <c r="M838" s="24"/>
      <c r="O838" s="13"/>
      <c r="P838" s="13"/>
    </row>
    <row r="839">
      <c r="C839" s="24"/>
      <c r="E839" s="13"/>
      <c r="F839" s="13"/>
      <c r="H839" s="24"/>
      <c r="J839" s="13"/>
      <c r="K839" s="13"/>
      <c r="M839" s="24"/>
      <c r="O839" s="13"/>
      <c r="P839" s="13"/>
    </row>
    <row r="840">
      <c r="C840" s="24"/>
      <c r="E840" s="13"/>
      <c r="F840" s="13"/>
      <c r="H840" s="24"/>
      <c r="J840" s="13"/>
      <c r="K840" s="13"/>
      <c r="M840" s="24"/>
      <c r="O840" s="13"/>
      <c r="P840" s="13"/>
    </row>
    <row r="841">
      <c r="C841" s="24"/>
      <c r="E841" s="13"/>
      <c r="F841" s="13"/>
      <c r="H841" s="24"/>
      <c r="J841" s="13"/>
      <c r="K841" s="13"/>
      <c r="M841" s="24"/>
      <c r="O841" s="13"/>
      <c r="P841" s="13"/>
    </row>
    <row r="842">
      <c r="C842" s="24"/>
      <c r="E842" s="13"/>
      <c r="F842" s="13"/>
      <c r="H842" s="24"/>
      <c r="J842" s="13"/>
      <c r="K842" s="13"/>
      <c r="M842" s="24"/>
      <c r="O842" s="13"/>
      <c r="P842" s="13"/>
    </row>
    <row r="843">
      <c r="C843" s="24"/>
      <c r="E843" s="13"/>
      <c r="F843" s="13"/>
      <c r="H843" s="24"/>
      <c r="J843" s="13"/>
      <c r="K843" s="13"/>
      <c r="M843" s="24"/>
      <c r="O843" s="13"/>
      <c r="P843" s="13"/>
    </row>
    <row r="844">
      <c r="C844" s="24"/>
      <c r="E844" s="13"/>
      <c r="F844" s="13"/>
      <c r="H844" s="24"/>
      <c r="J844" s="13"/>
      <c r="K844" s="13"/>
      <c r="M844" s="24"/>
      <c r="O844" s="13"/>
      <c r="P844" s="13"/>
    </row>
    <row r="845">
      <c r="C845" s="24"/>
      <c r="E845" s="13"/>
      <c r="F845" s="13"/>
      <c r="H845" s="24"/>
      <c r="J845" s="13"/>
      <c r="K845" s="13"/>
      <c r="M845" s="24"/>
      <c r="O845" s="13"/>
      <c r="P845" s="13"/>
    </row>
    <row r="846">
      <c r="C846" s="24"/>
      <c r="E846" s="13"/>
      <c r="F846" s="13"/>
      <c r="H846" s="24"/>
      <c r="J846" s="13"/>
      <c r="K846" s="13"/>
      <c r="M846" s="24"/>
      <c r="O846" s="13"/>
      <c r="P846" s="13"/>
    </row>
    <row r="847">
      <c r="C847" s="24"/>
      <c r="E847" s="13"/>
      <c r="F847" s="13"/>
      <c r="H847" s="24"/>
      <c r="J847" s="13"/>
      <c r="K847" s="13"/>
      <c r="M847" s="24"/>
      <c r="O847" s="13"/>
      <c r="P847" s="13"/>
    </row>
    <row r="848">
      <c r="C848" s="24"/>
      <c r="E848" s="13"/>
      <c r="F848" s="13"/>
      <c r="H848" s="24"/>
      <c r="J848" s="13"/>
      <c r="K848" s="13"/>
      <c r="M848" s="24"/>
      <c r="O848" s="13"/>
      <c r="P848" s="13"/>
    </row>
    <row r="849">
      <c r="C849" s="24"/>
      <c r="E849" s="13"/>
      <c r="F849" s="13"/>
      <c r="H849" s="24"/>
      <c r="J849" s="13"/>
      <c r="K849" s="13"/>
      <c r="M849" s="24"/>
      <c r="O849" s="13"/>
      <c r="P849" s="13"/>
    </row>
    <row r="850">
      <c r="C850" s="24"/>
      <c r="E850" s="13"/>
      <c r="F850" s="13"/>
      <c r="H850" s="24"/>
      <c r="J850" s="13"/>
      <c r="K850" s="13"/>
      <c r="M850" s="24"/>
      <c r="O850" s="13"/>
      <c r="P850" s="13"/>
    </row>
    <row r="851">
      <c r="C851" s="24"/>
      <c r="E851" s="13"/>
      <c r="F851" s="13"/>
      <c r="H851" s="24"/>
      <c r="J851" s="13"/>
      <c r="K851" s="13"/>
      <c r="M851" s="24"/>
      <c r="O851" s="13"/>
      <c r="P851" s="13"/>
    </row>
    <row r="852">
      <c r="C852" s="24"/>
      <c r="E852" s="13"/>
      <c r="F852" s="13"/>
      <c r="H852" s="24"/>
      <c r="J852" s="13"/>
      <c r="K852" s="13"/>
      <c r="M852" s="24"/>
      <c r="O852" s="13"/>
      <c r="P852" s="13"/>
    </row>
    <row r="853">
      <c r="C853" s="24"/>
      <c r="E853" s="13"/>
      <c r="F853" s="13"/>
      <c r="H853" s="24"/>
      <c r="J853" s="13"/>
      <c r="K853" s="13"/>
      <c r="M853" s="24"/>
      <c r="O853" s="13"/>
      <c r="P853" s="13"/>
    </row>
    <row r="854">
      <c r="C854" s="24"/>
      <c r="E854" s="13"/>
      <c r="F854" s="13"/>
      <c r="H854" s="24"/>
      <c r="J854" s="13"/>
      <c r="K854" s="13"/>
      <c r="M854" s="24"/>
      <c r="O854" s="13"/>
      <c r="P854" s="13"/>
    </row>
    <row r="855">
      <c r="C855" s="24"/>
      <c r="E855" s="13"/>
      <c r="F855" s="13"/>
      <c r="H855" s="24"/>
      <c r="J855" s="13"/>
      <c r="K855" s="13"/>
      <c r="M855" s="24"/>
      <c r="O855" s="13"/>
      <c r="P855" s="13"/>
    </row>
    <row r="856">
      <c r="C856" s="24"/>
      <c r="E856" s="13"/>
      <c r="F856" s="13"/>
      <c r="H856" s="24"/>
      <c r="J856" s="13"/>
      <c r="K856" s="13"/>
      <c r="M856" s="24"/>
      <c r="O856" s="13"/>
      <c r="P856" s="13"/>
    </row>
    <row r="857">
      <c r="C857" s="24"/>
      <c r="E857" s="13"/>
      <c r="F857" s="13"/>
      <c r="H857" s="24"/>
      <c r="J857" s="13"/>
      <c r="K857" s="13"/>
      <c r="M857" s="24"/>
      <c r="O857" s="13"/>
      <c r="P857" s="13"/>
    </row>
    <row r="858">
      <c r="C858" s="24"/>
      <c r="E858" s="13"/>
      <c r="F858" s="13"/>
      <c r="H858" s="24"/>
      <c r="J858" s="13"/>
      <c r="K858" s="13"/>
      <c r="M858" s="24"/>
      <c r="O858" s="13"/>
      <c r="P858" s="13"/>
    </row>
    <row r="859">
      <c r="C859" s="24"/>
      <c r="E859" s="13"/>
      <c r="F859" s="13"/>
      <c r="H859" s="24"/>
      <c r="J859" s="13"/>
      <c r="K859" s="13"/>
      <c r="M859" s="24"/>
      <c r="O859" s="13"/>
      <c r="P859" s="13"/>
    </row>
    <row r="860">
      <c r="C860" s="24"/>
      <c r="E860" s="13"/>
      <c r="F860" s="13"/>
      <c r="H860" s="24"/>
      <c r="J860" s="13"/>
      <c r="K860" s="13"/>
      <c r="M860" s="24"/>
      <c r="O860" s="13"/>
      <c r="P860" s="13"/>
    </row>
    <row r="861">
      <c r="C861" s="24"/>
      <c r="E861" s="13"/>
      <c r="F861" s="13"/>
      <c r="H861" s="24"/>
      <c r="J861" s="13"/>
      <c r="K861" s="13"/>
      <c r="M861" s="24"/>
      <c r="O861" s="13"/>
      <c r="P861" s="13"/>
    </row>
    <row r="862">
      <c r="C862" s="24"/>
      <c r="E862" s="13"/>
      <c r="F862" s="13"/>
      <c r="H862" s="24"/>
      <c r="J862" s="13"/>
      <c r="K862" s="13"/>
      <c r="M862" s="24"/>
      <c r="O862" s="13"/>
      <c r="P862" s="13"/>
    </row>
    <row r="863">
      <c r="C863" s="24"/>
      <c r="E863" s="13"/>
      <c r="F863" s="13"/>
      <c r="H863" s="24"/>
      <c r="J863" s="13"/>
      <c r="K863" s="13"/>
      <c r="M863" s="24"/>
      <c r="O863" s="13"/>
      <c r="P863" s="13"/>
    </row>
    <row r="864">
      <c r="C864" s="24"/>
      <c r="E864" s="13"/>
      <c r="F864" s="13"/>
      <c r="H864" s="24"/>
      <c r="J864" s="13"/>
      <c r="K864" s="13"/>
      <c r="M864" s="24"/>
      <c r="O864" s="13"/>
      <c r="P864" s="13"/>
    </row>
    <row r="865">
      <c r="C865" s="24"/>
      <c r="E865" s="13"/>
      <c r="F865" s="13"/>
      <c r="H865" s="24"/>
      <c r="J865" s="13"/>
      <c r="K865" s="13"/>
      <c r="M865" s="24"/>
      <c r="O865" s="13"/>
      <c r="P865" s="13"/>
    </row>
    <row r="866">
      <c r="C866" s="24"/>
      <c r="E866" s="13"/>
      <c r="F866" s="13"/>
      <c r="H866" s="24"/>
      <c r="J866" s="13"/>
      <c r="K866" s="13"/>
      <c r="M866" s="24"/>
      <c r="O866" s="13"/>
      <c r="P866" s="13"/>
    </row>
    <row r="867">
      <c r="C867" s="24"/>
      <c r="E867" s="13"/>
      <c r="F867" s="13"/>
      <c r="H867" s="24"/>
      <c r="J867" s="13"/>
      <c r="K867" s="13"/>
      <c r="M867" s="24"/>
      <c r="O867" s="13"/>
      <c r="P867" s="13"/>
    </row>
    <row r="868">
      <c r="C868" s="24"/>
      <c r="E868" s="13"/>
      <c r="F868" s="13"/>
      <c r="H868" s="24"/>
      <c r="J868" s="13"/>
      <c r="K868" s="13"/>
      <c r="M868" s="24"/>
      <c r="O868" s="13"/>
      <c r="P868" s="13"/>
    </row>
    <row r="869">
      <c r="C869" s="24"/>
      <c r="E869" s="13"/>
      <c r="F869" s="13"/>
      <c r="H869" s="24"/>
      <c r="J869" s="13"/>
      <c r="K869" s="13"/>
      <c r="M869" s="24"/>
      <c r="O869" s="13"/>
      <c r="P869" s="13"/>
    </row>
    <row r="870">
      <c r="C870" s="24"/>
      <c r="E870" s="13"/>
      <c r="F870" s="13"/>
      <c r="H870" s="24"/>
      <c r="J870" s="13"/>
      <c r="K870" s="13"/>
      <c r="M870" s="24"/>
      <c r="O870" s="13"/>
      <c r="P870" s="13"/>
    </row>
    <row r="871">
      <c r="C871" s="24"/>
      <c r="E871" s="13"/>
      <c r="F871" s="13"/>
      <c r="H871" s="24"/>
      <c r="J871" s="13"/>
      <c r="K871" s="13"/>
      <c r="M871" s="24"/>
      <c r="O871" s="13"/>
      <c r="P871" s="13"/>
    </row>
    <row r="872">
      <c r="C872" s="24"/>
      <c r="E872" s="13"/>
      <c r="F872" s="13"/>
      <c r="H872" s="24"/>
      <c r="J872" s="13"/>
      <c r="K872" s="13"/>
      <c r="M872" s="24"/>
      <c r="O872" s="13"/>
      <c r="P872" s="13"/>
    </row>
    <row r="873">
      <c r="C873" s="24"/>
      <c r="E873" s="13"/>
      <c r="F873" s="13"/>
      <c r="H873" s="24"/>
      <c r="J873" s="13"/>
      <c r="K873" s="13"/>
      <c r="M873" s="24"/>
      <c r="O873" s="13"/>
      <c r="P873" s="13"/>
    </row>
    <row r="874">
      <c r="C874" s="24"/>
      <c r="E874" s="13"/>
      <c r="F874" s="13"/>
      <c r="H874" s="24"/>
      <c r="J874" s="13"/>
      <c r="K874" s="13"/>
      <c r="M874" s="24"/>
      <c r="O874" s="13"/>
      <c r="P874" s="13"/>
    </row>
    <row r="875">
      <c r="C875" s="24"/>
      <c r="E875" s="13"/>
      <c r="F875" s="13"/>
      <c r="H875" s="24"/>
      <c r="J875" s="13"/>
      <c r="K875" s="13"/>
      <c r="M875" s="24"/>
      <c r="O875" s="13"/>
      <c r="P875" s="13"/>
    </row>
    <row r="876">
      <c r="C876" s="24"/>
      <c r="E876" s="13"/>
      <c r="F876" s="13"/>
      <c r="H876" s="24"/>
      <c r="J876" s="13"/>
      <c r="K876" s="13"/>
      <c r="M876" s="24"/>
      <c r="O876" s="13"/>
      <c r="P876" s="13"/>
    </row>
    <row r="877">
      <c r="C877" s="24"/>
      <c r="E877" s="13"/>
      <c r="F877" s="13"/>
      <c r="H877" s="24"/>
      <c r="J877" s="13"/>
      <c r="K877" s="13"/>
      <c r="M877" s="24"/>
      <c r="O877" s="13"/>
      <c r="P877" s="13"/>
    </row>
    <row r="878">
      <c r="C878" s="24"/>
      <c r="E878" s="13"/>
      <c r="F878" s="13"/>
      <c r="H878" s="24"/>
      <c r="J878" s="13"/>
      <c r="K878" s="13"/>
      <c r="M878" s="24"/>
      <c r="O878" s="13"/>
      <c r="P878" s="13"/>
    </row>
    <row r="879">
      <c r="C879" s="24"/>
      <c r="E879" s="13"/>
      <c r="F879" s="13"/>
      <c r="H879" s="24"/>
      <c r="J879" s="13"/>
      <c r="K879" s="13"/>
      <c r="M879" s="24"/>
      <c r="O879" s="13"/>
      <c r="P879" s="13"/>
    </row>
    <row r="880">
      <c r="C880" s="24"/>
      <c r="E880" s="13"/>
      <c r="F880" s="13"/>
      <c r="H880" s="24"/>
      <c r="J880" s="13"/>
      <c r="K880" s="13"/>
      <c r="M880" s="24"/>
      <c r="O880" s="13"/>
      <c r="P880" s="13"/>
    </row>
    <row r="881">
      <c r="C881" s="24"/>
      <c r="E881" s="13"/>
      <c r="F881" s="13"/>
      <c r="H881" s="24"/>
      <c r="J881" s="13"/>
      <c r="K881" s="13"/>
      <c r="M881" s="24"/>
      <c r="O881" s="13"/>
      <c r="P881" s="13"/>
    </row>
    <row r="882">
      <c r="C882" s="24"/>
      <c r="E882" s="13"/>
      <c r="F882" s="13"/>
      <c r="H882" s="24"/>
      <c r="J882" s="13"/>
      <c r="K882" s="13"/>
      <c r="M882" s="24"/>
      <c r="O882" s="13"/>
      <c r="P882" s="13"/>
    </row>
    <row r="883">
      <c r="C883" s="24"/>
      <c r="E883" s="13"/>
      <c r="F883" s="13"/>
      <c r="H883" s="24"/>
      <c r="J883" s="13"/>
      <c r="K883" s="13"/>
      <c r="M883" s="24"/>
      <c r="O883" s="13"/>
      <c r="P883" s="13"/>
    </row>
    <row r="884">
      <c r="C884" s="24"/>
      <c r="E884" s="13"/>
      <c r="F884" s="13"/>
      <c r="H884" s="24"/>
      <c r="J884" s="13"/>
      <c r="K884" s="13"/>
      <c r="M884" s="24"/>
      <c r="O884" s="13"/>
      <c r="P884" s="13"/>
    </row>
    <row r="885">
      <c r="C885" s="24"/>
      <c r="E885" s="13"/>
      <c r="F885" s="13"/>
      <c r="H885" s="24"/>
      <c r="J885" s="13"/>
      <c r="K885" s="13"/>
      <c r="M885" s="24"/>
      <c r="O885" s="13"/>
      <c r="P885" s="13"/>
    </row>
    <row r="886">
      <c r="C886" s="24"/>
      <c r="E886" s="13"/>
      <c r="F886" s="13"/>
      <c r="H886" s="24"/>
      <c r="J886" s="13"/>
      <c r="K886" s="13"/>
      <c r="M886" s="24"/>
      <c r="O886" s="13"/>
      <c r="P886" s="13"/>
    </row>
    <row r="887">
      <c r="C887" s="24"/>
      <c r="E887" s="13"/>
      <c r="F887" s="13"/>
      <c r="H887" s="24"/>
      <c r="J887" s="13"/>
      <c r="K887" s="13"/>
      <c r="M887" s="24"/>
      <c r="O887" s="13"/>
      <c r="P887" s="13"/>
    </row>
    <row r="888">
      <c r="C888" s="24"/>
      <c r="E888" s="13"/>
      <c r="F888" s="13"/>
      <c r="H888" s="24"/>
      <c r="J888" s="13"/>
      <c r="K888" s="13"/>
      <c r="M888" s="24"/>
      <c r="O888" s="13"/>
      <c r="P888" s="13"/>
    </row>
    <row r="889">
      <c r="C889" s="24"/>
      <c r="E889" s="13"/>
      <c r="F889" s="13"/>
      <c r="H889" s="24"/>
      <c r="J889" s="13"/>
      <c r="K889" s="13"/>
      <c r="M889" s="24"/>
      <c r="O889" s="13"/>
      <c r="P889" s="13"/>
    </row>
    <row r="890">
      <c r="C890" s="24"/>
      <c r="E890" s="13"/>
      <c r="F890" s="13"/>
      <c r="H890" s="24"/>
      <c r="J890" s="13"/>
      <c r="K890" s="13"/>
      <c r="M890" s="24"/>
      <c r="O890" s="13"/>
      <c r="P890" s="13"/>
    </row>
    <row r="891">
      <c r="C891" s="24"/>
      <c r="E891" s="13"/>
      <c r="F891" s="13"/>
      <c r="H891" s="24"/>
      <c r="J891" s="13"/>
      <c r="K891" s="13"/>
      <c r="M891" s="24"/>
      <c r="O891" s="13"/>
      <c r="P891" s="13"/>
    </row>
    <row r="892">
      <c r="C892" s="24"/>
      <c r="E892" s="13"/>
      <c r="F892" s="13"/>
      <c r="H892" s="24"/>
      <c r="J892" s="13"/>
      <c r="K892" s="13"/>
      <c r="M892" s="24"/>
      <c r="O892" s="13"/>
      <c r="P892" s="13"/>
    </row>
    <row r="893">
      <c r="C893" s="24"/>
      <c r="E893" s="13"/>
      <c r="F893" s="13"/>
      <c r="H893" s="24"/>
      <c r="J893" s="13"/>
      <c r="K893" s="13"/>
      <c r="M893" s="24"/>
      <c r="O893" s="13"/>
      <c r="P893" s="13"/>
    </row>
    <row r="894">
      <c r="C894" s="24"/>
      <c r="E894" s="13"/>
      <c r="F894" s="13"/>
      <c r="H894" s="24"/>
      <c r="J894" s="13"/>
      <c r="K894" s="13"/>
      <c r="M894" s="24"/>
      <c r="O894" s="13"/>
      <c r="P894" s="13"/>
    </row>
    <row r="895">
      <c r="C895" s="24"/>
      <c r="E895" s="13"/>
      <c r="F895" s="13"/>
      <c r="H895" s="24"/>
      <c r="J895" s="13"/>
      <c r="K895" s="13"/>
      <c r="M895" s="24"/>
      <c r="O895" s="13"/>
      <c r="P895" s="13"/>
    </row>
    <row r="896">
      <c r="C896" s="24"/>
      <c r="E896" s="13"/>
      <c r="F896" s="13"/>
      <c r="H896" s="24"/>
      <c r="J896" s="13"/>
      <c r="K896" s="13"/>
      <c r="M896" s="24"/>
      <c r="O896" s="13"/>
      <c r="P896" s="13"/>
    </row>
    <row r="897">
      <c r="C897" s="24"/>
      <c r="E897" s="13"/>
      <c r="F897" s="13"/>
      <c r="H897" s="24"/>
      <c r="J897" s="13"/>
      <c r="K897" s="13"/>
      <c r="M897" s="24"/>
      <c r="O897" s="13"/>
      <c r="P897" s="13"/>
    </row>
    <row r="898">
      <c r="C898" s="24"/>
      <c r="E898" s="13"/>
      <c r="F898" s="13"/>
      <c r="H898" s="24"/>
      <c r="J898" s="13"/>
      <c r="K898" s="13"/>
      <c r="M898" s="24"/>
      <c r="O898" s="13"/>
      <c r="P898" s="13"/>
    </row>
    <row r="899">
      <c r="C899" s="24"/>
      <c r="E899" s="13"/>
      <c r="F899" s="13"/>
      <c r="H899" s="24"/>
      <c r="J899" s="13"/>
      <c r="K899" s="13"/>
      <c r="M899" s="24"/>
      <c r="O899" s="13"/>
      <c r="P899" s="13"/>
    </row>
    <row r="900">
      <c r="C900" s="24"/>
      <c r="E900" s="13"/>
      <c r="F900" s="13"/>
      <c r="H900" s="24"/>
      <c r="J900" s="13"/>
      <c r="K900" s="13"/>
      <c r="M900" s="24"/>
      <c r="O900" s="13"/>
      <c r="P900" s="13"/>
    </row>
    <row r="901">
      <c r="C901" s="24"/>
      <c r="E901" s="13"/>
      <c r="F901" s="13"/>
      <c r="H901" s="24"/>
      <c r="J901" s="13"/>
      <c r="K901" s="13"/>
      <c r="M901" s="24"/>
      <c r="O901" s="13"/>
      <c r="P901" s="13"/>
    </row>
    <row r="902">
      <c r="C902" s="24"/>
      <c r="E902" s="13"/>
      <c r="F902" s="13"/>
      <c r="H902" s="24"/>
      <c r="J902" s="13"/>
      <c r="K902" s="13"/>
      <c r="M902" s="24"/>
      <c r="O902" s="13"/>
      <c r="P902" s="13"/>
    </row>
    <row r="903">
      <c r="C903" s="24"/>
      <c r="E903" s="13"/>
      <c r="F903" s="13"/>
      <c r="H903" s="24"/>
      <c r="J903" s="13"/>
      <c r="K903" s="13"/>
      <c r="M903" s="24"/>
      <c r="O903" s="13"/>
      <c r="P903" s="13"/>
    </row>
    <row r="904">
      <c r="C904" s="24"/>
      <c r="E904" s="13"/>
      <c r="F904" s="13"/>
      <c r="H904" s="24"/>
      <c r="J904" s="13"/>
      <c r="K904" s="13"/>
      <c r="M904" s="24"/>
      <c r="O904" s="13"/>
      <c r="P904" s="13"/>
    </row>
    <row r="905">
      <c r="C905" s="24"/>
      <c r="E905" s="13"/>
      <c r="F905" s="13"/>
      <c r="H905" s="24"/>
      <c r="J905" s="13"/>
      <c r="K905" s="13"/>
      <c r="M905" s="24"/>
      <c r="O905" s="13"/>
      <c r="P905" s="13"/>
    </row>
    <row r="906">
      <c r="C906" s="24"/>
      <c r="E906" s="13"/>
      <c r="F906" s="13"/>
      <c r="H906" s="24"/>
      <c r="J906" s="13"/>
      <c r="K906" s="13"/>
      <c r="M906" s="24"/>
      <c r="O906" s="13"/>
      <c r="P906" s="13"/>
    </row>
    <row r="907">
      <c r="C907" s="24"/>
      <c r="E907" s="13"/>
      <c r="F907" s="13"/>
      <c r="H907" s="24"/>
      <c r="J907" s="13"/>
      <c r="K907" s="13"/>
      <c r="M907" s="24"/>
      <c r="O907" s="13"/>
      <c r="P907" s="13"/>
    </row>
    <row r="908">
      <c r="C908" s="24"/>
      <c r="E908" s="13"/>
      <c r="F908" s="13"/>
      <c r="H908" s="24"/>
      <c r="J908" s="13"/>
      <c r="K908" s="13"/>
      <c r="M908" s="24"/>
      <c r="O908" s="13"/>
      <c r="P908" s="13"/>
    </row>
    <row r="909">
      <c r="C909" s="24"/>
      <c r="E909" s="13"/>
      <c r="F909" s="13"/>
      <c r="H909" s="24"/>
      <c r="J909" s="13"/>
      <c r="K909" s="13"/>
      <c r="M909" s="24"/>
      <c r="O909" s="13"/>
      <c r="P909" s="13"/>
    </row>
    <row r="910">
      <c r="C910" s="24"/>
      <c r="E910" s="13"/>
      <c r="F910" s="13"/>
      <c r="H910" s="24"/>
      <c r="J910" s="13"/>
      <c r="K910" s="13"/>
      <c r="M910" s="24"/>
      <c r="O910" s="13"/>
      <c r="P910" s="13"/>
    </row>
    <row r="911">
      <c r="C911" s="24"/>
      <c r="E911" s="13"/>
      <c r="F911" s="13"/>
      <c r="H911" s="24"/>
      <c r="J911" s="13"/>
      <c r="K911" s="13"/>
      <c r="M911" s="24"/>
      <c r="O911" s="13"/>
      <c r="P911" s="13"/>
    </row>
    <row r="912">
      <c r="C912" s="24"/>
      <c r="E912" s="13"/>
      <c r="F912" s="13"/>
      <c r="H912" s="24"/>
      <c r="J912" s="13"/>
      <c r="K912" s="13"/>
      <c r="M912" s="24"/>
      <c r="O912" s="13"/>
      <c r="P912" s="13"/>
    </row>
    <row r="913">
      <c r="C913" s="24"/>
      <c r="E913" s="13"/>
      <c r="F913" s="13"/>
      <c r="H913" s="24"/>
      <c r="J913" s="13"/>
      <c r="K913" s="13"/>
      <c r="M913" s="24"/>
      <c r="O913" s="13"/>
      <c r="P913" s="13"/>
    </row>
    <row r="914">
      <c r="C914" s="24"/>
      <c r="E914" s="13"/>
      <c r="F914" s="13"/>
      <c r="H914" s="24"/>
      <c r="J914" s="13"/>
      <c r="K914" s="13"/>
      <c r="M914" s="24"/>
      <c r="O914" s="13"/>
      <c r="P914" s="13"/>
    </row>
    <row r="915">
      <c r="C915" s="24"/>
      <c r="E915" s="13"/>
      <c r="F915" s="13"/>
      <c r="H915" s="24"/>
      <c r="J915" s="13"/>
      <c r="K915" s="13"/>
      <c r="M915" s="24"/>
      <c r="O915" s="13"/>
      <c r="P915" s="13"/>
    </row>
    <row r="916">
      <c r="C916" s="24"/>
      <c r="E916" s="13"/>
      <c r="F916" s="13"/>
      <c r="H916" s="24"/>
      <c r="J916" s="13"/>
      <c r="K916" s="13"/>
      <c r="M916" s="24"/>
      <c r="O916" s="13"/>
      <c r="P916" s="13"/>
    </row>
    <row r="917">
      <c r="C917" s="24"/>
      <c r="E917" s="13"/>
      <c r="F917" s="13"/>
      <c r="H917" s="24"/>
      <c r="J917" s="13"/>
      <c r="K917" s="13"/>
      <c r="M917" s="24"/>
      <c r="O917" s="13"/>
      <c r="P917" s="13"/>
    </row>
    <row r="918">
      <c r="C918" s="24"/>
      <c r="E918" s="13"/>
      <c r="F918" s="13"/>
      <c r="H918" s="24"/>
      <c r="J918" s="13"/>
      <c r="K918" s="13"/>
      <c r="M918" s="24"/>
      <c r="O918" s="13"/>
      <c r="P918" s="13"/>
    </row>
    <row r="919">
      <c r="C919" s="24"/>
      <c r="E919" s="13"/>
      <c r="F919" s="13"/>
      <c r="H919" s="24"/>
      <c r="J919" s="13"/>
      <c r="K919" s="13"/>
      <c r="M919" s="24"/>
      <c r="O919" s="13"/>
      <c r="P919" s="13"/>
    </row>
    <row r="920">
      <c r="C920" s="24"/>
      <c r="E920" s="13"/>
      <c r="F920" s="13"/>
      <c r="H920" s="24"/>
      <c r="J920" s="13"/>
      <c r="K920" s="13"/>
      <c r="M920" s="24"/>
      <c r="O920" s="13"/>
      <c r="P920" s="13"/>
    </row>
    <row r="921">
      <c r="C921" s="24"/>
      <c r="E921" s="13"/>
      <c r="F921" s="13"/>
      <c r="H921" s="24"/>
      <c r="J921" s="13"/>
      <c r="K921" s="13"/>
      <c r="M921" s="24"/>
      <c r="O921" s="13"/>
      <c r="P921" s="13"/>
    </row>
    <row r="922">
      <c r="C922" s="24"/>
      <c r="E922" s="13"/>
      <c r="F922" s="13"/>
      <c r="H922" s="24"/>
      <c r="J922" s="13"/>
      <c r="K922" s="13"/>
      <c r="M922" s="24"/>
      <c r="O922" s="13"/>
      <c r="P922" s="13"/>
    </row>
    <row r="923">
      <c r="C923" s="24"/>
      <c r="E923" s="13"/>
      <c r="F923" s="13"/>
      <c r="H923" s="24"/>
      <c r="J923" s="13"/>
      <c r="K923" s="13"/>
      <c r="M923" s="24"/>
      <c r="O923" s="13"/>
      <c r="P923" s="13"/>
    </row>
    <row r="924">
      <c r="C924" s="24"/>
      <c r="E924" s="13"/>
      <c r="F924" s="13"/>
      <c r="H924" s="24"/>
      <c r="J924" s="13"/>
      <c r="K924" s="13"/>
      <c r="M924" s="24"/>
      <c r="O924" s="13"/>
      <c r="P924" s="13"/>
    </row>
    <row r="925">
      <c r="C925" s="24"/>
      <c r="E925" s="13"/>
      <c r="F925" s="13"/>
      <c r="H925" s="24"/>
      <c r="J925" s="13"/>
      <c r="K925" s="13"/>
      <c r="M925" s="24"/>
      <c r="O925" s="13"/>
      <c r="P925" s="13"/>
    </row>
    <row r="926">
      <c r="C926" s="24"/>
      <c r="E926" s="13"/>
      <c r="F926" s="13"/>
      <c r="H926" s="24"/>
      <c r="J926" s="13"/>
      <c r="K926" s="13"/>
      <c r="M926" s="24"/>
      <c r="O926" s="13"/>
      <c r="P926" s="13"/>
    </row>
    <row r="927">
      <c r="C927" s="24"/>
      <c r="E927" s="13"/>
      <c r="F927" s="13"/>
      <c r="H927" s="24"/>
      <c r="J927" s="13"/>
      <c r="K927" s="13"/>
      <c r="M927" s="24"/>
      <c r="O927" s="13"/>
      <c r="P927" s="13"/>
    </row>
    <row r="928">
      <c r="C928" s="24"/>
      <c r="E928" s="13"/>
      <c r="F928" s="13"/>
      <c r="H928" s="24"/>
      <c r="J928" s="13"/>
      <c r="K928" s="13"/>
      <c r="M928" s="24"/>
      <c r="O928" s="13"/>
      <c r="P928" s="13"/>
    </row>
    <row r="929">
      <c r="C929" s="24"/>
      <c r="E929" s="13"/>
      <c r="F929" s="13"/>
      <c r="H929" s="24"/>
      <c r="J929" s="13"/>
      <c r="K929" s="13"/>
      <c r="M929" s="24"/>
      <c r="O929" s="13"/>
      <c r="P929" s="13"/>
    </row>
    <row r="930">
      <c r="C930" s="24"/>
      <c r="E930" s="13"/>
      <c r="F930" s="13"/>
      <c r="H930" s="24"/>
      <c r="J930" s="13"/>
      <c r="K930" s="13"/>
      <c r="M930" s="24"/>
      <c r="O930" s="13"/>
      <c r="P930" s="13"/>
    </row>
    <row r="931">
      <c r="C931" s="24"/>
      <c r="E931" s="13"/>
      <c r="F931" s="13"/>
      <c r="H931" s="24"/>
      <c r="J931" s="13"/>
      <c r="K931" s="13"/>
      <c r="M931" s="24"/>
      <c r="O931" s="13"/>
      <c r="P931" s="13"/>
    </row>
    <row r="932">
      <c r="C932" s="24"/>
      <c r="E932" s="13"/>
      <c r="F932" s="13"/>
      <c r="H932" s="24"/>
      <c r="J932" s="13"/>
      <c r="K932" s="13"/>
      <c r="M932" s="24"/>
      <c r="O932" s="13"/>
      <c r="P932" s="13"/>
    </row>
    <row r="933">
      <c r="C933" s="24"/>
      <c r="E933" s="13"/>
      <c r="F933" s="13"/>
      <c r="H933" s="24"/>
      <c r="J933" s="13"/>
      <c r="K933" s="13"/>
      <c r="M933" s="24"/>
      <c r="O933" s="13"/>
      <c r="P933" s="13"/>
    </row>
    <row r="934">
      <c r="C934" s="24"/>
      <c r="E934" s="13"/>
      <c r="F934" s="13"/>
      <c r="H934" s="24"/>
      <c r="J934" s="13"/>
      <c r="K934" s="13"/>
      <c r="M934" s="24"/>
      <c r="O934" s="13"/>
      <c r="P934" s="13"/>
    </row>
    <row r="935">
      <c r="C935" s="24"/>
      <c r="E935" s="13"/>
      <c r="F935" s="13"/>
      <c r="H935" s="24"/>
      <c r="J935" s="13"/>
      <c r="K935" s="13"/>
      <c r="M935" s="24"/>
      <c r="O935" s="13"/>
      <c r="P935" s="13"/>
    </row>
    <row r="936">
      <c r="C936" s="24"/>
      <c r="E936" s="13"/>
      <c r="F936" s="13"/>
      <c r="H936" s="24"/>
      <c r="J936" s="13"/>
      <c r="K936" s="13"/>
      <c r="M936" s="24"/>
      <c r="O936" s="13"/>
      <c r="P936" s="13"/>
    </row>
    <row r="937">
      <c r="C937" s="24"/>
      <c r="E937" s="13"/>
      <c r="F937" s="13"/>
      <c r="H937" s="24"/>
      <c r="J937" s="13"/>
      <c r="K937" s="13"/>
      <c r="M937" s="24"/>
      <c r="O937" s="13"/>
      <c r="P937" s="13"/>
    </row>
    <row r="938">
      <c r="C938" s="24"/>
      <c r="E938" s="13"/>
      <c r="F938" s="13"/>
      <c r="H938" s="24"/>
      <c r="J938" s="13"/>
      <c r="K938" s="13"/>
      <c r="M938" s="24"/>
      <c r="O938" s="13"/>
      <c r="P938" s="13"/>
    </row>
    <row r="939">
      <c r="C939" s="24"/>
      <c r="E939" s="13"/>
      <c r="F939" s="13"/>
      <c r="H939" s="24"/>
      <c r="J939" s="13"/>
      <c r="K939" s="13"/>
      <c r="M939" s="24"/>
      <c r="O939" s="13"/>
      <c r="P939" s="13"/>
    </row>
    <row r="940">
      <c r="C940" s="24"/>
      <c r="E940" s="13"/>
      <c r="F940" s="13"/>
      <c r="H940" s="24"/>
      <c r="J940" s="13"/>
      <c r="K940" s="13"/>
      <c r="M940" s="24"/>
      <c r="O940" s="13"/>
      <c r="P940" s="13"/>
    </row>
    <row r="941">
      <c r="C941" s="24"/>
      <c r="E941" s="13"/>
      <c r="F941" s="13"/>
      <c r="H941" s="24"/>
      <c r="J941" s="13"/>
      <c r="K941" s="13"/>
      <c r="M941" s="24"/>
      <c r="O941" s="13"/>
      <c r="P941" s="13"/>
    </row>
    <row r="942">
      <c r="C942" s="24"/>
      <c r="E942" s="13"/>
      <c r="F942" s="13"/>
      <c r="H942" s="24"/>
      <c r="J942" s="13"/>
      <c r="K942" s="13"/>
      <c r="M942" s="24"/>
      <c r="O942" s="13"/>
      <c r="P942" s="13"/>
    </row>
    <row r="943">
      <c r="C943" s="24"/>
      <c r="E943" s="13"/>
      <c r="F943" s="13"/>
      <c r="H943" s="24"/>
      <c r="J943" s="13"/>
      <c r="K943" s="13"/>
      <c r="M943" s="24"/>
      <c r="O943" s="13"/>
      <c r="P943" s="13"/>
    </row>
    <row r="944">
      <c r="C944" s="24"/>
      <c r="E944" s="13"/>
      <c r="F944" s="13"/>
      <c r="H944" s="24"/>
      <c r="J944" s="13"/>
      <c r="K944" s="13"/>
      <c r="M944" s="24"/>
      <c r="O944" s="13"/>
      <c r="P944" s="13"/>
    </row>
    <row r="945">
      <c r="C945" s="24"/>
      <c r="E945" s="13"/>
      <c r="F945" s="13"/>
      <c r="H945" s="24"/>
      <c r="J945" s="13"/>
      <c r="K945" s="13"/>
      <c r="M945" s="24"/>
      <c r="O945" s="13"/>
      <c r="P945" s="13"/>
    </row>
    <row r="946">
      <c r="C946" s="24"/>
      <c r="E946" s="13"/>
      <c r="F946" s="13"/>
      <c r="H946" s="24"/>
      <c r="J946" s="13"/>
      <c r="K946" s="13"/>
      <c r="M946" s="24"/>
      <c r="O946" s="13"/>
      <c r="P946" s="13"/>
    </row>
    <row r="947">
      <c r="C947" s="24"/>
      <c r="E947" s="13"/>
      <c r="F947" s="13"/>
      <c r="H947" s="24"/>
      <c r="J947" s="13"/>
      <c r="K947" s="13"/>
      <c r="M947" s="24"/>
      <c r="O947" s="13"/>
      <c r="P947" s="13"/>
    </row>
    <row r="948">
      <c r="C948" s="24"/>
      <c r="E948" s="13"/>
      <c r="F948" s="13"/>
      <c r="H948" s="24"/>
      <c r="J948" s="13"/>
      <c r="K948" s="13"/>
      <c r="M948" s="24"/>
      <c r="O948" s="13"/>
      <c r="P948" s="13"/>
    </row>
    <row r="949">
      <c r="C949" s="24"/>
      <c r="E949" s="13"/>
      <c r="F949" s="13"/>
      <c r="H949" s="24"/>
      <c r="J949" s="13"/>
      <c r="K949" s="13"/>
      <c r="M949" s="24"/>
      <c r="O949" s="13"/>
      <c r="P949" s="13"/>
    </row>
    <row r="950">
      <c r="C950" s="24"/>
      <c r="E950" s="13"/>
      <c r="F950" s="13"/>
      <c r="H950" s="24"/>
      <c r="J950" s="13"/>
      <c r="K950" s="13"/>
      <c r="M950" s="24"/>
      <c r="O950" s="13"/>
      <c r="P950" s="13"/>
    </row>
    <row r="951">
      <c r="C951" s="24"/>
      <c r="E951" s="13"/>
      <c r="F951" s="13"/>
      <c r="H951" s="24"/>
      <c r="J951" s="13"/>
      <c r="K951" s="13"/>
      <c r="M951" s="24"/>
      <c r="O951" s="13"/>
      <c r="P951" s="13"/>
    </row>
    <row r="952">
      <c r="C952" s="24"/>
      <c r="E952" s="13"/>
      <c r="F952" s="13"/>
      <c r="H952" s="24"/>
      <c r="J952" s="13"/>
      <c r="K952" s="13"/>
      <c r="M952" s="24"/>
      <c r="O952" s="13"/>
      <c r="P952" s="13"/>
    </row>
    <row r="953">
      <c r="C953" s="24"/>
      <c r="E953" s="13"/>
      <c r="F953" s="13"/>
      <c r="H953" s="24"/>
      <c r="J953" s="13"/>
      <c r="K953" s="13"/>
      <c r="M953" s="24"/>
      <c r="O953" s="13"/>
      <c r="P953" s="13"/>
    </row>
    <row r="954">
      <c r="C954" s="24"/>
      <c r="E954" s="13"/>
      <c r="F954" s="13"/>
      <c r="H954" s="24"/>
      <c r="J954" s="13"/>
      <c r="K954" s="13"/>
      <c r="M954" s="24"/>
      <c r="O954" s="13"/>
      <c r="P954" s="13"/>
    </row>
    <row r="955">
      <c r="C955" s="24"/>
      <c r="E955" s="13"/>
      <c r="F955" s="13"/>
      <c r="H955" s="24"/>
      <c r="J955" s="13"/>
      <c r="K955" s="13"/>
      <c r="M955" s="24"/>
      <c r="O955" s="13"/>
      <c r="P955" s="13"/>
    </row>
    <row r="956">
      <c r="C956" s="24"/>
      <c r="E956" s="13"/>
      <c r="F956" s="13"/>
      <c r="H956" s="24"/>
      <c r="J956" s="13"/>
      <c r="K956" s="13"/>
      <c r="M956" s="24"/>
      <c r="O956" s="13"/>
      <c r="P956" s="13"/>
    </row>
    <row r="957">
      <c r="C957" s="24"/>
      <c r="E957" s="13"/>
      <c r="F957" s="13"/>
      <c r="H957" s="24"/>
      <c r="J957" s="13"/>
      <c r="K957" s="13"/>
      <c r="M957" s="24"/>
      <c r="O957" s="13"/>
      <c r="P957" s="13"/>
    </row>
    <row r="958">
      <c r="C958" s="24"/>
      <c r="E958" s="13"/>
      <c r="F958" s="13"/>
      <c r="H958" s="24"/>
      <c r="J958" s="13"/>
      <c r="K958" s="13"/>
      <c r="M958" s="24"/>
      <c r="O958" s="13"/>
      <c r="P958" s="13"/>
    </row>
    <row r="959">
      <c r="C959" s="24"/>
      <c r="E959" s="13"/>
      <c r="F959" s="13"/>
      <c r="H959" s="24"/>
      <c r="J959" s="13"/>
      <c r="K959" s="13"/>
      <c r="M959" s="24"/>
      <c r="O959" s="13"/>
      <c r="P959" s="13"/>
    </row>
    <row r="960">
      <c r="C960" s="24"/>
      <c r="E960" s="13"/>
      <c r="F960" s="13"/>
      <c r="H960" s="24"/>
      <c r="J960" s="13"/>
      <c r="K960" s="13"/>
      <c r="M960" s="24"/>
      <c r="O960" s="13"/>
      <c r="P960" s="13"/>
    </row>
    <row r="961">
      <c r="C961" s="24"/>
      <c r="E961" s="13"/>
      <c r="F961" s="13"/>
      <c r="H961" s="24"/>
      <c r="J961" s="13"/>
      <c r="K961" s="13"/>
      <c r="M961" s="24"/>
      <c r="O961" s="13"/>
      <c r="P961" s="13"/>
    </row>
    <row r="962">
      <c r="C962" s="24"/>
      <c r="E962" s="13"/>
      <c r="F962" s="13"/>
      <c r="H962" s="24"/>
      <c r="J962" s="13"/>
      <c r="K962" s="13"/>
      <c r="M962" s="24"/>
      <c r="O962" s="13"/>
      <c r="P962" s="13"/>
    </row>
    <row r="963">
      <c r="C963" s="24"/>
      <c r="E963" s="13"/>
      <c r="F963" s="13"/>
      <c r="H963" s="24"/>
      <c r="J963" s="13"/>
      <c r="K963" s="13"/>
      <c r="M963" s="24"/>
      <c r="O963" s="13"/>
      <c r="P963" s="13"/>
    </row>
    <row r="964">
      <c r="C964" s="24"/>
      <c r="E964" s="13"/>
      <c r="F964" s="13"/>
      <c r="H964" s="24"/>
      <c r="J964" s="13"/>
      <c r="K964" s="13"/>
      <c r="M964" s="24"/>
      <c r="O964" s="13"/>
      <c r="P964" s="13"/>
    </row>
    <row r="965">
      <c r="C965" s="24"/>
      <c r="E965" s="13"/>
      <c r="F965" s="13"/>
      <c r="H965" s="24"/>
      <c r="J965" s="13"/>
      <c r="K965" s="13"/>
      <c r="M965" s="24"/>
      <c r="O965" s="13"/>
      <c r="P965" s="13"/>
    </row>
    <row r="966">
      <c r="C966" s="24"/>
      <c r="E966" s="13"/>
      <c r="F966" s="13"/>
      <c r="H966" s="24"/>
      <c r="J966" s="13"/>
      <c r="K966" s="13"/>
      <c r="M966" s="24"/>
      <c r="O966" s="13"/>
      <c r="P966" s="13"/>
    </row>
    <row r="967">
      <c r="C967" s="24"/>
      <c r="E967" s="13"/>
      <c r="F967" s="13"/>
      <c r="H967" s="24"/>
      <c r="J967" s="13"/>
      <c r="K967" s="13"/>
      <c r="M967" s="24"/>
      <c r="O967" s="13"/>
      <c r="P967" s="13"/>
    </row>
    <row r="968">
      <c r="C968" s="24"/>
      <c r="E968" s="13"/>
      <c r="F968" s="13"/>
      <c r="H968" s="24"/>
      <c r="J968" s="13"/>
      <c r="K968" s="13"/>
      <c r="M968" s="24"/>
      <c r="O968" s="13"/>
      <c r="P968" s="13"/>
    </row>
    <row r="969">
      <c r="C969" s="24"/>
      <c r="E969" s="13"/>
      <c r="F969" s="13"/>
      <c r="H969" s="24"/>
      <c r="J969" s="13"/>
      <c r="K969" s="13"/>
      <c r="M969" s="24"/>
      <c r="O969" s="13"/>
      <c r="P969" s="13"/>
    </row>
    <row r="970">
      <c r="C970" s="24"/>
      <c r="E970" s="13"/>
      <c r="F970" s="13"/>
      <c r="H970" s="24"/>
      <c r="J970" s="13"/>
      <c r="K970" s="13"/>
      <c r="M970" s="24"/>
      <c r="O970" s="13"/>
      <c r="P970" s="13"/>
    </row>
    <row r="971">
      <c r="C971" s="24"/>
      <c r="E971" s="13"/>
      <c r="F971" s="13"/>
      <c r="H971" s="24"/>
      <c r="J971" s="13"/>
      <c r="K971" s="13"/>
      <c r="M971" s="24"/>
      <c r="O971" s="13"/>
      <c r="P971" s="13"/>
    </row>
    <row r="972">
      <c r="C972" s="24"/>
      <c r="E972" s="13"/>
      <c r="F972" s="13"/>
      <c r="H972" s="24"/>
      <c r="J972" s="13"/>
      <c r="K972" s="13"/>
      <c r="M972" s="24"/>
      <c r="O972" s="13"/>
      <c r="P972" s="13"/>
    </row>
    <row r="973">
      <c r="C973" s="24"/>
      <c r="E973" s="13"/>
      <c r="F973" s="13"/>
      <c r="H973" s="24"/>
      <c r="J973" s="13"/>
      <c r="K973" s="13"/>
      <c r="M973" s="24"/>
      <c r="O973" s="13"/>
      <c r="P973" s="13"/>
    </row>
    <row r="974">
      <c r="C974" s="24"/>
      <c r="E974" s="13"/>
      <c r="F974" s="13"/>
      <c r="H974" s="24"/>
      <c r="J974" s="13"/>
      <c r="K974" s="13"/>
      <c r="M974" s="24"/>
      <c r="O974" s="13"/>
      <c r="P974" s="13"/>
    </row>
    <row r="975">
      <c r="C975" s="24"/>
      <c r="E975" s="13"/>
      <c r="F975" s="13"/>
      <c r="H975" s="24"/>
      <c r="J975" s="13"/>
      <c r="K975" s="13"/>
      <c r="M975" s="24"/>
      <c r="O975" s="13"/>
      <c r="P975" s="13"/>
    </row>
    <row r="976">
      <c r="C976" s="24"/>
      <c r="E976" s="13"/>
      <c r="F976" s="13"/>
      <c r="H976" s="24"/>
      <c r="J976" s="13"/>
      <c r="K976" s="13"/>
      <c r="M976" s="24"/>
      <c r="O976" s="13"/>
      <c r="P976" s="13"/>
    </row>
    <row r="977">
      <c r="C977" s="24"/>
      <c r="E977" s="13"/>
      <c r="F977" s="13"/>
      <c r="H977" s="24"/>
      <c r="J977" s="13"/>
      <c r="K977" s="13"/>
      <c r="M977" s="24"/>
      <c r="O977" s="13"/>
      <c r="P977" s="13"/>
    </row>
    <row r="978">
      <c r="C978" s="24"/>
      <c r="E978" s="13"/>
      <c r="F978" s="13"/>
      <c r="H978" s="24"/>
      <c r="J978" s="13"/>
      <c r="K978" s="13"/>
      <c r="M978" s="24"/>
      <c r="O978" s="13"/>
      <c r="P978" s="13"/>
    </row>
    <row r="979">
      <c r="C979" s="24"/>
      <c r="E979" s="13"/>
      <c r="F979" s="13"/>
      <c r="H979" s="24"/>
      <c r="J979" s="13"/>
      <c r="K979" s="13"/>
      <c r="M979" s="24"/>
      <c r="O979" s="13"/>
      <c r="P979" s="13"/>
    </row>
    <row r="980">
      <c r="C980" s="24"/>
      <c r="E980" s="13"/>
      <c r="F980" s="13"/>
      <c r="H980" s="24"/>
      <c r="J980" s="13"/>
      <c r="K980" s="13"/>
      <c r="M980" s="24"/>
      <c r="O980" s="13"/>
      <c r="P980" s="13"/>
    </row>
    <row r="981">
      <c r="C981" s="24"/>
      <c r="E981" s="13"/>
      <c r="F981" s="13"/>
      <c r="H981" s="24"/>
      <c r="J981" s="13"/>
      <c r="K981" s="13"/>
      <c r="M981" s="24"/>
      <c r="O981" s="13"/>
      <c r="P981" s="13"/>
    </row>
    <row r="982">
      <c r="C982" s="24"/>
      <c r="E982" s="13"/>
      <c r="F982" s="13"/>
      <c r="H982" s="24"/>
      <c r="J982" s="13"/>
      <c r="K982" s="13"/>
      <c r="M982" s="24"/>
      <c r="O982" s="13"/>
      <c r="P982" s="13"/>
    </row>
    <row r="983">
      <c r="C983" s="24"/>
      <c r="E983" s="13"/>
      <c r="F983" s="13"/>
      <c r="H983" s="24"/>
      <c r="J983" s="13"/>
      <c r="K983" s="13"/>
      <c r="M983" s="24"/>
      <c r="O983" s="13"/>
      <c r="P983" s="13"/>
    </row>
    <row r="984">
      <c r="C984" s="24"/>
      <c r="E984" s="13"/>
      <c r="F984" s="13"/>
      <c r="H984" s="24"/>
      <c r="J984" s="13"/>
      <c r="K984" s="13"/>
      <c r="M984" s="24"/>
      <c r="O984" s="13"/>
      <c r="P984" s="13"/>
    </row>
    <row r="985">
      <c r="C985" s="24"/>
      <c r="E985" s="13"/>
      <c r="F985" s="13"/>
      <c r="H985" s="24"/>
      <c r="J985" s="13"/>
      <c r="K985" s="13"/>
      <c r="M985" s="24"/>
      <c r="O985" s="13"/>
      <c r="P985" s="13"/>
    </row>
    <row r="986">
      <c r="C986" s="24"/>
      <c r="E986" s="13"/>
      <c r="F986" s="13"/>
      <c r="H986" s="24"/>
      <c r="J986" s="13"/>
      <c r="K986" s="13"/>
      <c r="M986" s="24"/>
      <c r="O986" s="13"/>
      <c r="P986" s="13"/>
    </row>
    <row r="987">
      <c r="C987" s="24"/>
      <c r="E987" s="13"/>
      <c r="F987" s="13"/>
      <c r="H987" s="24"/>
      <c r="J987" s="13"/>
      <c r="K987" s="13"/>
      <c r="M987" s="24"/>
      <c r="O987" s="13"/>
      <c r="P987" s="13"/>
    </row>
    <row r="988">
      <c r="C988" s="24"/>
      <c r="E988" s="13"/>
      <c r="F988" s="13"/>
      <c r="H988" s="24"/>
      <c r="J988" s="13"/>
      <c r="K988" s="13"/>
      <c r="M988" s="24"/>
      <c r="O988" s="13"/>
      <c r="P988" s="13"/>
    </row>
    <row r="989">
      <c r="C989" s="24"/>
      <c r="E989" s="13"/>
      <c r="F989" s="13"/>
      <c r="H989" s="24"/>
      <c r="J989" s="13"/>
      <c r="K989" s="13"/>
      <c r="M989" s="24"/>
      <c r="O989" s="13"/>
      <c r="P989" s="13"/>
    </row>
    <row r="990">
      <c r="C990" s="24"/>
      <c r="E990" s="13"/>
      <c r="F990" s="13"/>
      <c r="H990" s="24"/>
      <c r="J990" s="13"/>
      <c r="K990" s="13"/>
      <c r="M990" s="24"/>
      <c r="O990" s="13"/>
      <c r="P990" s="13"/>
    </row>
    <row r="991">
      <c r="C991" s="24"/>
      <c r="E991" s="13"/>
      <c r="F991" s="13"/>
      <c r="H991" s="24"/>
      <c r="J991" s="13"/>
      <c r="K991" s="13"/>
      <c r="M991" s="24"/>
      <c r="O991" s="13"/>
      <c r="P991" s="13"/>
    </row>
    <row r="992">
      <c r="C992" s="24"/>
      <c r="E992" s="13"/>
      <c r="F992" s="13"/>
      <c r="H992" s="24"/>
      <c r="J992" s="13"/>
      <c r="K992" s="13"/>
      <c r="M992" s="24"/>
      <c r="O992" s="13"/>
      <c r="P992" s="13"/>
    </row>
    <row r="993">
      <c r="C993" s="24"/>
      <c r="E993" s="13"/>
      <c r="F993" s="13"/>
      <c r="H993" s="24"/>
      <c r="J993" s="13"/>
      <c r="K993" s="13"/>
      <c r="M993" s="24"/>
      <c r="O993" s="13"/>
      <c r="P993" s="13"/>
    </row>
    <row r="994">
      <c r="C994" s="24"/>
      <c r="E994" s="13"/>
      <c r="F994" s="13"/>
      <c r="H994" s="24"/>
      <c r="J994" s="13"/>
      <c r="K994" s="13"/>
      <c r="M994" s="24"/>
      <c r="O994" s="13"/>
      <c r="P994" s="13"/>
    </row>
    <row r="995">
      <c r="C995" s="24"/>
      <c r="E995" s="13"/>
      <c r="F995" s="13"/>
      <c r="H995" s="24"/>
      <c r="J995" s="13"/>
      <c r="K995" s="13"/>
      <c r="M995" s="24"/>
      <c r="O995" s="13"/>
      <c r="P995" s="13"/>
    </row>
    <row r="996">
      <c r="C996" s="24"/>
      <c r="E996" s="13"/>
      <c r="F996" s="13"/>
      <c r="H996" s="24"/>
      <c r="J996" s="13"/>
      <c r="K996" s="13"/>
      <c r="M996" s="24"/>
      <c r="O996" s="13"/>
      <c r="P996" s="13"/>
    </row>
    <row r="997">
      <c r="C997" s="24"/>
      <c r="E997" s="13"/>
      <c r="F997" s="13"/>
      <c r="H997" s="24"/>
      <c r="J997" s="13"/>
      <c r="K997" s="13"/>
      <c r="M997" s="24"/>
      <c r="O997" s="13"/>
      <c r="P997" s="13"/>
    </row>
    <row r="998">
      <c r="C998" s="24"/>
      <c r="E998" s="13"/>
      <c r="F998" s="13"/>
      <c r="H998" s="24"/>
      <c r="J998" s="13"/>
      <c r="K998" s="13"/>
      <c r="M998" s="24"/>
      <c r="O998" s="13"/>
      <c r="P998" s="13"/>
    </row>
    <row r="999">
      <c r="C999" s="24"/>
      <c r="E999" s="13"/>
      <c r="F999" s="13"/>
      <c r="H999" s="24"/>
      <c r="J999" s="13"/>
      <c r="K999" s="13"/>
      <c r="M999" s="24"/>
      <c r="O999" s="13"/>
      <c r="P999" s="13"/>
    </row>
    <row r="1000">
      <c r="C1000" s="24"/>
      <c r="E1000" s="13"/>
      <c r="F1000" s="13"/>
      <c r="H1000" s="24"/>
      <c r="J1000" s="13"/>
      <c r="K1000" s="13"/>
      <c r="M1000" s="24"/>
      <c r="O1000" s="13"/>
      <c r="P1000" s="13"/>
    </row>
    <row r="1001">
      <c r="C1001" s="24"/>
      <c r="E1001" s="13"/>
      <c r="F1001" s="13"/>
      <c r="H1001" s="24"/>
      <c r="J1001" s="13"/>
      <c r="K1001" s="13"/>
      <c r="M1001" s="24"/>
      <c r="O1001" s="13"/>
      <c r="P1001" s="13"/>
    </row>
    <row r="1002">
      <c r="C1002" s="24"/>
      <c r="E1002" s="13"/>
      <c r="F1002" s="13"/>
      <c r="H1002" s="24"/>
      <c r="J1002" s="13"/>
      <c r="K1002" s="13"/>
      <c r="M1002" s="24"/>
      <c r="O1002" s="13"/>
      <c r="P1002" s="13"/>
    </row>
    <row r="1003">
      <c r="C1003" s="24"/>
      <c r="E1003" s="13"/>
      <c r="F1003" s="13"/>
      <c r="H1003" s="24"/>
      <c r="J1003" s="13"/>
      <c r="K1003" s="13"/>
      <c r="M1003" s="24"/>
      <c r="O1003" s="13"/>
      <c r="P1003" s="13"/>
    </row>
    <row r="1004">
      <c r="C1004" s="24"/>
      <c r="E1004" s="13"/>
      <c r="F1004" s="13"/>
      <c r="H1004" s="24"/>
      <c r="J1004" s="13"/>
      <c r="K1004" s="13"/>
      <c r="M1004" s="24"/>
      <c r="O1004" s="13"/>
      <c r="P1004" s="13"/>
    </row>
    <row r="1005">
      <c r="C1005" s="24"/>
      <c r="E1005" s="13"/>
      <c r="F1005" s="13"/>
      <c r="H1005" s="24"/>
      <c r="J1005" s="13"/>
      <c r="K1005" s="13"/>
      <c r="M1005" s="24"/>
      <c r="O1005" s="13"/>
      <c r="P1005" s="13"/>
    </row>
    <row r="1006">
      <c r="C1006" s="24"/>
      <c r="E1006" s="13"/>
      <c r="F1006" s="13"/>
      <c r="H1006" s="24"/>
      <c r="J1006" s="13"/>
      <c r="K1006" s="13"/>
      <c r="M1006" s="24"/>
      <c r="O1006" s="13"/>
      <c r="P1006" s="13"/>
    </row>
    <row r="1007">
      <c r="C1007" s="24"/>
      <c r="E1007" s="13"/>
      <c r="F1007" s="13"/>
      <c r="H1007" s="24"/>
      <c r="J1007" s="13"/>
      <c r="K1007" s="13"/>
      <c r="M1007" s="24"/>
      <c r="O1007" s="13"/>
      <c r="P1007" s="13"/>
    </row>
    <row r="1008">
      <c r="C1008" s="24"/>
      <c r="E1008" s="13"/>
      <c r="F1008" s="13"/>
      <c r="H1008" s="24"/>
      <c r="J1008" s="13"/>
      <c r="K1008" s="13"/>
      <c r="M1008" s="24"/>
      <c r="O1008" s="13"/>
      <c r="P1008" s="13"/>
    </row>
    <row r="1009">
      <c r="C1009" s="24"/>
      <c r="E1009" s="13"/>
      <c r="F1009" s="13"/>
      <c r="H1009" s="24"/>
      <c r="J1009" s="13"/>
      <c r="K1009" s="13"/>
      <c r="M1009" s="24"/>
      <c r="O1009" s="13"/>
      <c r="P1009" s="13"/>
    </row>
    <row r="1010">
      <c r="C1010" s="55"/>
      <c r="F1010" s="13"/>
      <c r="H1010" s="55"/>
      <c r="K1010" s="13"/>
      <c r="M1010" s="55"/>
      <c r="P1010" s="13"/>
    </row>
  </sheetData>
  <mergeCells count="9">
    <mergeCell ref="M2:O2"/>
    <mergeCell ref="M3:O3"/>
    <mergeCell ref="M1:O1"/>
    <mergeCell ref="C1:E1"/>
    <mergeCell ref="H1:J1"/>
    <mergeCell ref="C2:E2"/>
    <mergeCell ref="H2:J2"/>
    <mergeCell ref="C3:E3"/>
    <mergeCell ref="H3:J3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.88"/>
    <col customWidth="1" min="2" max="2" width="23.5"/>
    <col customWidth="1" min="3" max="3" width="18.63"/>
    <col customWidth="1" min="4" max="4" width="9.88"/>
    <col customWidth="1" min="5" max="5" width="5.75"/>
    <col customWidth="1" min="6" max="6" width="6.13"/>
    <col customWidth="1" min="7" max="7" width="23.5"/>
    <col customWidth="1" min="8" max="8" width="18.63"/>
    <col customWidth="1" min="9" max="9" width="9.88"/>
    <col customWidth="1" min="10" max="10" width="5.75"/>
    <col customWidth="1" min="11" max="11" width="6.13"/>
    <col customWidth="1" min="12" max="12" width="23.5"/>
    <col customWidth="1" min="13" max="13" width="18.63"/>
    <col customWidth="1" min="14" max="14" width="9.88"/>
    <col customWidth="1" min="15" max="15" width="8.88"/>
    <col customWidth="1" min="16" max="16" width="4.25"/>
    <col customWidth="1" min="17" max="17" width="9.38"/>
  </cols>
  <sheetData>
    <row r="1">
      <c r="A1" s="1"/>
      <c r="B1" s="2" t="s">
        <v>0</v>
      </c>
      <c r="C1" s="3"/>
      <c r="F1" s="4"/>
      <c r="G1" s="2" t="s">
        <v>0</v>
      </c>
      <c r="H1" s="3"/>
      <c r="K1" s="4"/>
      <c r="L1" s="2" t="s">
        <v>0</v>
      </c>
      <c r="M1" s="3" t="s">
        <v>1</v>
      </c>
      <c r="P1" s="4"/>
    </row>
    <row r="2">
      <c r="A2" s="5"/>
      <c r="B2" s="6" t="s">
        <v>2</v>
      </c>
      <c r="C2" s="7" t="s">
        <v>62</v>
      </c>
      <c r="D2" s="8"/>
      <c r="E2" s="9"/>
      <c r="F2" s="4"/>
      <c r="G2" s="6" t="s">
        <v>2</v>
      </c>
      <c r="H2" s="7" t="s">
        <v>63</v>
      </c>
      <c r="I2" s="8"/>
      <c r="J2" s="9"/>
      <c r="K2" s="4"/>
      <c r="L2" s="6" t="s">
        <v>2</v>
      </c>
      <c r="M2" s="7" t="s">
        <v>64</v>
      </c>
      <c r="N2" s="8"/>
      <c r="O2" s="9"/>
      <c r="P2" s="4"/>
    </row>
    <row r="3">
      <c r="A3" s="5"/>
      <c r="B3" s="6" t="s">
        <v>6</v>
      </c>
      <c r="C3" s="10" t="s">
        <v>7</v>
      </c>
      <c r="D3" s="11"/>
      <c r="E3" s="12"/>
      <c r="F3" s="13"/>
      <c r="G3" s="6" t="s">
        <v>6</v>
      </c>
      <c r="H3" s="10" t="s">
        <v>8</v>
      </c>
      <c r="I3" s="11"/>
      <c r="J3" s="12"/>
      <c r="K3" s="13"/>
      <c r="L3" s="6" t="s">
        <v>6</v>
      </c>
      <c r="M3" s="10" t="s">
        <v>65</v>
      </c>
      <c r="N3" s="11"/>
      <c r="O3" s="12"/>
      <c r="P3" s="13"/>
    </row>
    <row r="4">
      <c r="A4" s="5"/>
      <c r="B4" s="6"/>
      <c r="C4" s="14" t="s">
        <v>10</v>
      </c>
      <c r="D4" s="15" t="s">
        <v>11</v>
      </c>
      <c r="E4" s="15" t="s">
        <v>12</v>
      </c>
      <c r="F4" s="16"/>
      <c r="G4" s="6"/>
      <c r="H4" s="14" t="s">
        <v>10</v>
      </c>
      <c r="I4" s="15" t="s">
        <v>11</v>
      </c>
      <c r="J4" s="15" t="s">
        <v>12</v>
      </c>
      <c r="K4" s="16"/>
      <c r="L4" s="6"/>
      <c r="M4" s="14" t="s">
        <v>10</v>
      </c>
      <c r="N4" s="15" t="s">
        <v>11</v>
      </c>
      <c r="O4" s="15" t="s">
        <v>12</v>
      </c>
      <c r="P4" s="16"/>
    </row>
    <row r="5">
      <c r="A5" s="5"/>
      <c r="B5" s="6" t="s">
        <v>13</v>
      </c>
      <c r="C5" s="17"/>
      <c r="D5" s="18"/>
      <c r="E5" s="19"/>
      <c r="F5" s="13"/>
      <c r="G5" s="6" t="s">
        <v>13</v>
      </c>
      <c r="H5" s="17"/>
      <c r="I5" s="18"/>
      <c r="J5" s="19"/>
      <c r="K5" s="13"/>
      <c r="L5" s="6" t="s">
        <v>13</v>
      </c>
      <c r="M5" s="17"/>
      <c r="N5" s="18"/>
      <c r="O5" s="19"/>
      <c r="P5" s="13"/>
    </row>
    <row r="6">
      <c r="B6" s="6" t="s">
        <v>14</v>
      </c>
      <c r="C6" s="20">
        <v>16832.0</v>
      </c>
      <c r="D6" s="20"/>
      <c r="E6" s="19"/>
      <c r="F6" s="13"/>
      <c r="G6" s="6" t="s">
        <v>14</v>
      </c>
      <c r="H6" s="20">
        <v>16832.0</v>
      </c>
      <c r="I6" s="20"/>
      <c r="J6" s="19"/>
      <c r="K6" s="13"/>
      <c r="L6" s="6" t="s">
        <v>14</v>
      </c>
      <c r="M6" s="20">
        <v>31998.0</v>
      </c>
      <c r="N6" s="20"/>
      <c r="O6" s="19"/>
      <c r="P6" s="13"/>
    </row>
    <row r="7">
      <c r="B7" s="6" t="s">
        <v>15</v>
      </c>
      <c r="C7" s="17" t="s">
        <v>16</v>
      </c>
      <c r="D7" s="18"/>
      <c r="E7" s="19"/>
      <c r="F7" s="13"/>
      <c r="G7" s="6" t="s">
        <v>15</v>
      </c>
      <c r="H7" s="17" t="s">
        <v>16</v>
      </c>
      <c r="I7" s="18"/>
      <c r="J7" s="19"/>
      <c r="K7" s="13"/>
      <c r="L7" s="6" t="s">
        <v>15</v>
      </c>
      <c r="M7" s="17" t="s">
        <v>16</v>
      </c>
      <c r="N7" s="18"/>
      <c r="O7" s="19"/>
      <c r="P7" s="13"/>
    </row>
    <row r="8">
      <c r="B8" s="6" t="s">
        <v>17</v>
      </c>
      <c r="C8" s="17" t="s">
        <v>18</v>
      </c>
      <c r="D8" s="18"/>
      <c r="E8" s="19"/>
      <c r="F8" s="13"/>
      <c r="G8" s="6" t="s">
        <v>17</v>
      </c>
      <c r="H8" s="17" t="s">
        <v>18</v>
      </c>
      <c r="I8" s="18"/>
      <c r="J8" s="19"/>
      <c r="K8" s="13"/>
      <c r="L8" s="6" t="s">
        <v>17</v>
      </c>
      <c r="M8" s="17" t="s">
        <v>18</v>
      </c>
      <c r="N8" s="18"/>
      <c r="O8" s="19"/>
      <c r="P8" s="13"/>
    </row>
    <row r="9">
      <c r="B9" s="21" t="s">
        <v>19</v>
      </c>
      <c r="C9" s="22">
        <f t="shared" ref="C9:D9" si="1">C21+C31+C38</f>
        <v>2.199591156</v>
      </c>
      <c r="D9" s="22">
        <f t="shared" si="1"/>
        <v>2.2745856</v>
      </c>
      <c r="E9" s="23">
        <f>D9-C9</f>
        <v>0.07499444444</v>
      </c>
      <c r="F9" s="13"/>
      <c r="G9" s="21" t="s">
        <v>19</v>
      </c>
      <c r="H9" s="22">
        <f t="shared" ref="H9:I9" si="2">H21+H31+H38</f>
        <v>0.3882419913</v>
      </c>
      <c r="I9" s="22">
        <f t="shared" si="2"/>
        <v>0.407227408</v>
      </c>
      <c r="J9" s="23">
        <f>I9-H9</f>
        <v>0.01898541667</v>
      </c>
      <c r="K9" s="13"/>
      <c r="L9" s="21" t="s">
        <v>19</v>
      </c>
      <c r="M9" s="22">
        <f t="shared" ref="M9:N9" si="3">M21+M31+M38</f>
        <v>5.448797542</v>
      </c>
      <c r="N9" s="22">
        <f t="shared" si="3"/>
        <v>5.561513008</v>
      </c>
      <c r="O9" s="23">
        <f>N9-M9</f>
        <v>0.1127154658</v>
      </c>
      <c r="P9" s="13"/>
    </row>
    <row r="10">
      <c r="C10" s="24"/>
      <c r="D10" s="13"/>
      <c r="E10" s="13"/>
      <c r="F10" s="13"/>
      <c r="H10" s="24"/>
      <c r="I10" s="13"/>
      <c r="J10" s="13"/>
      <c r="K10" s="13"/>
      <c r="M10" s="24">
        <f>M9+O15+O14</f>
        <v>5.478119542</v>
      </c>
      <c r="N10" s="13"/>
      <c r="O10" s="25">
        <f>M10-N9</f>
        <v>-0.08339346578</v>
      </c>
      <c r="P10" s="13" t="str">
        <f>componet</f>
        <v>#NAME?</v>
      </c>
    </row>
    <row r="11">
      <c r="B11" s="2" t="s">
        <v>20</v>
      </c>
      <c r="C11" s="14" t="s">
        <v>10</v>
      </c>
      <c r="D11" s="15" t="s">
        <v>11</v>
      </c>
      <c r="E11" s="15" t="s">
        <v>12</v>
      </c>
      <c r="F11" s="13"/>
      <c r="G11" s="2" t="s">
        <v>20</v>
      </c>
      <c r="H11" s="14" t="s">
        <v>10</v>
      </c>
      <c r="I11" s="15" t="s">
        <v>11</v>
      </c>
      <c r="J11" s="15" t="s">
        <v>12</v>
      </c>
      <c r="K11" s="13"/>
      <c r="L11" s="2" t="s">
        <v>21</v>
      </c>
      <c r="M11" s="14" t="s">
        <v>10</v>
      </c>
      <c r="N11" s="15" t="s">
        <v>11</v>
      </c>
      <c r="O11" s="15" t="s">
        <v>12</v>
      </c>
      <c r="P11" s="13"/>
    </row>
    <row r="12">
      <c r="B12" s="26" t="s">
        <v>22</v>
      </c>
      <c r="C12" s="27" t="s">
        <v>23</v>
      </c>
      <c r="D12" s="27" t="s">
        <v>23</v>
      </c>
      <c r="E12" s="19"/>
      <c r="F12" s="13"/>
      <c r="G12" s="26" t="s">
        <v>22</v>
      </c>
      <c r="H12" s="17" t="s">
        <v>24</v>
      </c>
      <c r="I12" s="27" t="s">
        <v>24</v>
      </c>
      <c r="J12" s="19"/>
      <c r="K12" s="13"/>
      <c r="L12" s="28" t="str">
        <f>C2</f>
        <v>W11791014</v>
      </c>
      <c r="M12" s="17">
        <f t="shared" ref="M12:N12" si="4">C9</f>
        <v>2.199591156</v>
      </c>
      <c r="N12" s="17">
        <f t="shared" si="4"/>
        <v>2.2745856</v>
      </c>
      <c r="O12" s="38">
        <f t="shared" ref="O12:O16" si="6">N12-M12</f>
        <v>0.07499444444</v>
      </c>
      <c r="P12" s="13"/>
    </row>
    <row r="13">
      <c r="B13" s="30" t="s">
        <v>25</v>
      </c>
      <c r="C13" s="17" t="s">
        <v>26</v>
      </c>
      <c r="D13" s="17" t="s">
        <v>26</v>
      </c>
      <c r="E13" s="19"/>
      <c r="F13" s="13"/>
      <c r="G13" s="30" t="s">
        <v>25</v>
      </c>
      <c r="H13" s="17" t="s">
        <v>26</v>
      </c>
      <c r="I13" s="17" t="s">
        <v>26</v>
      </c>
      <c r="J13" s="19"/>
      <c r="K13" s="13"/>
      <c r="L13" s="31" t="str">
        <f>H2</f>
        <v>W11242123</v>
      </c>
      <c r="M13" s="17">
        <f t="shared" ref="M13:N13" si="5">H9</f>
        <v>0.3882419913</v>
      </c>
      <c r="N13" s="17">
        <f t="shared" si="5"/>
        <v>0.407227408</v>
      </c>
      <c r="O13" s="38">
        <f t="shared" si="6"/>
        <v>0.01898541667</v>
      </c>
      <c r="P13" s="13"/>
    </row>
    <row r="14">
      <c r="B14" s="30" t="s">
        <v>27</v>
      </c>
      <c r="C14" s="32">
        <f t="shared" ref="C14:C15" si="7">D14</f>
        <v>2.66</v>
      </c>
      <c r="D14" s="33">
        <v>2.66</v>
      </c>
      <c r="E14" s="34"/>
      <c r="F14" s="13"/>
      <c r="G14" s="30" t="s">
        <v>27</v>
      </c>
      <c r="H14" s="32">
        <f t="shared" ref="H14:H16" si="8">I14</f>
        <v>1.2136</v>
      </c>
      <c r="I14" s="33">
        <v>1.2136</v>
      </c>
      <c r="J14" s="34"/>
      <c r="K14" s="13"/>
      <c r="L14" s="35" t="s">
        <v>28</v>
      </c>
      <c r="M14" s="36">
        <f>(0.6868*2)*1.03</f>
        <v>1.414808</v>
      </c>
      <c r="N14" s="36">
        <v>1.4431</v>
      </c>
      <c r="O14" s="38">
        <f t="shared" si="6"/>
        <v>0.028292</v>
      </c>
      <c r="P14" s="13"/>
    </row>
    <row r="15">
      <c r="B15" s="30" t="s">
        <v>29</v>
      </c>
      <c r="C15" s="17">
        <f t="shared" si="7"/>
        <v>0.5788</v>
      </c>
      <c r="D15" s="17">
        <v>0.5788</v>
      </c>
      <c r="E15" s="38">
        <f t="shared" ref="E15:E16" si="9">D15-C15</f>
        <v>0</v>
      </c>
      <c r="F15" s="13"/>
      <c r="G15" s="30" t="s">
        <v>29</v>
      </c>
      <c r="H15" s="17">
        <f t="shared" si="8"/>
        <v>0.1493</v>
      </c>
      <c r="I15" s="17">
        <v>0.1493</v>
      </c>
      <c r="J15" s="38">
        <f t="shared" ref="J15:J16" si="10">I15-H15</f>
        <v>0</v>
      </c>
      <c r="K15" s="13"/>
      <c r="L15" s="35" t="s">
        <v>30</v>
      </c>
      <c r="M15" s="36">
        <f>0.0245*2*1.03</f>
        <v>0.05047</v>
      </c>
      <c r="N15" s="36">
        <v>0.0515</v>
      </c>
      <c r="O15" s="38">
        <f t="shared" si="6"/>
        <v>0.00103</v>
      </c>
      <c r="P15" s="13"/>
    </row>
    <row r="16">
      <c r="B16" s="30" t="s">
        <v>31</v>
      </c>
      <c r="C16" s="17">
        <v>0.59616</v>
      </c>
      <c r="D16" s="17">
        <v>0.59616</v>
      </c>
      <c r="E16" s="38">
        <f t="shared" si="9"/>
        <v>0</v>
      </c>
      <c r="F16" s="13"/>
      <c r="G16" s="30" t="s">
        <v>31</v>
      </c>
      <c r="H16" s="17">
        <f t="shared" si="8"/>
        <v>0.15378</v>
      </c>
      <c r="I16" s="17">
        <v>0.15378</v>
      </c>
      <c r="J16" s="38">
        <f t="shared" si="10"/>
        <v>0</v>
      </c>
      <c r="K16" s="13"/>
      <c r="L16" s="30"/>
      <c r="M16" s="17"/>
      <c r="N16" s="39"/>
      <c r="O16" s="56">
        <f t="shared" si="6"/>
        <v>0</v>
      </c>
      <c r="P16" s="13"/>
    </row>
    <row r="17">
      <c r="B17" s="30" t="s">
        <v>32</v>
      </c>
      <c r="C17" s="17"/>
      <c r="D17" s="18"/>
      <c r="E17" s="19"/>
      <c r="F17" s="13"/>
      <c r="G17" s="30" t="s">
        <v>32</v>
      </c>
      <c r="H17" s="17"/>
      <c r="I17" s="18"/>
      <c r="J17" s="19"/>
      <c r="K17" s="13"/>
      <c r="L17" s="30"/>
      <c r="M17" s="17"/>
      <c r="N17" s="18"/>
      <c r="O17" s="19"/>
      <c r="P17" s="13"/>
    </row>
    <row r="18">
      <c r="B18" s="30" t="s">
        <v>33</v>
      </c>
      <c r="C18" s="17">
        <v>0.0</v>
      </c>
      <c r="D18" s="40"/>
      <c r="E18" s="34"/>
      <c r="F18" s="13"/>
      <c r="G18" s="30" t="s">
        <v>33</v>
      </c>
      <c r="H18" s="17">
        <v>0.0</v>
      </c>
      <c r="I18" s="40"/>
      <c r="J18" s="34"/>
      <c r="K18" s="13"/>
      <c r="L18" s="30"/>
      <c r="M18" s="17"/>
      <c r="N18" s="40"/>
      <c r="O18" s="34"/>
      <c r="P18" s="13"/>
    </row>
    <row r="19">
      <c r="B19" s="30" t="s">
        <v>34</v>
      </c>
      <c r="C19" s="17">
        <v>0.0</v>
      </c>
      <c r="D19" s="17"/>
      <c r="E19" s="19"/>
      <c r="F19" s="13"/>
      <c r="G19" s="30" t="s">
        <v>34</v>
      </c>
      <c r="H19" s="17">
        <v>0.0</v>
      </c>
      <c r="I19" s="17"/>
      <c r="J19" s="19"/>
      <c r="K19" s="13"/>
      <c r="L19" s="30"/>
      <c r="M19" s="17"/>
      <c r="N19" s="17"/>
      <c r="O19" s="19"/>
      <c r="P19" s="13"/>
    </row>
    <row r="20">
      <c r="B20" s="30" t="s">
        <v>35</v>
      </c>
      <c r="C20" s="17">
        <v>0.0</v>
      </c>
      <c r="D20" s="17"/>
      <c r="E20" s="19"/>
      <c r="F20" s="13"/>
      <c r="G20" s="30" t="s">
        <v>35</v>
      </c>
      <c r="H20" s="17">
        <f>H19</f>
        <v>0</v>
      </c>
      <c r="I20" s="17"/>
      <c r="J20" s="19"/>
      <c r="K20" s="13"/>
      <c r="L20" s="30"/>
      <c r="M20" s="17"/>
      <c r="N20" s="17"/>
      <c r="O20" s="19"/>
      <c r="P20" s="13"/>
    </row>
    <row r="21">
      <c r="B21" s="21" t="s">
        <v>36</v>
      </c>
      <c r="C21" s="22">
        <f t="shared" ref="C21:D21" si="11">((C14*C16)+(C18*C20))</f>
        <v>1.5857856</v>
      </c>
      <c r="D21" s="22">
        <f t="shared" si="11"/>
        <v>1.5857856</v>
      </c>
      <c r="E21" s="23">
        <f>D21-C21</f>
        <v>0</v>
      </c>
      <c r="F21" s="13"/>
      <c r="G21" s="21" t="s">
        <v>36</v>
      </c>
      <c r="H21" s="22">
        <f t="shared" ref="H21:I21" si="12">((H14*H16)+(H18*H20))</f>
        <v>0.186627408</v>
      </c>
      <c r="I21" s="22">
        <f t="shared" si="12"/>
        <v>0.186627408</v>
      </c>
      <c r="J21" s="23">
        <f>I21-H21</f>
        <v>0</v>
      </c>
      <c r="K21" s="13"/>
      <c r="L21" s="21" t="s">
        <v>37</v>
      </c>
      <c r="M21" s="22">
        <f t="shared" ref="M21:N21" si="13">M12+M13+M14+M15</f>
        <v>4.053111147</v>
      </c>
      <c r="N21" s="22">
        <f t="shared" si="13"/>
        <v>4.176413008</v>
      </c>
      <c r="O21" s="23">
        <f>N21-M21</f>
        <v>0.1233018611</v>
      </c>
      <c r="P21" s="13"/>
    </row>
    <row r="22">
      <c r="C22" s="24"/>
      <c r="D22" s="13"/>
      <c r="E22" s="13"/>
      <c r="F22" s="13"/>
      <c r="H22" s="24"/>
      <c r="I22" s="13"/>
      <c r="J22" s="13"/>
      <c r="K22" s="13"/>
      <c r="M22" s="24"/>
      <c r="N22" s="13"/>
      <c r="O22" s="13"/>
      <c r="P22" s="13"/>
    </row>
    <row r="23">
      <c r="B23" s="2" t="s">
        <v>38</v>
      </c>
      <c r="C23" s="14" t="s">
        <v>10</v>
      </c>
      <c r="D23" s="15" t="s">
        <v>11</v>
      </c>
      <c r="E23" s="15" t="s">
        <v>12</v>
      </c>
      <c r="F23" s="13"/>
      <c r="G23" s="2" t="s">
        <v>38</v>
      </c>
      <c r="H23" s="14" t="s">
        <v>10</v>
      </c>
      <c r="I23" s="15" t="s">
        <v>11</v>
      </c>
      <c r="J23" s="15" t="s">
        <v>12</v>
      </c>
      <c r="K23" s="13"/>
      <c r="L23" s="2" t="s">
        <v>39</v>
      </c>
      <c r="M23" s="14" t="s">
        <v>10</v>
      </c>
      <c r="N23" s="15" t="s">
        <v>11</v>
      </c>
      <c r="O23" s="15" t="s">
        <v>12</v>
      </c>
      <c r="P23" s="13"/>
    </row>
    <row r="24">
      <c r="B24" s="41" t="s">
        <v>40</v>
      </c>
      <c r="C24" s="17">
        <v>2.0</v>
      </c>
      <c r="D24" s="20">
        <v>2.0</v>
      </c>
      <c r="E24" s="19"/>
      <c r="F24" s="13"/>
      <c r="G24" s="41" t="s">
        <v>40</v>
      </c>
      <c r="H24" s="17">
        <v>2.0</v>
      </c>
      <c r="I24" s="20">
        <v>2.0</v>
      </c>
      <c r="J24" s="19"/>
      <c r="K24" s="13"/>
      <c r="L24" s="41"/>
      <c r="M24" s="17"/>
      <c r="N24" s="20"/>
      <c r="O24" s="19"/>
      <c r="P24" s="13"/>
    </row>
    <row r="25">
      <c r="B25" s="41" t="s">
        <v>41</v>
      </c>
      <c r="C25" s="17" t="s">
        <v>42</v>
      </c>
      <c r="D25" s="42">
        <v>500.0</v>
      </c>
      <c r="E25" s="18"/>
      <c r="G25" s="41" t="s">
        <v>41</v>
      </c>
      <c r="H25" s="17" t="s">
        <v>43</v>
      </c>
      <c r="I25" s="42" t="s">
        <v>44</v>
      </c>
      <c r="J25" s="18"/>
      <c r="L25" s="41"/>
      <c r="M25" s="17"/>
      <c r="N25" s="42"/>
      <c r="O25" s="18"/>
    </row>
    <row r="26">
      <c r="B26" s="41" t="s">
        <v>45</v>
      </c>
      <c r="C26" s="17">
        <v>50.0</v>
      </c>
      <c r="D26" s="20">
        <v>50.0</v>
      </c>
      <c r="E26" s="43">
        <v>1.0</v>
      </c>
      <c r="F26" s="44" t="s">
        <v>46</v>
      </c>
      <c r="G26" s="41" t="s">
        <v>45</v>
      </c>
      <c r="H26" s="17">
        <v>35.0</v>
      </c>
      <c r="I26" s="20">
        <v>32.0</v>
      </c>
      <c r="J26" s="43">
        <v>1.0</v>
      </c>
      <c r="K26" s="44" t="s">
        <v>46</v>
      </c>
      <c r="L26" s="41" t="s">
        <v>45</v>
      </c>
      <c r="M26" s="17">
        <v>55.0</v>
      </c>
      <c r="N26" s="20">
        <v>60.0</v>
      </c>
      <c r="O26" s="43">
        <v>1.0</v>
      </c>
      <c r="P26" s="44" t="s">
        <v>46</v>
      </c>
    </row>
    <row r="27">
      <c r="B27" s="41" t="s">
        <v>47</v>
      </c>
      <c r="C27" s="17">
        <v>0.5</v>
      </c>
      <c r="D27" s="45">
        <v>0.5</v>
      </c>
      <c r="E27" s="46"/>
      <c r="F27" s="13"/>
      <c r="G27" s="41" t="s">
        <v>47</v>
      </c>
      <c r="H27" s="17">
        <v>0.25</v>
      </c>
      <c r="I27" s="45">
        <v>0.25</v>
      </c>
      <c r="J27" s="46"/>
      <c r="K27" s="13"/>
      <c r="L27" s="41" t="s">
        <v>47</v>
      </c>
      <c r="M27" s="17">
        <v>1.0</v>
      </c>
      <c r="N27" s="45">
        <v>1.0</v>
      </c>
      <c r="O27" s="46"/>
      <c r="P27" s="13"/>
      <c r="Q27" s="47" t="s">
        <v>48</v>
      </c>
    </row>
    <row r="28">
      <c r="B28" s="41" t="s">
        <v>49</v>
      </c>
      <c r="C28" s="17">
        <f>(F28/F30)*C27</f>
        <v>0.078125</v>
      </c>
      <c r="D28" s="17">
        <v>0.0781</v>
      </c>
      <c r="E28" s="48">
        <f>C28-D28</f>
        <v>0.000025</v>
      </c>
      <c r="F28" s="44">
        <v>22.5</v>
      </c>
      <c r="G28" s="41" t="s">
        <v>49</v>
      </c>
      <c r="H28" s="17">
        <f>(K28/K30)*H27</f>
        <v>0.02734375</v>
      </c>
      <c r="I28" s="17">
        <v>0.025</v>
      </c>
      <c r="J28" s="48">
        <f>H28-I28</f>
        <v>0.00234375</v>
      </c>
      <c r="K28" s="44">
        <v>22.5</v>
      </c>
      <c r="L28" s="41" t="s">
        <v>49</v>
      </c>
      <c r="M28" s="17">
        <f>(P28/P30)*M27</f>
        <v>0.3895833333</v>
      </c>
      <c r="N28" s="17">
        <v>0.4583</v>
      </c>
      <c r="O28" s="48">
        <f>M28-N28</f>
        <v>-0.06871666667</v>
      </c>
      <c r="P28" s="44">
        <v>25.5</v>
      </c>
      <c r="Q28" s="47" t="s">
        <v>50</v>
      </c>
    </row>
    <row r="29">
      <c r="B29" s="41" t="s">
        <v>51</v>
      </c>
      <c r="C29" s="17">
        <f>(F29/F30)</f>
        <v>0.5356805556</v>
      </c>
      <c r="D29" s="17">
        <v>0.6107</v>
      </c>
      <c r="E29" s="23">
        <f>D29-C29</f>
        <v>0.07501944444</v>
      </c>
      <c r="F29" s="44">
        <v>77.138</v>
      </c>
      <c r="G29" s="41" t="s">
        <v>51</v>
      </c>
      <c r="H29" s="17">
        <f>(K29/K30)</f>
        <v>0.1742708333</v>
      </c>
      <c r="I29" s="17">
        <v>0.1956</v>
      </c>
      <c r="J29" s="23">
        <f>I29-H29</f>
        <v>0.02132916667</v>
      </c>
      <c r="K29" s="44">
        <v>35.85</v>
      </c>
      <c r="L29" s="41" t="s">
        <v>51</v>
      </c>
      <c r="M29" s="17">
        <f>(P29/P30)</f>
        <v>0.1749305556</v>
      </c>
      <c r="N29" s="17">
        <v>0.1146</v>
      </c>
      <c r="O29" s="23">
        <f>N29-M29</f>
        <v>-0.06033055556</v>
      </c>
      <c r="P29" s="44">
        <v>11.45</v>
      </c>
      <c r="Q29" s="47" t="s">
        <v>52</v>
      </c>
    </row>
    <row r="30">
      <c r="B30" s="41" t="s">
        <v>53</v>
      </c>
      <c r="C30" s="17">
        <v>0.0</v>
      </c>
      <c r="D30" s="17">
        <v>0.0</v>
      </c>
      <c r="E30" s="34">
        <f>C30-D30</f>
        <v>0</v>
      </c>
      <c r="F30" s="49">
        <f>((3600/C26)*C24)</f>
        <v>144</v>
      </c>
      <c r="G30" s="41" t="s">
        <v>53</v>
      </c>
      <c r="H30" s="17">
        <v>0.0</v>
      </c>
      <c r="I30" s="17">
        <v>0.0</v>
      </c>
      <c r="J30" s="34">
        <f>H30-I30</f>
        <v>0</v>
      </c>
      <c r="K30" s="49">
        <f>((3600/H26)*H24)</f>
        <v>205.7142857</v>
      </c>
      <c r="L30" s="41" t="s">
        <v>53</v>
      </c>
      <c r="M30" s="17">
        <v>0.0</v>
      </c>
      <c r="N30" s="17">
        <v>0.0</v>
      </c>
      <c r="O30" s="34">
        <f>M30-N30</f>
        <v>0</v>
      </c>
      <c r="P30" s="49">
        <f>(3600/M26)</f>
        <v>65.45454545</v>
      </c>
      <c r="Q30" s="50">
        <v>27.5</v>
      </c>
    </row>
    <row r="31">
      <c r="B31" s="21" t="s">
        <v>54</v>
      </c>
      <c r="C31" s="22">
        <f t="shared" ref="C31:D31" si="14">SUM(C28:C30)</f>
        <v>0.6138055556</v>
      </c>
      <c r="D31" s="22">
        <f t="shared" si="14"/>
        <v>0.6888</v>
      </c>
      <c r="E31" s="23">
        <f>D31-C31</f>
        <v>0.07499444444</v>
      </c>
      <c r="F31" s="13"/>
      <c r="G31" s="21" t="s">
        <v>54</v>
      </c>
      <c r="H31" s="22">
        <f t="shared" ref="H31:I31" si="15">SUM(H28:H30)</f>
        <v>0.2016145833</v>
      </c>
      <c r="I31" s="22">
        <f t="shared" si="15"/>
        <v>0.2206</v>
      </c>
      <c r="J31" s="23">
        <f>I31-H31</f>
        <v>0.01898541667</v>
      </c>
      <c r="K31" s="13"/>
      <c r="L31" s="21" t="s">
        <v>54</v>
      </c>
      <c r="M31" s="22">
        <f t="shared" ref="M31:N31" si="16">SUM(M28:M30)</f>
        <v>0.5645138889</v>
      </c>
      <c r="N31" s="22">
        <f t="shared" si="16"/>
        <v>0.5729</v>
      </c>
      <c r="O31" s="23">
        <f>N31-M31</f>
        <v>0.008386111111</v>
      </c>
      <c r="P31" s="13"/>
    </row>
    <row r="32">
      <c r="C32" s="24"/>
      <c r="D32" s="13"/>
      <c r="E32" s="13"/>
      <c r="F32" s="13"/>
      <c r="H32" s="24"/>
      <c r="I32" s="13"/>
      <c r="J32" s="13"/>
      <c r="K32" s="13"/>
      <c r="M32" s="24"/>
      <c r="N32" s="13"/>
      <c r="O32" s="13"/>
      <c r="P32" s="13"/>
    </row>
    <row r="33">
      <c r="B33" s="2" t="s">
        <v>55</v>
      </c>
      <c r="C33" s="14" t="s">
        <v>10</v>
      </c>
      <c r="D33" s="15" t="s">
        <v>11</v>
      </c>
      <c r="E33" s="15" t="s">
        <v>12</v>
      </c>
      <c r="F33" s="13"/>
      <c r="G33" s="2" t="s">
        <v>55</v>
      </c>
      <c r="H33" s="14" t="s">
        <v>10</v>
      </c>
      <c r="I33" s="15" t="s">
        <v>11</v>
      </c>
      <c r="J33" s="15" t="s">
        <v>12</v>
      </c>
      <c r="K33" s="13"/>
      <c r="L33" s="2" t="s">
        <v>55</v>
      </c>
      <c r="M33" s="14" t="s">
        <v>10</v>
      </c>
      <c r="N33" s="15" t="s">
        <v>11</v>
      </c>
      <c r="O33" s="15" t="s">
        <v>12</v>
      </c>
      <c r="P33" s="13"/>
    </row>
    <row r="34">
      <c r="B34" s="41" t="s">
        <v>56</v>
      </c>
      <c r="C34" s="17">
        <v>0.0</v>
      </c>
      <c r="D34" s="51"/>
      <c r="E34" s="19"/>
      <c r="F34" s="13"/>
      <c r="G34" s="41" t="s">
        <v>56</v>
      </c>
      <c r="H34" s="17">
        <v>0.0</v>
      </c>
      <c r="I34" s="51"/>
      <c r="J34" s="19"/>
      <c r="K34" s="13"/>
      <c r="L34" s="41" t="s">
        <v>56</v>
      </c>
      <c r="M34" s="17">
        <v>0.16</v>
      </c>
      <c r="N34" s="51"/>
      <c r="O34" s="19"/>
      <c r="P34" s="13"/>
    </row>
    <row r="35">
      <c r="B35" s="41" t="s">
        <v>58</v>
      </c>
      <c r="C35" s="17">
        <f>(C21+C31)*C34</f>
        <v>0</v>
      </c>
      <c r="D35" s="52"/>
      <c r="E35" s="34">
        <f t="shared" ref="E35:E38" si="17">D35-C35</f>
        <v>0</v>
      </c>
      <c r="F35" s="13"/>
      <c r="G35" s="41" t="s">
        <v>58</v>
      </c>
      <c r="H35" s="17">
        <f>(H21+H31)*H34</f>
        <v>0</v>
      </c>
      <c r="I35" s="52"/>
      <c r="J35" s="34">
        <f t="shared" ref="J35:J38" si="18">I35-H35</f>
        <v>0</v>
      </c>
      <c r="K35" s="13"/>
      <c r="L35" s="41" t="s">
        <v>58</v>
      </c>
      <c r="M35" s="17">
        <f>(M21+M31)*M34</f>
        <v>0.7388200057</v>
      </c>
      <c r="N35" s="17">
        <v>0.7241</v>
      </c>
      <c r="O35" s="34">
        <f t="shared" ref="O35:O38" si="19">N35-M35</f>
        <v>-0.01472000572</v>
      </c>
      <c r="P35" s="13"/>
    </row>
    <row r="36">
      <c r="B36" s="41" t="s">
        <v>59</v>
      </c>
      <c r="C36" s="17">
        <v>0.0</v>
      </c>
      <c r="D36" s="52"/>
      <c r="E36" s="34">
        <f t="shared" si="17"/>
        <v>0</v>
      </c>
      <c r="F36" s="13"/>
      <c r="G36" s="41" t="s">
        <v>59</v>
      </c>
      <c r="H36" s="17">
        <v>0.0</v>
      </c>
      <c r="I36" s="52"/>
      <c r="J36" s="34">
        <f t="shared" si="18"/>
        <v>0</v>
      </c>
      <c r="K36" s="13"/>
      <c r="L36" s="41" t="s">
        <v>59</v>
      </c>
      <c r="M36" s="17">
        <f>(M21+M31)*0.02</f>
        <v>0.09235250072</v>
      </c>
      <c r="N36" s="17">
        <v>0.0881</v>
      </c>
      <c r="O36" s="34">
        <f t="shared" si="19"/>
        <v>-0.004252500716</v>
      </c>
      <c r="P36" s="13"/>
    </row>
    <row r="37">
      <c r="B37" s="41" t="s">
        <v>60</v>
      </c>
      <c r="C37" s="17"/>
      <c r="D37" s="40"/>
      <c r="E37" s="34">
        <f t="shared" si="17"/>
        <v>0</v>
      </c>
      <c r="F37" s="13"/>
      <c r="G37" s="41" t="s">
        <v>60</v>
      </c>
      <c r="H37" s="17"/>
      <c r="I37" s="40"/>
      <c r="J37" s="34">
        <f t="shared" si="18"/>
        <v>0</v>
      </c>
      <c r="K37" s="13"/>
      <c r="L37" s="41" t="s">
        <v>60</v>
      </c>
      <c r="M37" s="17"/>
      <c r="N37" s="40"/>
      <c r="O37" s="34">
        <f t="shared" si="19"/>
        <v>0</v>
      </c>
      <c r="P37" s="13"/>
    </row>
    <row r="38">
      <c r="B38" s="21" t="s">
        <v>61</v>
      </c>
      <c r="C38" s="22">
        <f>SUM(C35:C37)</f>
        <v>0</v>
      </c>
      <c r="D38" s="53"/>
      <c r="E38" s="54">
        <f t="shared" si="17"/>
        <v>0</v>
      </c>
      <c r="F38" s="13"/>
      <c r="G38" s="21" t="s">
        <v>61</v>
      </c>
      <c r="H38" s="22">
        <f>SUM(H35:H37)</f>
        <v>0</v>
      </c>
      <c r="I38" s="53"/>
      <c r="J38" s="54">
        <f t="shared" si="18"/>
        <v>0</v>
      </c>
      <c r="K38" s="13"/>
      <c r="L38" s="21" t="s">
        <v>61</v>
      </c>
      <c r="M38" s="22">
        <f t="shared" ref="M38:N38" si="20">SUM(M35:M37)</f>
        <v>0.8311725064</v>
      </c>
      <c r="N38" s="22">
        <f t="shared" si="20"/>
        <v>0.8122</v>
      </c>
      <c r="O38" s="54">
        <f t="shared" si="19"/>
        <v>-0.01897250644</v>
      </c>
      <c r="P38" s="13"/>
    </row>
    <row r="39">
      <c r="C39" s="24"/>
      <c r="E39" s="13"/>
      <c r="F39" s="13"/>
      <c r="H39" s="24"/>
      <c r="J39" s="13"/>
      <c r="K39" s="13"/>
      <c r="M39" s="24"/>
      <c r="O39" s="13"/>
      <c r="P39" s="13"/>
    </row>
    <row r="40">
      <c r="E40" s="13"/>
      <c r="F40" s="13"/>
      <c r="G40" s="13"/>
      <c r="H40" s="13"/>
      <c r="I40" s="13"/>
      <c r="J40" s="13"/>
      <c r="K40" s="13"/>
      <c r="L40" s="13"/>
      <c r="M40" s="13"/>
      <c r="O40" s="13"/>
      <c r="P40" s="13"/>
    </row>
    <row r="41">
      <c r="E41" s="13"/>
      <c r="F41" s="13"/>
      <c r="G41" s="13"/>
      <c r="H41" s="13"/>
      <c r="I41" s="13"/>
      <c r="J41" s="13"/>
      <c r="K41" s="13"/>
      <c r="L41" s="13"/>
      <c r="M41" s="13"/>
      <c r="O41" s="13"/>
      <c r="P41" s="13"/>
    </row>
    <row r="42">
      <c r="E42" s="13"/>
      <c r="F42" s="13"/>
      <c r="G42" s="13"/>
      <c r="H42" s="13"/>
      <c r="I42" s="13"/>
      <c r="J42" s="13"/>
      <c r="K42" s="13"/>
      <c r="L42" s="13"/>
      <c r="M42" s="13"/>
      <c r="O42" s="13"/>
      <c r="P42" s="13"/>
    </row>
    <row r="43">
      <c r="E43" s="13"/>
      <c r="F43" s="13"/>
      <c r="G43" s="13"/>
      <c r="H43" s="13"/>
      <c r="I43" s="13"/>
      <c r="J43" s="13"/>
      <c r="K43" s="13"/>
      <c r="L43" s="13"/>
      <c r="M43" s="13"/>
      <c r="O43" s="13"/>
      <c r="P43" s="13"/>
    </row>
    <row r="44">
      <c r="E44" s="13"/>
      <c r="F44" s="13"/>
      <c r="G44" s="13"/>
      <c r="H44" s="13"/>
      <c r="I44" s="13"/>
      <c r="J44" s="13"/>
      <c r="K44" s="13"/>
      <c r="M44" s="24"/>
      <c r="O44" s="13"/>
      <c r="P44" s="13"/>
    </row>
    <row r="45">
      <c r="C45" s="24"/>
      <c r="E45" s="13"/>
      <c r="F45" s="13"/>
      <c r="G45" s="13"/>
      <c r="H45" s="13"/>
      <c r="I45" s="13"/>
      <c r="J45" s="13"/>
      <c r="K45" s="13"/>
      <c r="M45" s="24"/>
      <c r="O45" s="13"/>
      <c r="P45" s="13"/>
    </row>
    <row r="46">
      <c r="C46" s="24"/>
      <c r="E46" s="13"/>
      <c r="F46" s="13"/>
      <c r="G46" s="13"/>
      <c r="H46" s="13"/>
      <c r="I46" s="13"/>
      <c r="J46" s="13"/>
      <c r="K46" s="13"/>
      <c r="M46" s="24"/>
      <c r="O46" s="13"/>
      <c r="P46" s="13"/>
    </row>
    <row r="47">
      <c r="C47" s="24"/>
      <c r="E47" s="13"/>
      <c r="F47" s="13"/>
      <c r="H47" s="24"/>
      <c r="J47" s="13"/>
      <c r="K47" s="13"/>
      <c r="M47" s="24"/>
      <c r="O47" s="13"/>
      <c r="P47" s="13"/>
    </row>
    <row r="48">
      <c r="C48" s="24"/>
      <c r="E48" s="13"/>
      <c r="F48" s="13"/>
      <c r="H48" s="24"/>
      <c r="J48" s="13"/>
      <c r="K48" s="13"/>
      <c r="M48" s="24"/>
      <c r="O48" s="13"/>
      <c r="P48" s="13"/>
    </row>
    <row r="49">
      <c r="C49" s="24"/>
      <c r="E49" s="13"/>
      <c r="F49" s="13"/>
      <c r="H49" s="24"/>
      <c r="J49" s="13"/>
      <c r="K49" s="13"/>
      <c r="M49" s="24"/>
      <c r="O49" s="13"/>
      <c r="P49" s="13"/>
    </row>
    <row r="50">
      <c r="C50" s="24"/>
      <c r="E50" s="13"/>
      <c r="F50" s="13"/>
      <c r="H50" s="24"/>
      <c r="J50" s="13"/>
      <c r="K50" s="13"/>
      <c r="M50" s="24"/>
      <c r="O50" s="13"/>
      <c r="P50" s="13"/>
    </row>
    <row r="51">
      <c r="C51" s="24"/>
      <c r="E51" s="13"/>
      <c r="F51" s="13"/>
      <c r="H51" s="24"/>
      <c r="J51" s="13"/>
      <c r="K51" s="13"/>
      <c r="M51" s="24"/>
      <c r="O51" s="13"/>
      <c r="P51" s="13"/>
    </row>
    <row r="52">
      <c r="C52" s="24"/>
      <c r="E52" s="13"/>
      <c r="F52" s="13"/>
      <c r="H52" s="24"/>
      <c r="J52" s="13"/>
      <c r="K52" s="13"/>
      <c r="M52" s="24"/>
      <c r="O52" s="13"/>
      <c r="P52" s="13"/>
    </row>
    <row r="53">
      <c r="C53" s="24"/>
      <c r="E53" s="13"/>
      <c r="F53" s="13"/>
      <c r="H53" s="24"/>
      <c r="J53" s="13"/>
      <c r="K53" s="13"/>
      <c r="M53" s="24"/>
      <c r="O53" s="13"/>
      <c r="P53" s="13"/>
    </row>
    <row r="54">
      <c r="C54" s="24"/>
      <c r="E54" s="13"/>
      <c r="F54" s="13"/>
      <c r="H54" s="24"/>
      <c r="J54" s="13"/>
      <c r="K54" s="13"/>
      <c r="M54" s="24"/>
      <c r="O54" s="13"/>
      <c r="P54" s="13"/>
    </row>
    <row r="55">
      <c r="C55" s="24"/>
      <c r="E55" s="13"/>
      <c r="F55" s="13"/>
      <c r="H55" s="24"/>
      <c r="J55" s="13"/>
      <c r="K55" s="13"/>
      <c r="M55" s="24"/>
      <c r="O55" s="13"/>
      <c r="P55" s="13"/>
    </row>
    <row r="56">
      <c r="C56" s="24"/>
      <c r="E56" s="13"/>
      <c r="F56" s="13"/>
      <c r="H56" s="24"/>
      <c r="J56" s="13"/>
      <c r="K56" s="13"/>
      <c r="M56" s="24"/>
      <c r="O56" s="13"/>
      <c r="P56" s="13"/>
    </row>
    <row r="57">
      <c r="C57" s="24"/>
      <c r="E57" s="13"/>
      <c r="F57" s="13"/>
      <c r="H57" s="24"/>
      <c r="J57" s="13"/>
      <c r="K57" s="13"/>
      <c r="M57" s="24"/>
      <c r="O57" s="13"/>
      <c r="P57" s="13"/>
    </row>
    <row r="58">
      <c r="C58" s="24"/>
      <c r="E58" s="13"/>
      <c r="F58" s="13"/>
      <c r="H58" s="24"/>
      <c r="J58" s="13"/>
      <c r="K58" s="13"/>
      <c r="M58" s="24"/>
      <c r="O58" s="13"/>
      <c r="P58" s="13"/>
    </row>
    <row r="59">
      <c r="C59" s="24"/>
      <c r="E59" s="13"/>
      <c r="F59" s="13"/>
      <c r="H59" s="24"/>
      <c r="J59" s="13"/>
      <c r="K59" s="13"/>
      <c r="M59" s="24"/>
      <c r="O59" s="13"/>
      <c r="P59" s="13"/>
    </row>
    <row r="60">
      <c r="C60" s="24"/>
      <c r="E60" s="13"/>
      <c r="F60" s="13"/>
      <c r="H60" s="24"/>
      <c r="J60" s="13"/>
      <c r="K60" s="13"/>
      <c r="M60" s="24"/>
      <c r="O60" s="13"/>
      <c r="P60" s="13"/>
    </row>
    <row r="61">
      <c r="C61" s="24"/>
      <c r="E61" s="13"/>
      <c r="F61" s="13"/>
      <c r="H61" s="24"/>
      <c r="J61" s="13"/>
      <c r="K61" s="13"/>
      <c r="M61" s="24"/>
      <c r="O61" s="13"/>
      <c r="P61" s="13"/>
    </row>
    <row r="62">
      <c r="C62" s="24"/>
      <c r="E62" s="13"/>
      <c r="F62" s="13"/>
      <c r="H62" s="24"/>
      <c r="J62" s="13"/>
      <c r="K62" s="13"/>
      <c r="M62" s="24"/>
      <c r="O62" s="13"/>
      <c r="P62" s="13"/>
    </row>
    <row r="63">
      <c r="C63" s="24"/>
      <c r="E63" s="13"/>
      <c r="F63" s="13"/>
      <c r="H63" s="24"/>
      <c r="J63" s="13"/>
      <c r="K63" s="13"/>
      <c r="M63" s="24"/>
      <c r="O63" s="13"/>
      <c r="P63" s="13"/>
    </row>
    <row r="64">
      <c r="C64" s="24"/>
      <c r="E64" s="13"/>
      <c r="F64" s="13"/>
      <c r="H64" s="24"/>
      <c r="J64" s="13"/>
      <c r="K64" s="13"/>
      <c r="M64" s="24"/>
      <c r="O64" s="13"/>
      <c r="P64" s="13"/>
    </row>
    <row r="65">
      <c r="C65" s="24"/>
      <c r="E65" s="13"/>
      <c r="F65" s="13"/>
      <c r="H65" s="24"/>
      <c r="J65" s="13"/>
      <c r="K65" s="13"/>
      <c r="M65" s="24"/>
      <c r="O65" s="13"/>
      <c r="P65" s="13"/>
    </row>
    <row r="66">
      <c r="C66" s="24"/>
      <c r="E66" s="13"/>
      <c r="F66" s="13"/>
      <c r="H66" s="24"/>
      <c r="J66" s="13"/>
      <c r="K66" s="13"/>
      <c r="M66" s="24"/>
      <c r="O66" s="13"/>
      <c r="P66" s="13"/>
    </row>
    <row r="67">
      <c r="C67" s="24"/>
      <c r="E67" s="13"/>
      <c r="F67" s="13"/>
      <c r="H67" s="24"/>
      <c r="J67" s="13"/>
      <c r="K67" s="13"/>
      <c r="M67" s="24"/>
      <c r="O67" s="13"/>
      <c r="P67" s="13"/>
    </row>
    <row r="68">
      <c r="C68" s="24"/>
      <c r="E68" s="13"/>
      <c r="F68" s="13"/>
      <c r="H68" s="24"/>
      <c r="J68" s="13"/>
      <c r="K68" s="13"/>
      <c r="M68" s="24"/>
      <c r="O68" s="13"/>
      <c r="P68" s="13"/>
    </row>
    <row r="69">
      <c r="C69" s="24"/>
      <c r="E69" s="13"/>
      <c r="F69" s="13"/>
      <c r="H69" s="24"/>
      <c r="J69" s="13"/>
      <c r="K69" s="13"/>
      <c r="M69" s="24"/>
      <c r="O69" s="13"/>
      <c r="P69" s="13"/>
    </row>
    <row r="70">
      <c r="C70" s="24"/>
      <c r="E70" s="13"/>
      <c r="F70" s="13"/>
      <c r="H70" s="24"/>
      <c r="J70" s="13"/>
      <c r="K70" s="13"/>
      <c r="M70" s="24"/>
      <c r="O70" s="13"/>
      <c r="P70" s="13"/>
    </row>
    <row r="71">
      <c r="C71" s="24"/>
      <c r="E71" s="13"/>
      <c r="F71" s="13"/>
      <c r="H71" s="24"/>
      <c r="J71" s="13"/>
      <c r="K71" s="13"/>
      <c r="M71" s="24"/>
      <c r="O71" s="13"/>
      <c r="P71" s="13"/>
    </row>
    <row r="72">
      <c r="C72" s="24"/>
      <c r="E72" s="13"/>
      <c r="F72" s="13"/>
      <c r="H72" s="24"/>
      <c r="J72" s="13"/>
      <c r="K72" s="13"/>
      <c r="M72" s="24"/>
      <c r="O72" s="13"/>
      <c r="P72" s="13"/>
    </row>
    <row r="73">
      <c r="C73" s="24"/>
      <c r="E73" s="13"/>
      <c r="F73" s="13"/>
      <c r="H73" s="24"/>
      <c r="J73" s="13"/>
      <c r="K73" s="13"/>
      <c r="M73" s="24"/>
      <c r="O73" s="13"/>
      <c r="P73" s="13"/>
    </row>
    <row r="74">
      <c r="C74" s="24"/>
      <c r="E74" s="13"/>
      <c r="F74" s="13"/>
      <c r="H74" s="24"/>
      <c r="J74" s="13"/>
      <c r="K74" s="13"/>
      <c r="M74" s="24"/>
      <c r="O74" s="13"/>
      <c r="P74" s="13"/>
    </row>
    <row r="75">
      <c r="C75" s="24"/>
      <c r="E75" s="13"/>
      <c r="F75" s="13"/>
      <c r="H75" s="24"/>
      <c r="J75" s="13"/>
      <c r="K75" s="13"/>
      <c r="M75" s="24"/>
      <c r="O75" s="13"/>
      <c r="P75" s="13"/>
    </row>
    <row r="76">
      <c r="C76" s="24"/>
      <c r="E76" s="13"/>
      <c r="F76" s="13"/>
      <c r="H76" s="24"/>
      <c r="J76" s="13"/>
      <c r="K76" s="13"/>
      <c r="M76" s="24"/>
      <c r="O76" s="13"/>
      <c r="P76" s="13"/>
    </row>
    <row r="77">
      <c r="C77" s="24"/>
      <c r="E77" s="13"/>
      <c r="F77" s="13"/>
      <c r="H77" s="24"/>
      <c r="J77" s="13"/>
      <c r="K77" s="13"/>
      <c r="M77" s="24"/>
      <c r="O77" s="13"/>
      <c r="P77" s="13"/>
    </row>
    <row r="78">
      <c r="C78" s="24"/>
      <c r="E78" s="13"/>
      <c r="F78" s="13"/>
      <c r="H78" s="24"/>
      <c r="J78" s="13"/>
      <c r="K78" s="13"/>
      <c r="M78" s="24"/>
      <c r="O78" s="13"/>
      <c r="P78" s="13"/>
    </row>
    <row r="79">
      <c r="C79" s="24"/>
      <c r="E79" s="13"/>
      <c r="F79" s="13"/>
      <c r="H79" s="24"/>
      <c r="J79" s="13"/>
      <c r="K79" s="13"/>
      <c r="M79" s="24"/>
      <c r="O79" s="13"/>
      <c r="P79" s="13"/>
    </row>
    <row r="80">
      <c r="C80" s="24"/>
      <c r="E80" s="13"/>
      <c r="F80" s="13"/>
      <c r="H80" s="24"/>
      <c r="J80" s="13"/>
      <c r="K80" s="13"/>
      <c r="M80" s="24"/>
      <c r="O80" s="13"/>
      <c r="P80" s="13"/>
    </row>
    <row r="81">
      <c r="C81" s="24"/>
      <c r="E81" s="13"/>
      <c r="F81" s="13"/>
      <c r="H81" s="24"/>
      <c r="J81" s="13"/>
      <c r="K81" s="13"/>
      <c r="M81" s="24"/>
      <c r="O81" s="13"/>
      <c r="P81" s="13"/>
    </row>
    <row r="82">
      <c r="C82" s="24"/>
      <c r="E82" s="13"/>
      <c r="F82" s="13"/>
      <c r="H82" s="24"/>
      <c r="J82" s="13"/>
      <c r="K82" s="13"/>
      <c r="M82" s="24"/>
      <c r="O82" s="13"/>
      <c r="P82" s="13"/>
    </row>
    <row r="83">
      <c r="C83" s="24"/>
      <c r="E83" s="13"/>
      <c r="F83" s="13"/>
      <c r="H83" s="24"/>
      <c r="J83" s="13"/>
      <c r="K83" s="13"/>
      <c r="M83" s="24"/>
      <c r="O83" s="13"/>
      <c r="P83" s="13"/>
    </row>
    <row r="84">
      <c r="C84" s="24"/>
      <c r="E84" s="13"/>
      <c r="F84" s="13"/>
      <c r="H84" s="24"/>
      <c r="J84" s="13"/>
      <c r="K84" s="13"/>
      <c r="M84" s="24"/>
      <c r="O84" s="13"/>
      <c r="P84" s="13"/>
    </row>
    <row r="85">
      <c r="C85" s="24"/>
      <c r="E85" s="13"/>
      <c r="F85" s="13"/>
      <c r="H85" s="24"/>
      <c r="J85" s="13"/>
      <c r="K85" s="13"/>
      <c r="M85" s="24"/>
      <c r="O85" s="13"/>
      <c r="P85" s="13"/>
    </row>
    <row r="86">
      <c r="C86" s="24"/>
      <c r="E86" s="13"/>
      <c r="F86" s="13"/>
      <c r="H86" s="24"/>
      <c r="J86" s="13"/>
      <c r="K86" s="13"/>
      <c r="M86" s="24"/>
      <c r="O86" s="13"/>
      <c r="P86" s="13"/>
    </row>
    <row r="87">
      <c r="C87" s="24"/>
      <c r="E87" s="13"/>
      <c r="F87" s="13"/>
      <c r="H87" s="24"/>
      <c r="J87" s="13"/>
      <c r="K87" s="13"/>
      <c r="M87" s="24"/>
      <c r="O87" s="13"/>
      <c r="P87" s="13"/>
    </row>
    <row r="88">
      <c r="C88" s="24"/>
      <c r="E88" s="13"/>
      <c r="F88" s="13"/>
      <c r="H88" s="24"/>
      <c r="J88" s="13"/>
      <c r="K88" s="13"/>
      <c r="M88" s="24"/>
      <c r="O88" s="13"/>
      <c r="P88" s="13"/>
    </row>
    <row r="89">
      <c r="C89" s="24"/>
      <c r="E89" s="13"/>
      <c r="F89" s="13"/>
      <c r="H89" s="24"/>
      <c r="J89" s="13"/>
      <c r="K89" s="13"/>
      <c r="M89" s="24"/>
      <c r="O89" s="13"/>
      <c r="P89" s="13"/>
    </row>
    <row r="90">
      <c r="C90" s="24"/>
      <c r="E90" s="13"/>
      <c r="F90" s="13"/>
      <c r="H90" s="24"/>
      <c r="J90" s="13"/>
      <c r="K90" s="13"/>
      <c r="M90" s="24"/>
      <c r="O90" s="13"/>
      <c r="P90" s="13"/>
    </row>
    <row r="91">
      <c r="C91" s="24"/>
      <c r="E91" s="13"/>
      <c r="F91" s="13"/>
      <c r="H91" s="24"/>
      <c r="J91" s="13"/>
      <c r="K91" s="13"/>
      <c r="M91" s="24"/>
      <c r="O91" s="13"/>
      <c r="P91" s="13"/>
    </row>
    <row r="92">
      <c r="C92" s="24"/>
      <c r="E92" s="13"/>
      <c r="F92" s="13"/>
      <c r="H92" s="24"/>
      <c r="J92" s="13"/>
      <c r="K92" s="13"/>
      <c r="M92" s="24"/>
      <c r="O92" s="13"/>
      <c r="P92" s="13"/>
    </row>
    <row r="93">
      <c r="C93" s="24"/>
      <c r="E93" s="13"/>
      <c r="F93" s="13"/>
      <c r="H93" s="24"/>
      <c r="J93" s="13"/>
      <c r="K93" s="13"/>
      <c r="M93" s="24"/>
      <c r="O93" s="13"/>
      <c r="P93" s="13"/>
    </row>
    <row r="94">
      <c r="C94" s="24"/>
      <c r="E94" s="13"/>
      <c r="F94" s="13"/>
      <c r="H94" s="24"/>
      <c r="J94" s="13"/>
      <c r="K94" s="13"/>
      <c r="M94" s="24"/>
      <c r="O94" s="13"/>
      <c r="P94" s="13"/>
    </row>
    <row r="95">
      <c r="C95" s="24"/>
      <c r="E95" s="13"/>
      <c r="F95" s="13"/>
      <c r="H95" s="24"/>
      <c r="J95" s="13"/>
      <c r="K95" s="13"/>
      <c r="M95" s="24"/>
      <c r="O95" s="13"/>
      <c r="P95" s="13"/>
    </row>
    <row r="96">
      <c r="C96" s="24"/>
      <c r="E96" s="13"/>
      <c r="F96" s="13"/>
      <c r="H96" s="24"/>
      <c r="J96" s="13"/>
      <c r="K96" s="13"/>
      <c r="M96" s="24"/>
      <c r="O96" s="13"/>
      <c r="P96" s="13"/>
    </row>
    <row r="97">
      <c r="C97" s="24"/>
      <c r="E97" s="13"/>
      <c r="F97" s="13"/>
      <c r="H97" s="24"/>
      <c r="J97" s="13"/>
      <c r="K97" s="13"/>
      <c r="M97" s="24"/>
      <c r="O97" s="13"/>
      <c r="P97" s="13"/>
    </row>
    <row r="98">
      <c r="C98" s="24"/>
      <c r="E98" s="13"/>
      <c r="F98" s="13"/>
      <c r="H98" s="24"/>
      <c r="J98" s="13"/>
      <c r="K98" s="13"/>
      <c r="M98" s="24"/>
      <c r="O98" s="13"/>
      <c r="P98" s="13"/>
    </row>
    <row r="99">
      <c r="C99" s="24"/>
      <c r="E99" s="13"/>
      <c r="F99" s="13"/>
      <c r="H99" s="24"/>
      <c r="J99" s="13"/>
      <c r="K99" s="13"/>
      <c r="M99" s="24"/>
      <c r="O99" s="13"/>
      <c r="P99" s="13"/>
    </row>
    <row r="100">
      <c r="C100" s="24"/>
      <c r="E100" s="13"/>
      <c r="F100" s="13"/>
      <c r="H100" s="24"/>
      <c r="J100" s="13"/>
      <c r="K100" s="13"/>
      <c r="M100" s="24"/>
      <c r="O100" s="13"/>
      <c r="P100" s="13"/>
    </row>
    <row r="101">
      <c r="C101" s="24"/>
      <c r="E101" s="13"/>
      <c r="F101" s="13"/>
      <c r="H101" s="24"/>
      <c r="J101" s="13"/>
      <c r="K101" s="13"/>
      <c r="M101" s="24"/>
      <c r="O101" s="13"/>
      <c r="P101" s="13"/>
    </row>
    <row r="102">
      <c r="C102" s="24"/>
      <c r="E102" s="13"/>
      <c r="F102" s="13"/>
      <c r="H102" s="24"/>
      <c r="J102" s="13"/>
      <c r="K102" s="13"/>
      <c r="M102" s="24"/>
      <c r="O102" s="13"/>
      <c r="P102" s="13"/>
    </row>
    <row r="103">
      <c r="C103" s="24"/>
      <c r="E103" s="13"/>
      <c r="F103" s="13"/>
      <c r="H103" s="24"/>
      <c r="J103" s="13"/>
      <c r="K103" s="13"/>
      <c r="M103" s="24"/>
      <c r="O103" s="13"/>
      <c r="P103" s="13"/>
    </row>
    <row r="104">
      <c r="C104" s="24"/>
      <c r="E104" s="13"/>
      <c r="F104" s="13"/>
      <c r="H104" s="24"/>
      <c r="J104" s="13"/>
      <c r="K104" s="13"/>
      <c r="M104" s="24"/>
      <c r="O104" s="13"/>
      <c r="P104" s="13"/>
    </row>
    <row r="105">
      <c r="C105" s="24"/>
      <c r="E105" s="13"/>
      <c r="F105" s="13"/>
      <c r="H105" s="24"/>
      <c r="J105" s="13"/>
      <c r="K105" s="13"/>
      <c r="M105" s="24"/>
      <c r="O105" s="13"/>
      <c r="P105" s="13"/>
    </row>
    <row r="106">
      <c r="C106" s="24"/>
      <c r="E106" s="13"/>
      <c r="F106" s="13"/>
      <c r="H106" s="24"/>
      <c r="J106" s="13"/>
      <c r="K106" s="13"/>
      <c r="M106" s="24"/>
      <c r="O106" s="13"/>
      <c r="P106" s="13"/>
    </row>
    <row r="107">
      <c r="C107" s="24"/>
      <c r="E107" s="13"/>
      <c r="F107" s="13"/>
      <c r="H107" s="24"/>
      <c r="J107" s="13"/>
      <c r="K107" s="13"/>
      <c r="M107" s="24"/>
      <c r="O107" s="13"/>
      <c r="P107" s="13"/>
    </row>
    <row r="108">
      <c r="C108" s="24"/>
      <c r="E108" s="13"/>
      <c r="F108" s="13"/>
      <c r="H108" s="24"/>
      <c r="J108" s="13"/>
      <c r="K108" s="13"/>
      <c r="M108" s="24"/>
      <c r="O108" s="13"/>
      <c r="P108" s="13"/>
    </row>
    <row r="109">
      <c r="C109" s="24"/>
      <c r="E109" s="13"/>
      <c r="F109" s="13"/>
      <c r="H109" s="24"/>
      <c r="J109" s="13"/>
      <c r="K109" s="13"/>
      <c r="M109" s="24"/>
      <c r="O109" s="13"/>
      <c r="P109" s="13"/>
    </row>
    <row r="110">
      <c r="C110" s="24"/>
      <c r="E110" s="13"/>
      <c r="F110" s="13"/>
      <c r="H110" s="24"/>
      <c r="J110" s="13"/>
      <c r="K110" s="13"/>
      <c r="M110" s="24"/>
      <c r="O110" s="13"/>
      <c r="P110" s="13"/>
    </row>
    <row r="111">
      <c r="C111" s="24"/>
      <c r="E111" s="13"/>
      <c r="F111" s="13"/>
      <c r="H111" s="24"/>
      <c r="J111" s="13"/>
      <c r="K111" s="13"/>
      <c r="M111" s="24"/>
      <c r="O111" s="13"/>
      <c r="P111" s="13"/>
    </row>
    <row r="112">
      <c r="C112" s="24"/>
      <c r="E112" s="13"/>
      <c r="F112" s="13"/>
      <c r="H112" s="24"/>
      <c r="J112" s="13"/>
      <c r="K112" s="13"/>
      <c r="M112" s="24"/>
      <c r="O112" s="13"/>
      <c r="P112" s="13"/>
    </row>
    <row r="113">
      <c r="C113" s="24"/>
      <c r="E113" s="13"/>
      <c r="F113" s="13"/>
      <c r="H113" s="24"/>
      <c r="J113" s="13"/>
      <c r="K113" s="13"/>
      <c r="M113" s="24"/>
      <c r="O113" s="13"/>
      <c r="P113" s="13"/>
    </row>
    <row r="114">
      <c r="C114" s="24"/>
      <c r="E114" s="13"/>
      <c r="F114" s="13"/>
      <c r="H114" s="24"/>
      <c r="J114" s="13"/>
      <c r="K114" s="13"/>
      <c r="M114" s="24"/>
      <c r="O114" s="13"/>
      <c r="P114" s="13"/>
    </row>
    <row r="115">
      <c r="C115" s="24"/>
      <c r="E115" s="13"/>
      <c r="F115" s="13"/>
      <c r="H115" s="24"/>
      <c r="J115" s="13"/>
      <c r="K115" s="13"/>
      <c r="M115" s="24"/>
      <c r="O115" s="13"/>
      <c r="P115" s="13"/>
    </row>
    <row r="116">
      <c r="C116" s="24"/>
      <c r="E116" s="13"/>
      <c r="F116" s="13"/>
      <c r="H116" s="24"/>
      <c r="J116" s="13"/>
      <c r="K116" s="13"/>
      <c r="M116" s="24"/>
      <c r="O116" s="13"/>
      <c r="P116" s="13"/>
    </row>
    <row r="117">
      <c r="C117" s="24"/>
      <c r="E117" s="13"/>
      <c r="F117" s="13"/>
      <c r="H117" s="24"/>
      <c r="J117" s="13"/>
      <c r="K117" s="13"/>
      <c r="M117" s="24"/>
      <c r="O117" s="13"/>
      <c r="P117" s="13"/>
    </row>
    <row r="118">
      <c r="C118" s="24"/>
      <c r="E118" s="13"/>
      <c r="F118" s="13"/>
      <c r="H118" s="24"/>
      <c r="J118" s="13"/>
      <c r="K118" s="13"/>
      <c r="M118" s="24"/>
      <c r="O118" s="13"/>
      <c r="P118" s="13"/>
    </row>
    <row r="119">
      <c r="C119" s="24"/>
      <c r="E119" s="13"/>
      <c r="F119" s="13"/>
      <c r="H119" s="24"/>
      <c r="J119" s="13"/>
      <c r="K119" s="13"/>
      <c r="M119" s="24"/>
      <c r="O119" s="13"/>
      <c r="P119" s="13"/>
    </row>
    <row r="120">
      <c r="C120" s="24"/>
      <c r="E120" s="13"/>
      <c r="F120" s="13"/>
      <c r="H120" s="24"/>
      <c r="J120" s="13"/>
      <c r="K120" s="13"/>
      <c r="M120" s="24"/>
      <c r="O120" s="13"/>
      <c r="P120" s="13"/>
    </row>
    <row r="121">
      <c r="C121" s="24"/>
      <c r="E121" s="13"/>
      <c r="F121" s="13"/>
      <c r="H121" s="24"/>
      <c r="J121" s="13"/>
      <c r="K121" s="13"/>
      <c r="M121" s="24"/>
      <c r="O121" s="13"/>
      <c r="P121" s="13"/>
    </row>
    <row r="122">
      <c r="C122" s="24"/>
      <c r="E122" s="13"/>
      <c r="F122" s="13"/>
      <c r="H122" s="24"/>
      <c r="J122" s="13"/>
      <c r="K122" s="13"/>
      <c r="M122" s="24"/>
      <c r="O122" s="13"/>
      <c r="P122" s="13"/>
    </row>
    <row r="123">
      <c r="C123" s="24"/>
      <c r="E123" s="13"/>
      <c r="F123" s="13"/>
      <c r="H123" s="24"/>
      <c r="J123" s="13"/>
      <c r="K123" s="13"/>
      <c r="M123" s="24"/>
      <c r="O123" s="13"/>
      <c r="P123" s="13"/>
    </row>
    <row r="124">
      <c r="C124" s="24"/>
      <c r="E124" s="13"/>
      <c r="F124" s="13"/>
      <c r="H124" s="24"/>
      <c r="J124" s="13"/>
      <c r="K124" s="13"/>
      <c r="M124" s="24"/>
      <c r="O124" s="13"/>
      <c r="P124" s="13"/>
    </row>
    <row r="125">
      <c r="C125" s="24"/>
      <c r="E125" s="13"/>
      <c r="F125" s="13"/>
      <c r="H125" s="24"/>
      <c r="J125" s="13"/>
      <c r="K125" s="13"/>
      <c r="M125" s="24"/>
      <c r="O125" s="13"/>
      <c r="P125" s="13"/>
    </row>
    <row r="126">
      <c r="C126" s="24"/>
      <c r="E126" s="13"/>
      <c r="F126" s="13"/>
      <c r="H126" s="24"/>
      <c r="J126" s="13"/>
      <c r="K126" s="13"/>
      <c r="M126" s="24"/>
      <c r="O126" s="13"/>
      <c r="P126" s="13"/>
    </row>
    <row r="127">
      <c r="C127" s="24"/>
      <c r="E127" s="13"/>
      <c r="F127" s="13"/>
      <c r="H127" s="24"/>
      <c r="J127" s="13"/>
      <c r="K127" s="13"/>
      <c r="M127" s="24"/>
      <c r="O127" s="13"/>
      <c r="P127" s="13"/>
    </row>
    <row r="128">
      <c r="C128" s="24"/>
      <c r="E128" s="13"/>
      <c r="F128" s="13"/>
      <c r="H128" s="24"/>
      <c r="J128" s="13"/>
      <c r="K128" s="13"/>
      <c r="M128" s="24"/>
      <c r="O128" s="13"/>
      <c r="P128" s="13"/>
    </row>
    <row r="129">
      <c r="C129" s="24"/>
      <c r="E129" s="13"/>
      <c r="F129" s="13"/>
      <c r="H129" s="24"/>
      <c r="J129" s="13"/>
      <c r="K129" s="13"/>
      <c r="M129" s="24"/>
      <c r="O129" s="13"/>
      <c r="P129" s="13"/>
    </row>
    <row r="130">
      <c r="C130" s="24"/>
      <c r="E130" s="13"/>
      <c r="F130" s="13"/>
      <c r="H130" s="24"/>
      <c r="J130" s="13"/>
      <c r="K130" s="13"/>
      <c r="M130" s="24"/>
      <c r="O130" s="13"/>
      <c r="P130" s="13"/>
    </row>
    <row r="131">
      <c r="C131" s="24"/>
      <c r="E131" s="13"/>
      <c r="F131" s="13"/>
      <c r="H131" s="24"/>
      <c r="J131" s="13"/>
      <c r="K131" s="13"/>
      <c r="M131" s="24"/>
      <c r="O131" s="13"/>
      <c r="P131" s="13"/>
    </row>
    <row r="132">
      <c r="C132" s="24"/>
      <c r="E132" s="13"/>
      <c r="F132" s="13"/>
      <c r="H132" s="24"/>
      <c r="J132" s="13"/>
      <c r="K132" s="13"/>
      <c r="M132" s="24"/>
      <c r="O132" s="13"/>
      <c r="P132" s="13"/>
    </row>
    <row r="133">
      <c r="C133" s="24"/>
      <c r="E133" s="13"/>
      <c r="F133" s="13"/>
      <c r="H133" s="24"/>
      <c r="J133" s="13"/>
      <c r="K133" s="13"/>
      <c r="M133" s="24"/>
      <c r="O133" s="13"/>
      <c r="P133" s="13"/>
    </row>
    <row r="134">
      <c r="C134" s="24"/>
      <c r="E134" s="13"/>
      <c r="F134" s="13"/>
      <c r="H134" s="24"/>
      <c r="J134" s="13"/>
      <c r="K134" s="13"/>
      <c r="M134" s="24"/>
      <c r="O134" s="13"/>
      <c r="P134" s="13"/>
    </row>
    <row r="135">
      <c r="C135" s="24"/>
      <c r="E135" s="13"/>
      <c r="F135" s="13"/>
      <c r="H135" s="24"/>
      <c r="J135" s="13"/>
      <c r="K135" s="13"/>
      <c r="M135" s="24"/>
      <c r="O135" s="13"/>
      <c r="P135" s="13"/>
    </row>
    <row r="136">
      <c r="C136" s="24"/>
      <c r="E136" s="13"/>
      <c r="F136" s="13"/>
      <c r="H136" s="24"/>
      <c r="J136" s="13"/>
      <c r="K136" s="13"/>
      <c r="M136" s="24"/>
      <c r="O136" s="13"/>
      <c r="P136" s="13"/>
    </row>
    <row r="137">
      <c r="C137" s="24"/>
      <c r="E137" s="13"/>
      <c r="F137" s="13"/>
      <c r="H137" s="24"/>
      <c r="J137" s="13"/>
      <c r="K137" s="13"/>
      <c r="M137" s="24"/>
      <c r="O137" s="13"/>
      <c r="P137" s="13"/>
    </row>
    <row r="138">
      <c r="C138" s="24"/>
      <c r="E138" s="13"/>
      <c r="F138" s="13"/>
      <c r="H138" s="24"/>
      <c r="J138" s="13"/>
      <c r="K138" s="13"/>
      <c r="M138" s="24"/>
      <c r="O138" s="13"/>
      <c r="P138" s="13"/>
    </row>
    <row r="139">
      <c r="C139" s="24"/>
      <c r="E139" s="13"/>
      <c r="F139" s="13"/>
      <c r="H139" s="24"/>
      <c r="J139" s="13"/>
      <c r="K139" s="13"/>
      <c r="M139" s="24"/>
      <c r="O139" s="13"/>
      <c r="P139" s="13"/>
    </row>
    <row r="140">
      <c r="C140" s="24"/>
      <c r="E140" s="13"/>
      <c r="F140" s="13"/>
      <c r="H140" s="24"/>
      <c r="J140" s="13"/>
      <c r="K140" s="13"/>
      <c r="M140" s="24"/>
      <c r="O140" s="13"/>
      <c r="P140" s="13"/>
    </row>
    <row r="141">
      <c r="C141" s="24"/>
      <c r="E141" s="13"/>
      <c r="F141" s="13"/>
      <c r="H141" s="24"/>
      <c r="J141" s="13"/>
      <c r="K141" s="13"/>
      <c r="M141" s="24"/>
      <c r="O141" s="13"/>
      <c r="P141" s="13"/>
    </row>
    <row r="142">
      <c r="C142" s="24"/>
      <c r="E142" s="13"/>
      <c r="F142" s="13"/>
      <c r="H142" s="24"/>
      <c r="J142" s="13"/>
      <c r="K142" s="13"/>
      <c r="M142" s="24"/>
      <c r="O142" s="13"/>
      <c r="P142" s="13"/>
    </row>
    <row r="143">
      <c r="C143" s="24"/>
      <c r="E143" s="13"/>
      <c r="F143" s="13"/>
      <c r="H143" s="24"/>
      <c r="J143" s="13"/>
      <c r="K143" s="13"/>
      <c r="M143" s="24"/>
      <c r="O143" s="13"/>
      <c r="P143" s="13"/>
    </row>
    <row r="144">
      <c r="C144" s="24"/>
      <c r="E144" s="13"/>
      <c r="F144" s="13"/>
      <c r="H144" s="24"/>
      <c r="J144" s="13"/>
      <c r="K144" s="13"/>
      <c r="M144" s="24"/>
      <c r="O144" s="13"/>
      <c r="P144" s="13"/>
    </row>
    <row r="145">
      <c r="C145" s="24"/>
      <c r="E145" s="13"/>
      <c r="F145" s="13"/>
      <c r="H145" s="24"/>
      <c r="J145" s="13"/>
      <c r="K145" s="13"/>
      <c r="M145" s="24"/>
      <c r="O145" s="13"/>
      <c r="P145" s="13"/>
    </row>
    <row r="146">
      <c r="C146" s="24"/>
      <c r="E146" s="13"/>
      <c r="F146" s="13"/>
      <c r="H146" s="24"/>
      <c r="J146" s="13"/>
      <c r="K146" s="13"/>
      <c r="M146" s="24"/>
      <c r="O146" s="13"/>
      <c r="P146" s="13"/>
    </row>
    <row r="147">
      <c r="C147" s="24"/>
      <c r="E147" s="13"/>
      <c r="F147" s="13"/>
      <c r="H147" s="24"/>
      <c r="J147" s="13"/>
      <c r="K147" s="13"/>
      <c r="M147" s="24"/>
      <c r="O147" s="13"/>
      <c r="P147" s="13"/>
    </row>
    <row r="148">
      <c r="C148" s="24"/>
      <c r="E148" s="13"/>
      <c r="F148" s="13"/>
      <c r="H148" s="24"/>
      <c r="J148" s="13"/>
      <c r="K148" s="13"/>
      <c r="M148" s="24"/>
      <c r="O148" s="13"/>
      <c r="P148" s="13"/>
    </row>
    <row r="149">
      <c r="C149" s="24"/>
      <c r="E149" s="13"/>
      <c r="F149" s="13"/>
      <c r="H149" s="24"/>
      <c r="J149" s="13"/>
      <c r="K149" s="13"/>
      <c r="M149" s="24"/>
      <c r="O149" s="13"/>
      <c r="P149" s="13"/>
    </row>
    <row r="150">
      <c r="C150" s="24"/>
      <c r="E150" s="13"/>
      <c r="F150" s="13"/>
      <c r="H150" s="24"/>
      <c r="J150" s="13"/>
      <c r="K150" s="13"/>
      <c r="M150" s="24"/>
      <c r="O150" s="13"/>
      <c r="P150" s="13"/>
    </row>
    <row r="151">
      <c r="C151" s="24"/>
      <c r="E151" s="13"/>
      <c r="F151" s="13"/>
      <c r="H151" s="24"/>
      <c r="J151" s="13"/>
      <c r="K151" s="13"/>
      <c r="M151" s="24"/>
      <c r="O151" s="13"/>
      <c r="P151" s="13"/>
    </row>
    <row r="152">
      <c r="C152" s="24"/>
      <c r="E152" s="13"/>
      <c r="F152" s="13"/>
      <c r="H152" s="24"/>
      <c r="J152" s="13"/>
      <c r="K152" s="13"/>
      <c r="M152" s="24"/>
      <c r="O152" s="13"/>
      <c r="P152" s="13"/>
    </row>
    <row r="153">
      <c r="C153" s="24"/>
      <c r="E153" s="13"/>
      <c r="F153" s="13"/>
      <c r="H153" s="24"/>
      <c r="J153" s="13"/>
      <c r="K153" s="13"/>
      <c r="M153" s="24"/>
      <c r="O153" s="13"/>
      <c r="P153" s="13"/>
    </row>
    <row r="154">
      <c r="C154" s="24"/>
      <c r="E154" s="13"/>
      <c r="F154" s="13"/>
      <c r="H154" s="24"/>
      <c r="J154" s="13"/>
      <c r="K154" s="13"/>
      <c r="M154" s="24"/>
      <c r="O154" s="13"/>
      <c r="P154" s="13"/>
    </row>
    <row r="155">
      <c r="C155" s="24"/>
      <c r="E155" s="13"/>
      <c r="F155" s="13"/>
      <c r="H155" s="24"/>
      <c r="J155" s="13"/>
      <c r="K155" s="13"/>
      <c r="M155" s="24"/>
      <c r="O155" s="13"/>
      <c r="P155" s="13"/>
    </row>
    <row r="156">
      <c r="C156" s="24"/>
      <c r="E156" s="13"/>
      <c r="F156" s="13"/>
      <c r="H156" s="24"/>
      <c r="J156" s="13"/>
      <c r="K156" s="13"/>
      <c r="M156" s="24"/>
      <c r="O156" s="13"/>
      <c r="P156" s="13"/>
    </row>
    <row r="157">
      <c r="C157" s="24"/>
      <c r="E157" s="13"/>
      <c r="F157" s="13"/>
      <c r="H157" s="24"/>
      <c r="J157" s="13"/>
      <c r="K157" s="13"/>
      <c r="M157" s="24"/>
      <c r="O157" s="13"/>
      <c r="P157" s="13"/>
    </row>
    <row r="158">
      <c r="C158" s="24"/>
      <c r="E158" s="13"/>
      <c r="F158" s="13"/>
      <c r="H158" s="24"/>
      <c r="J158" s="13"/>
      <c r="K158" s="13"/>
      <c r="M158" s="24"/>
      <c r="O158" s="13"/>
      <c r="P158" s="13"/>
    </row>
    <row r="159">
      <c r="C159" s="24"/>
      <c r="E159" s="13"/>
      <c r="F159" s="13"/>
      <c r="H159" s="24"/>
      <c r="J159" s="13"/>
      <c r="K159" s="13"/>
      <c r="M159" s="24"/>
      <c r="O159" s="13"/>
      <c r="P159" s="13"/>
    </row>
    <row r="160">
      <c r="C160" s="24"/>
      <c r="E160" s="13"/>
      <c r="F160" s="13"/>
      <c r="H160" s="24"/>
      <c r="J160" s="13"/>
      <c r="K160" s="13"/>
      <c r="M160" s="24"/>
      <c r="O160" s="13"/>
      <c r="P160" s="13"/>
    </row>
    <row r="161">
      <c r="C161" s="24"/>
      <c r="E161" s="13"/>
      <c r="F161" s="13"/>
      <c r="H161" s="24"/>
      <c r="J161" s="13"/>
      <c r="K161" s="13"/>
      <c r="M161" s="24"/>
      <c r="O161" s="13"/>
      <c r="P161" s="13"/>
    </row>
    <row r="162">
      <c r="C162" s="24"/>
      <c r="E162" s="13"/>
      <c r="F162" s="13"/>
      <c r="H162" s="24"/>
      <c r="J162" s="13"/>
      <c r="K162" s="13"/>
      <c r="M162" s="24"/>
      <c r="O162" s="13"/>
      <c r="P162" s="13"/>
    </row>
    <row r="163">
      <c r="C163" s="24"/>
      <c r="E163" s="13"/>
      <c r="F163" s="13"/>
      <c r="H163" s="24"/>
      <c r="J163" s="13"/>
      <c r="K163" s="13"/>
      <c r="M163" s="24"/>
      <c r="O163" s="13"/>
      <c r="P163" s="13"/>
    </row>
    <row r="164">
      <c r="C164" s="24"/>
      <c r="E164" s="13"/>
      <c r="F164" s="13"/>
      <c r="H164" s="24"/>
      <c r="J164" s="13"/>
      <c r="K164" s="13"/>
      <c r="M164" s="24"/>
      <c r="O164" s="13"/>
      <c r="P164" s="13"/>
    </row>
    <row r="165">
      <c r="C165" s="24"/>
      <c r="E165" s="13"/>
      <c r="F165" s="13"/>
      <c r="H165" s="24"/>
      <c r="J165" s="13"/>
      <c r="K165" s="13"/>
      <c r="M165" s="24"/>
      <c r="O165" s="13"/>
      <c r="P165" s="13"/>
    </row>
    <row r="166">
      <c r="C166" s="24"/>
      <c r="E166" s="13"/>
      <c r="F166" s="13"/>
      <c r="H166" s="24"/>
      <c r="J166" s="13"/>
      <c r="K166" s="13"/>
      <c r="M166" s="24"/>
      <c r="O166" s="13"/>
      <c r="P166" s="13"/>
    </row>
    <row r="167">
      <c r="C167" s="24"/>
      <c r="E167" s="13"/>
      <c r="F167" s="13"/>
      <c r="H167" s="24"/>
      <c r="J167" s="13"/>
      <c r="K167" s="13"/>
      <c r="M167" s="24"/>
      <c r="O167" s="13"/>
      <c r="P167" s="13"/>
    </row>
    <row r="168">
      <c r="C168" s="24"/>
      <c r="E168" s="13"/>
      <c r="F168" s="13"/>
      <c r="H168" s="24"/>
      <c r="J168" s="13"/>
      <c r="K168" s="13"/>
      <c r="M168" s="24"/>
      <c r="O168" s="13"/>
      <c r="P168" s="13"/>
    </row>
    <row r="169">
      <c r="C169" s="24"/>
      <c r="E169" s="13"/>
      <c r="F169" s="13"/>
      <c r="H169" s="24"/>
      <c r="J169" s="13"/>
      <c r="K169" s="13"/>
      <c r="M169" s="24"/>
      <c r="O169" s="13"/>
      <c r="P169" s="13"/>
    </row>
    <row r="170">
      <c r="C170" s="24"/>
      <c r="E170" s="13"/>
      <c r="F170" s="13"/>
      <c r="H170" s="24"/>
      <c r="J170" s="13"/>
      <c r="K170" s="13"/>
      <c r="M170" s="24"/>
      <c r="O170" s="13"/>
      <c r="P170" s="13"/>
    </row>
    <row r="171">
      <c r="C171" s="24"/>
      <c r="E171" s="13"/>
      <c r="F171" s="13"/>
      <c r="H171" s="24"/>
      <c r="J171" s="13"/>
      <c r="K171" s="13"/>
      <c r="M171" s="24"/>
      <c r="O171" s="13"/>
      <c r="P171" s="13"/>
    </row>
    <row r="172">
      <c r="C172" s="24"/>
      <c r="E172" s="13"/>
      <c r="F172" s="13"/>
      <c r="H172" s="24"/>
      <c r="J172" s="13"/>
      <c r="K172" s="13"/>
      <c r="M172" s="24"/>
      <c r="O172" s="13"/>
      <c r="P172" s="13"/>
    </row>
    <row r="173">
      <c r="C173" s="24"/>
      <c r="E173" s="13"/>
      <c r="F173" s="13"/>
      <c r="H173" s="24"/>
      <c r="J173" s="13"/>
      <c r="K173" s="13"/>
      <c r="M173" s="24"/>
      <c r="O173" s="13"/>
      <c r="P173" s="13"/>
    </row>
    <row r="174">
      <c r="C174" s="24"/>
      <c r="E174" s="13"/>
      <c r="F174" s="13"/>
      <c r="H174" s="24"/>
      <c r="J174" s="13"/>
      <c r="K174" s="13"/>
      <c r="M174" s="24"/>
      <c r="O174" s="13"/>
      <c r="P174" s="13"/>
    </row>
    <row r="175">
      <c r="C175" s="24"/>
      <c r="E175" s="13"/>
      <c r="F175" s="13"/>
      <c r="H175" s="24"/>
      <c r="J175" s="13"/>
      <c r="K175" s="13"/>
      <c r="M175" s="24"/>
      <c r="O175" s="13"/>
      <c r="P175" s="13"/>
    </row>
    <row r="176">
      <c r="C176" s="24"/>
      <c r="E176" s="13"/>
      <c r="F176" s="13"/>
      <c r="H176" s="24"/>
      <c r="J176" s="13"/>
      <c r="K176" s="13"/>
      <c r="M176" s="24"/>
      <c r="O176" s="13"/>
      <c r="P176" s="13"/>
    </row>
    <row r="177">
      <c r="C177" s="24"/>
      <c r="E177" s="13"/>
      <c r="F177" s="13"/>
      <c r="H177" s="24"/>
      <c r="J177" s="13"/>
      <c r="K177" s="13"/>
      <c r="M177" s="24"/>
      <c r="O177" s="13"/>
      <c r="P177" s="13"/>
    </row>
    <row r="178">
      <c r="C178" s="24"/>
      <c r="E178" s="13"/>
      <c r="F178" s="13"/>
      <c r="H178" s="24"/>
      <c r="J178" s="13"/>
      <c r="K178" s="13"/>
      <c r="M178" s="24"/>
      <c r="O178" s="13"/>
      <c r="P178" s="13"/>
    </row>
    <row r="179">
      <c r="C179" s="24"/>
      <c r="E179" s="13"/>
      <c r="F179" s="13"/>
      <c r="H179" s="24"/>
      <c r="J179" s="13"/>
      <c r="K179" s="13"/>
      <c r="M179" s="24"/>
      <c r="O179" s="13"/>
      <c r="P179" s="13"/>
    </row>
    <row r="180">
      <c r="C180" s="24"/>
      <c r="E180" s="13"/>
      <c r="F180" s="13"/>
      <c r="H180" s="24"/>
      <c r="J180" s="13"/>
      <c r="K180" s="13"/>
      <c r="M180" s="24"/>
      <c r="O180" s="13"/>
      <c r="P180" s="13"/>
    </row>
    <row r="181">
      <c r="C181" s="24"/>
      <c r="E181" s="13"/>
      <c r="F181" s="13"/>
      <c r="H181" s="24"/>
      <c r="J181" s="13"/>
      <c r="K181" s="13"/>
      <c r="M181" s="24"/>
      <c r="O181" s="13"/>
      <c r="P181" s="13"/>
    </row>
    <row r="182">
      <c r="C182" s="24"/>
      <c r="E182" s="13"/>
      <c r="F182" s="13"/>
      <c r="H182" s="24"/>
      <c r="J182" s="13"/>
      <c r="K182" s="13"/>
      <c r="M182" s="24"/>
      <c r="O182" s="13"/>
      <c r="P182" s="13"/>
    </row>
    <row r="183">
      <c r="C183" s="24"/>
      <c r="E183" s="13"/>
      <c r="F183" s="13"/>
      <c r="H183" s="24"/>
      <c r="J183" s="13"/>
      <c r="K183" s="13"/>
      <c r="M183" s="24"/>
      <c r="O183" s="13"/>
      <c r="P183" s="13"/>
    </row>
    <row r="184">
      <c r="C184" s="24"/>
      <c r="E184" s="13"/>
      <c r="F184" s="13"/>
      <c r="H184" s="24"/>
      <c r="J184" s="13"/>
      <c r="K184" s="13"/>
      <c r="M184" s="24"/>
      <c r="O184" s="13"/>
      <c r="P184" s="13"/>
    </row>
    <row r="185">
      <c r="C185" s="24"/>
      <c r="E185" s="13"/>
      <c r="F185" s="13"/>
      <c r="H185" s="24"/>
      <c r="J185" s="13"/>
      <c r="K185" s="13"/>
      <c r="M185" s="24"/>
      <c r="O185" s="13"/>
      <c r="P185" s="13"/>
    </row>
    <row r="186">
      <c r="C186" s="24"/>
      <c r="E186" s="13"/>
      <c r="F186" s="13"/>
      <c r="H186" s="24"/>
      <c r="J186" s="13"/>
      <c r="K186" s="13"/>
      <c r="M186" s="24"/>
      <c r="O186" s="13"/>
      <c r="P186" s="13"/>
    </row>
    <row r="187">
      <c r="C187" s="24"/>
      <c r="E187" s="13"/>
      <c r="F187" s="13"/>
      <c r="H187" s="24"/>
      <c r="J187" s="13"/>
      <c r="K187" s="13"/>
      <c r="M187" s="24"/>
      <c r="O187" s="13"/>
      <c r="P187" s="13"/>
    </row>
    <row r="188">
      <c r="C188" s="24"/>
      <c r="E188" s="13"/>
      <c r="F188" s="13"/>
      <c r="H188" s="24"/>
      <c r="J188" s="13"/>
      <c r="K188" s="13"/>
      <c r="M188" s="24"/>
      <c r="O188" s="13"/>
      <c r="P188" s="13"/>
    </row>
    <row r="189">
      <c r="C189" s="24"/>
      <c r="E189" s="13"/>
      <c r="F189" s="13"/>
      <c r="H189" s="24"/>
      <c r="J189" s="13"/>
      <c r="K189" s="13"/>
      <c r="M189" s="24"/>
      <c r="O189" s="13"/>
      <c r="P189" s="13"/>
    </row>
    <row r="190">
      <c r="C190" s="24"/>
      <c r="E190" s="13"/>
      <c r="F190" s="13"/>
      <c r="H190" s="24"/>
      <c r="J190" s="13"/>
      <c r="K190" s="13"/>
      <c r="M190" s="24"/>
      <c r="O190" s="13"/>
      <c r="P190" s="13"/>
    </row>
    <row r="191">
      <c r="C191" s="24"/>
      <c r="E191" s="13"/>
      <c r="F191" s="13"/>
      <c r="H191" s="24"/>
      <c r="J191" s="13"/>
      <c r="K191" s="13"/>
      <c r="M191" s="24"/>
      <c r="O191" s="13"/>
      <c r="P191" s="13"/>
    </row>
    <row r="192">
      <c r="C192" s="24"/>
      <c r="E192" s="13"/>
      <c r="F192" s="13"/>
      <c r="H192" s="24"/>
      <c r="J192" s="13"/>
      <c r="K192" s="13"/>
      <c r="M192" s="24"/>
      <c r="O192" s="13"/>
      <c r="P192" s="13"/>
    </row>
    <row r="193">
      <c r="C193" s="24"/>
      <c r="E193" s="13"/>
      <c r="F193" s="13"/>
      <c r="H193" s="24"/>
      <c r="J193" s="13"/>
      <c r="K193" s="13"/>
      <c r="M193" s="24"/>
      <c r="O193" s="13"/>
      <c r="P193" s="13"/>
    </row>
    <row r="194">
      <c r="C194" s="24"/>
      <c r="E194" s="13"/>
      <c r="F194" s="13"/>
      <c r="H194" s="24"/>
      <c r="J194" s="13"/>
      <c r="K194" s="13"/>
      <c r="M194" s="24"/>
      <c r="O194" s="13"/>
      <c r="P194" s="13"/>
    </row>
    <row r="195">
      <c r="C195" s="24"/>
      <c r="E195" s="13"/>
      <c r="F195" s="13"/>
      <c r="H195" s="24"/>
      <c r="J195" s="13"/>
      <c r="K195" s="13"/>
      <c r="M195" s="24"/>
      <c r="O195" s="13"/>
      <c r="P195" s="13"/>
    </row>
    <row r="196">
      <c r="C196" s="24"/>
      <c r="E196" s="13"/>
      <c r="F196" s="13"/>
      <c r="H196" s="24"/>
      <c r="J196" s="13"/>
      <c r="K196" s="13"/>
      <c r="M196" s="24"/>
      <c r="O196" s="13"/>
      <c r="P196" s="13"/>
    </row>
    <row r="197">
      <c r="C197" s="24"/>
      <c r="E197" s="13"/>
      <c r="F197" s="13"/>
      <c r="H197" s="24"/>
      <c r="J197" s="13"/>
      <c r="K197" s="13"/>
      <c r="M197" s="24"/>
      <c r="O197" s="13"/>
      <c r="P197" s="13"/>
    </row>
    <row r="198">
      <c r="C198" s="24"/>
      <c r="E198" s="13"/>
      <c r="F198" s="13"/>
      <c r="H198" s="24"/>
      <c r="J198" s="13"/>
      <c r="K198" s="13"/>
      <c r="M198" s="24"/>
      <c r="O198" s="13"/>
      <c r="P198" s="13"/>
    </row>
    <row r="199">
      <c r="C199" s="24"/>
      <c r="E199" s="13"/>
      <c r="F199" s="13"/>
      <c r="H199" s="24"/>
      <c r="J199" s="13"/>
      <c r="K199" s="13"/>
      <c r="M199" s="24"/>
      <c r="O199" s="13"/>
      <c r="P199" s="13"/>
    </row>
    <row r="200">
      <c r="C200" s="24"/>
      <c r="E200" s="13"/>
      <c r="F200" s="13"/>
      <c r="H200" s="24"/>
      <c r="J200" s="13"/>
      <c r="K200" s="13"/>
      <c r="M200" s="24"/>
      <c r="O200" s="13"/>
      <c r="P200" s="13"/>
    </row>
    <row r="201">
      <c r="C201" s="24"/>
      <c r="E201" s="13"/>
      <c r="F201" s="13"/>
      <c r="H201" s="24"/>
      <c r="J201" s="13"/>
      <c r="K201" s="13"/>
      <c r="M201" s="24"/>
      <c r="O201" s="13"/>
      <c r="P201" s="13"/>
    </row>
    <row r="202">
      <c r="C202" s="24"/>
      <c r="E202" s="13"/>
      <c r="F202" s="13"/>
      <c r="H202" s="24"/>
      <c r="J202" s="13"/>
      <c r="K202" s="13"/>
      <c r="M202" s="24"/>
      <c r="O202" s="13"/>
      <c r="P202" s="13"/>
    </row>
    <row r="203">
      <c r="C203" s="24"/>
      <c r="E203" s="13"/>
      <c r="F203" s="13"/>
      <c r="H203" s="24"/>
      <c r="J203" s="13"/>
      <c r="K203" s="13"/>
      <c r="M203" s="24"/>
      <c r="O203" s="13"/>
      <c r="P203" s="13"/>
    </row>
    <row r="204">
      <c r="C204" s="24"/>
      <c r="E204" s="13"/>
      <c r="F204" s="13"/>
      <c r="H204" s="24"/>
      <c r="J204" s="13"/>
      <c r="K204" s="13"/>
      <c r="M204" s="24"/>
      <c r="O204" s="13"/>
      <c r="P204" s="13"/>
    </row>
    <row r="205">
      <c r="C205" s="24"/>
      <c r="E205" s="13"/>
      <c r="F205" s="13"/>
      <c r="H205" s="24"/>
      <c r="J205" s="13"/>
      <c r="K205" s="13"/>
      <c r="M205" s="24"/>
      <c r="O205" s="13"/>
      <c r="P205" s="13"/>
    </row>
    <row r="206">
      <c r="C206" s="24"/>
      <c r="E206" s="13"/>
      <c r="F206" s="13"/>
      <c r="H206" s="24"/>
      <c r="J206" s="13"/>
      <c r="K206" s="13"/>
      <c r="M206" s="24"/>
      <c r="O206" s="13"/>
      <c r="P206" s="13"/>
    </row>
    <row r="207">
      <c r="C207" s="24"/>
      <c r="E207" s="13"/>
      <c r="F207" s="13"/>
      <c r="H207" s="24"/>
      <c r="J207" s="13"/>
      <c r="K207" s="13"/>
      <c r="M207" s="24"/>
      <c r="O207" s="13"/>
      <c r="P207" s="13"/>
    </row>
    <row r="208">
      <c r="C208" s="24"/>
      <c r="E208" s="13"/>
      <c r="F208" s="13"/>
      <c r="H208" s="24"/>
      <c r="J208" s="13"/>
      <c r="K208" s="13"/>
      <c r="M208" s="24"/>
      <c r="O208" s="13"/>
      <c r="P208" s="13"/>
    </row>
    <row r="209">
      <c r="C209" s="24"/>
      <c r="E209" s="13"/>
      <c r="F209" s="13"/>
      <c r="H209" s="24"/>
      <c r="J209" s="13"/>
      <c r="K209" s="13"/>
      <c r="M209" s="24"/>
      <c r="O209" s="13"/>
      <c r="P209" s="13"/>
    </row>
    <row r="210">
      <c r="C210" s="24"/>
      <c r="E210" s="13"/>
      <c r="F210" s="13"/>
      <c r="H210" s="24"/>
      <c r="J210" s="13"/>
      <c r="K210" s="13"/>
      <c r="M210" s="24"/>
      <c r="O210" s="13"/>
      <c r="P210" s="13"/>
    </row>
    <row r="211">
      <c r="C211" s="24"/>
      <c r="E211" s="13"/>
      <c r="F211" s="13"/>
      <c r="H211" s="24"/>
      <c r="J211" s="13"/>
      <c r="K211" s="13"/>
      <c r="M211" s="24"/>
      <c r="O211" s="13"/>
      <c r="P211" s="13"/>
    </row>
    <row r="212">
      <c r="C212" s="24"/>
      <c r="E212" s="13"/>
      <c r="F212" s="13"/>
      <c r="H212" s="24"/>
      <c r="J212" s="13"/>
      <c r="K212" s="13"/>
      <c r="M212" s="24"/>
      <c r="O212" s="13"/>
      <c r="P212" s="13"/>
    </row>
    <row r="213">
      <c r="C213" s="24"/>
      <c r="E213" s="13"/>
      <c r="F213" s="13"/>
      <c r="H213" s="24"/>
      <c r="J213" s="13"/>
      <c r="K213" s="13"/>
      <c r="M213" s="24"/>
      <c r="O213" s="13"/>
      <c r="P213" s="13"/>
    </row>
    <row r="214">
      <c r="C214" s="24"/>
      <c r="E214" s="13"/>
      <c r="F214" s="13"/>
      <c r="H214" s="24"/>
      <c r="J214" s="13"/>
      <c r="K214" s="13"/>
      <c r="M214" s="24"/>
      <c r="O214" s="13"/>
      <c r="P214" s="13"/>
    </row>
    <row r="215">
      <c r="C215" s="24"/>
      <c r="E215" s="13"/>
      <c r="F215" s="13"/>
      <c r="H215" s="24"/>
      <c r="J215" s="13"/>
      <c r="K215" s="13"/>
      <c r="M215" s="24"/>
      <c r="O215" s="13"/>
      <c r="P215" s="13"/>
    </row>
    <row r="216">
      <c r="C216" s="24"/>
      <c r="E216" s="13"/>
      <c r="F216" s="13"/>
      <c r="H216" s="24"/>
      <c r="J216" s="13"/>
      <c r="K216" s="13"/>
      <c r="M216" s="24"/>
      <c r="O216" s="13"/>
      <c r="P216" s="13"/>
    </row>
    <row r="217">
      <c r="C217" s="24"/>
      <c r="E217" s="13"/>
      <c r="F217" s="13"/>
      <c r="H217" s="24"/>
      <c r="J217" s="13"/>
      <c r="K217" s="13"/>
      <c r="M217" s="24"/>
      <c r="O217" s="13"/>
      <c r="P217" s="13"/>
    </row>
    <row r="218">
      <c r="C218" s="24"/>
      <c r="E218" s="13"/>
      <c r="F218" s="13"/>
      <c r="H218" s="24"/>
      <c r="J218" s="13"/>
      <c r="K218" s="13"/>
      <c r="M218" s="24"/>
      <c r="O218" s="13"/>
      <c r="P218" s="13"/>
    </row>
    <row r="219">
      <c r="C219" s="24"/>
      <c r="E219" s="13"/>
      <c r="F219" s="13"/>
      <c r="H219" s="24"/>
      <c r="J219" s="13"/>
      <c r="K219" s="13"/>
      <c r="M219" s="24"/>
      <c r="O219" s="13"/>
      <c r="P219" s="13"/>
    </row>
    <row r="220">
      <c r="C220" s="24"/>
      <c r="E220" s="13"/>
      <c r="F220" s="13"/>
      <c r="H220" s="24"/>
      <c r="J220" s="13"/>
      <c r="K220" s="13"/>
      <c r="M220" s="24"/>
      <c r="O220" s="13"/>
      <c r="P220" s="13"/>
    </row>
    <row r="221">
      <c r="C221" s="24"/>
      <c r="E221" s="13"/>
      <c r="F221" s="13"/>
      <c r="H221" s="24"/>
      <c r="J221" s="13"/>
      <c r="K221" s="13"/>
      <c r="M221" s="24"/>
      <c r="O221" s="13"/>
      <c r="P221" s="13"/>
    </row>
    <row r="222">
      <c r="C222" s="24"/>
      <c r="E222" s="13"/>
      <c r="F222" s="13"/>
      <c r="H222" s="24"/>
      <c r="J222" s="13"/>
      <c r="K222" s="13"/>
      <c r="M222" s="24"/>
      <c r="O222" s="13"/>
      <c r="P222" s="13"/>
    </row>
    <row r="223">
      <c r="C223" s="24"/>
      <c r="E223" s="13"/>
      <c r="F223" s="13"/>
      <c r="H223" s="24"/>
      <c r="J223" s="13"/>
      <c r="K223" s="13"/>
      <c r="M223" s="24"/>
      <c r="O223" s="13"/>
      <c r="P223" s="13"/>
    </row>
    <row r="224">
      <c r="C224" s="24"/>
      <c r="E224" s="13"/>
      <c r="F224" s="13"/>
      <c r="H224" s="24"/>
      <c r="J224" s="13"/>
      <c r="K224" s="13"/>
      <c r="M224" s="24"/>
      <c r="O224" s="13"/>
      <c r="P224" s="13"/>
    </row>
    <row r="225">
      <c r="C225" s="24"/>
      <c r="E225" s="13"/>
      <c r="F225" s="13"/>
      <c r="H225" s="24"/>
      <c r="J225" s="13"/>
      <c r="K225" s="13"/>
      <c r="M225" s="24"/>
      <c r="O225" s="13"/>
      <c r="P225" s="13"/>
    </row>
    <row r="226">
      <c r="C226" s="24"/>
      <c r="E226" s="13"/>
      <c r="F226" s="13"/>
      <c r="H226" s="24"/>
      <c r="J226" s="13"/>
      <c r="K226" s="13"/>
      <c r="M226" s="24"/>
      <c r="O226" s="13"/>
      <c r="P226" s="13"/>
    </row>
    <row r="227">
      <c r="C227" s="24"/>
      <c r="E227" s="13"/>
      <c r="F227" s="13"/>
      <c r="H227" s="24"/>
      <c r="J227" s="13"/>
      <c r="K227" s="13"/>
      <c r="M227" s="24"/>
      <c r="O227" s="13"/>
      <c r="P227" s="13"/>
    </row>
    <row r="228">
      <c r="C228" s="24"/>
      <c r="E228" s="13"/>
      <c r="F228" s="13"/>
      <c r="H228" s="24"/>
      <c r="J228" s="13"/>
      <c r="K228" s="13"/>
      <c r="M228" s="24"/>
      <c r="O228" s="13"/>
      <c r="P228" s="13"/>
    </row>
    <row r="229">
      <c r="C229" s="24"/>
      <c r="E229" s="13"/>
      <c r="F229" s="13"/>
      <c r="H229" s="24"/>
      <c r="J229" s="13"/>
      <c r="K229" s="13"/>
      <c r="M229" s="24"/>
      <c r="O229" s="13"/>
      <c r="P229" s="13"/>
    </row>
    <row r="230">
      <c r="C230" s="24"/>
      <c r="E230" s="13"/>
      <c r="F230" s="13"/>
      <c r="H230" s="24"/>
      <c r="J230" s="13"/>
      <c r="K230" s="13"/>
      <c r="M230" s="24"/>
      <c r="O230" s="13"/>
      <c r="P230" s="13"/>
    </row>
    <row r="231">
      <c r="C231" s="24"/>
      <c r="E231" s="13"/>
      <c r="F231" s="13"/>
      <c r="H231" s="24"/>
      <c r="J231" s="13"/>
      <c r="K231" s="13"/>
      <c r="M231" s="24"/>
      <c r="O231" s="13"/>
      <c r="P231" s="13"/>
    </row>
    <row r="232">
      <c r="C232" s="24"/>
      <c r="E232" s="13"/>
      <c r="F232" s="13"/>
      <c r="H232" s="24"/>
      <c r="J232" s="13"/>
      <c r="K232" s="13"/>
      <c r="M232" s="24"/>
      <c r="O232" s="13"/>
      <c r="P232" s="13"/>
    </row>
    <row r="233">
      <c r="C233" s="24"/>
      <c r="E233" s="13"/>
      <c r="F233" s="13"/>
      <c r="H233" s="24"/>
      <c r="J233" s="13"/>
      <c r="K233" s="13"/>
      <c r="M233" s="24"/>
      <c r="O233" s="13"/>
      <c r="P233" s="13"/>
    </row>
    <row r="234">
      <c r="C234" s="24"/>
      <c r="E234" s="13"/>
      <c r="F234" s="13"/>
      <c r="H234" s="24"/>
      <c r="J234" s="13"/>
      <c r="K234" s="13"/>
      <c r="M234" s="24"/>
      <c r="O234" s="13"/>
      <c r="P234" s="13"/>
    </row>
    <row r="235">
      <c r="C235" s="24"/>
      <c r="E235" s="13"/>
      <c r="F235" s="13"/>
      <c r="H235" s="24"/>
      <c r="J235" s="13"/>
      <c r="K235" s="13"/>
      <c r="M235" s="24"/>
      <c r="O235" s="13"/>
      <c r="P235" s="13"/>
    </row>
    <row r="236">
      <c r="C236" s="24"/>
      <c r="E236" s="13"/>
      <c r="F236" s="13"/>
      <c r="H236" s="24"/>
      <c r="J236" s="13"/>
      <c r="K236" s="13"/>
      <c r="M236" s="24"/>
      <c r="O236" s="13"/>
      <c r="P236" s="13"/>
    </row>
    <row r="237">
      <c r="C237" s="24"/>
      <c r="E237" s="13"/>
      <c r="F237" s="13"/>
      <c r="H237" s="24"/>
      <c r="J237" s="13"/>
      <c r="K237" s="13"/>
      <c r="M237" s="24"/>
      <c r="O237" s="13"/>
      <c r="P237" s="13"/>
    </row>
    <row r="238">
      <c r="C238" s="24"/>
      <c r="E238" s="13"/>
      <c r="F238" s="13"/>
      <c r="H238" s="24"/>
      <c r="J238" s="13"/>
      <c r="K238" s="13"/>
      <c r="M238" s="24"/>
      <c r="O238" s="13"/>
      <c r="P238" s="13"/>
    </row>
    <row r="239">
      <c r="C239" s="24"/>
      <c r="E239" s="13"/>
      <c r="F239" s="13"/>
      <c r="H239" s="24"/>
      <c r="J239" s="13"/>
      <c r="K239" s="13"/>
      <c r="M239" s="24"/>
      <c r="O239" s="13"/>
      <c r="P239" s="13"/>
    </row>
    <row r="240">
      <c r="C240" s="24"/>
      <c r="E240" s="13"/>
      <c r="F240" s="13"/>
      <c r="H240" s="24"/>
      <c r="J240" s="13"/>
      <c r="K240" s="13"/>
      <c r="M240" s="24"/>
      <c r="O240" s="13"/>
      <c r="P240" s="13"/>
    </row>
    <row r="241">
      <c r="C241" s="24"/>
      <c r="E241" s="13"/>
      <c r="F241" s="13"/>
      <c r="H241" s="24"/>
      <c r="J241" s="13"/>
      <c r="K241" s="13"/>
      <c r="M241" s="24"/>
      <c r="O241" s="13"/>
      <c r="P241" s="13"/>
    </row>
    <row r="242">
      <c r="C242" s="24"/>
      <c r="E242" s="13"/>
      <c r="F242" s="13"/>
      <c r="H242" s="24"/>
      <c r="J242" s="13"/>
      <c r="K242" s="13"/>
      <c r="M242" s="24"/>
      <c r="O242" s="13"/>
      <c r="P242" s="13"/>
    </row>
    <row r="243">
      <c r="C243" s="24"/>
      <c r="E243" s="13"/>
      <c r="F243" s="13"/>
      <c r="H243" s="24"/>
      <c r="J243" s="13"/>
      <c r="K243" s="13"/>
      <c r="M243" s="24"/>
      <c r="O243" s="13"/>
      <c r="P243" s="13"/>
    </row>
    <row r="244">
      <c r="C244" s="24"/>
      <c r="E244" s="13"/>
      <c r="F244" s="13"/>
      <c r="H244" s="24"/>
      <c r="J244" s="13"/>
      <c r="K244" s="13"/>
      <c r="M244" s="24"/>
      <c r="O244" s="13"/>
      <c r="P244" s="13"/>
    </row>
    <row r="245">
      <c r="C245" s="24"/>
      <c r="E245" s="13"/>
      <c r="F245" s="13"/>
      <c r="H245" s="24"/>
      <c r="J245" s="13"/>
      <c r="K245" s="13"/>
      <c r="M245" s="24"/>
      <c r="O245" s="13"/>
      <c r="P245" s="13"/>
    </row>
    <row r="246">
      <c r="C246" s="24"/>
      <c r="E246" s="13"/>
      <c r="F246" s="13"/>
      <c r="H246" s="24"/>
      <c r="J246" s="13"/>
      <c r="K246" s="13"/>
      <c r="M246" s="24"/>
      <c r="O246" s="13"/>
      <c r="P246" s="13"/>
    </row>
    <row r="247">
      <c r="C247" s="24"/>
      <c r="E247" s="13"/>
      <c r="F247" s="13"/>
      <c r="H247" s="24"/>
      <c r="J247" s="13"/>
      <c r="K247" s="13"/>
      <c r="M247" s="24"/>
      <c r="O247" s="13"/>
      <c r="P247" s="13"/>
    </row>
    <row r="248">
      <c r="C248" s="24"/>
      <c r="E248" s="13"/>
      <c r="F248" s="13"/>
      <c r="H248" s="24"/>
      <c r="J248" s="13"/>
      <c r="K248" s="13"/>
      <c r="M248" s="24"/>
      <c r="O248" s="13"/>
      <c r="P248" s="13"/>
    </row>
    <row r="249">
      <c r="C249" s="24"/>
      <c r="E249" s="13"/>
      <c r="F249" s="13"/>
      <c r="H249" s="24"/>
      <c r="J249" s="13"/>
      <c r="K249" s="13"/>
      <c r="M249" s="24"/>
      <c r="O249" s="13"/>
      <c r="P249" s="13"/>
    </row>
    <row r="250">
      <c r="C250" s="24"/>
      <c r="E250" s="13"/>
      <c r="F250" s="13"/>
      <c r="H250" s="24"/>
      <c r="J250" s="13"/>
      <c r="K250" s="13"/>
      <c r="M250" s="24"/>
      <c r="O250" s="13"/>
      <c r="P250" s="13"/>
    </row>
    <row r="251">
      <c r="C251" s="24"/>
      <c r="E251" s="13"/>
      <c r="F251" s="13"/>
      <c r="H251" s="24"/>
      <c r="J251" s="13"/>
      <c r="K251" s="13"/>
      <c r="M251" s="24"/>
      <c r="O251" s="13"/>
      <c r="P251" s="13"/>
    </row>
    <row r="252">
      <c r="C252" s="24"/>
      <c r="E252" s="13"/>
      <c r="F252" s="13"/>
      <c r="H252" s="24"/>
      <c r="J252" s="13"/>
      <c r="K252" s="13"/>
      <c r="M252" s="24"/>
      <c r="O252" s="13"/>
      <c r="P252" s="13"/>
    </row>
    <row r="253">
      <c r="C253" s="24"/>
      <c r="E253" s="13"/>
      <c r="F253" s="13"/>
      <c r="H253" s="24"/>
      <c r="J253" s="13"/>
      <c r="K253" s="13"/>
      <c r="M253" s="24"/>
      <c r="O253" s="13"/>
      <c r="P253" s="13"/>
    </row>
    <row r="254">
      <c r="C254" s="24"/>
      <c r="E254" s="13"/>
      <c r="F254" s="13"/>
      <c r="H254" s="24"/>
      <c r="J254" s="13"/>
      <c r="K254" s="13"/>
      <c r="M254" s="24"/>
      <c r="O254" s="13"/>
      <c r="P254" s="13"/>
    </row>
    <row r="255">
      <c r="C255" s="24"/>
      <c r="E255" s="13"/>
      <c r="F255" s="13"/>
      <c r="H255" s="24"/>
      <c r="J255" s="13"/>
      <c r="K255" s="13"/>
      <c r="M255" s="24"/>
      <c r="O255" s="13"/>
      <c r="P255" s="13"/>
    </row>
    <row r="256">
      <c r="C256" s="24"/>
      <c r="E256" s="13"/>
      <c r="F256" s="13"/>
      <c r="H256" s="24"/>
      <c r="J256" s="13"/>
      <c r="K256" s="13"/>
      <c r="M256" s="24"/>
      <c r="O256" s="13"/>
      <c r="P256" s="13"/>
    </row>
    <row r="257">
      <c r="C257" s="24"/>
      <c r="E257" s="13"/>
      <c r="F257" s="13"/>
      <c r="H257" s="24"/>
      <c r="J257" s="13"/>
      <c r="K257" s="13"/>
      <c r="M257" s="24"/>
      <c r="O257" s="13"/>
      <c r="P257" s="13"/>
    </row>
    <row r="258">
      <c r="C258" s="24"/>
      <c r="E258" s="13"/>
      <c r="F258" s="13"/>
      <c r="H258" s="24"/>
      <c r="J258" s="13"/>
      <c r="K258" s="13"/>
      <c r="M258" s="24"/>
      <c r="O258" s="13"/>
      <c r="P258" s="13"/>
    </row>
    <row r="259">
      <c r="C259" s="24"/>
      <c r="E259" s="13"/>
      <c r="F259" s="13"/>
      <c r="H259" s="24"/>
      <c r="J259" s="13"/>
      <c r="K259" s="13"/>
      <c r="M259" s="24"/>
      <c r="O259" s="13"/>
      <c r="P259" s="13"/>
    </row>
    <row r="260">
      <c r="C260" s="24"/>
      <c r="E260" s="13"/>
      <c r="F260" s="13"/>
      <c r="H260" s="24"/>
      <c r="J260" s="13"/>
      <c r="K260" s="13"/>
      <c r="M260" s="24"/>
      <c r="O260" s="13"/>
      <c r="P260" s="13"/>
    </row>
    <row r="261">
      <c r="C261" s="24"/>
      <c r="E261" s="13"/>
      <c r="F261" s="13"/>
      <c r="H261" s="24"/>
      <c r="J261" s="13"/>
      <c r="K261" s="13"/>
      <c r="M261" s="24"/>
      <c r="O261" s="13"/>
      <c r="P261" s="13"/>
    </row>
    <row r="262">
      <c r="C262" s="24"/>
      <c r="E262" s="13"/>
      <c r="F262" s="13"/>
      <c r="H262" s="24"/>
      <c r="J262" s="13"/>
      <c r="K262" s="13"/>
      <c r="M262" s="24"/>
      <c r="O262" s="13"/>
      <c r="P262" s="13"/>
    </row>
    <row r="263">
      <c r="C263" s="24"/>
      <c r="E263" s="13"/>
      <c r="F263" s="13"/>
      <c r="H263" s="24"/>
      <c r="J263" s="13"/>
      <c r="K263" s="13"/>
      <c r="M263" s="24"/>
      <c r="O263" s="13"/>
      <c r="P263" s="13"/>
    </row>
    <row r="264">
      <c r="C264" s="24"/>
      <c r="E264" s="13"/>
      <c r="F264" s="13"/>
      <c r="H264" s="24"/>
      <c r="J264" s="13"/>
      <c r="K264" s="13"/>
      <c r="M264" s="24"/>
      <c r="O264" s="13"/>
      <c r="P264" s="13"/>
    </row>
    <row r="265">
      <c r="C265" s="24"/>
      <c r="E265" s="13"/>
      <c r="F265" s="13"/>
      <c r="H265" s="24"/>
      <c r="J265" s="13"/>
      <c r="K265" s="13"/>
      <c r="M265" s="24"/>
      <c r="O265" s="13"/>
      <c r="P265" s="13"/>
    </row>
    <row r="266">
      <c r="C266" s="24"/>
      <c r="E266" s="13"/>
      <c r="F266" s="13"/>
      <c r="H266" s="24"/>
      <c r="J266" s="13"/>
      <c r="K266" s="13"/>
      <c r="M266" s="24"/>
      <c r="O266" s="13"/>
      <c r="P266" s="13"/>
    </row>
    <row r="267">
      <c r="C267" s="24"/>
      <c r="E267" s="13"/>
      <c r="F267" s="13"/>
      <c r="H267" s="24"/>
      <c r="J267" s="13"/>
      <c r="K267" s="13"/>
      <c r="M267" s="24"/>
      <c r="O267" s="13"/>
      <c r="P267" s="13"/>
    </row>
    <row r="268">
      <c r="C268" s="24"/>
      <c r="E268" s="13"/>
      <c r="F268" s="13"/>
      <c r="H268" s="24"/>
      <c r="J268" s="13"/>
      <c r="K268" s="13"/>
      <c r="M268" s="24"/>
      <c r="O268" s="13"/>
      <c r="P268" s="13"/>
    </row>
    <row r="269">
      <c r="C269" s="24"/>
      <c r="E269" s="13"/>
      <c r="F269" s="13"/>
      <c r="H269" s="24"/>
      <c r="J269" s="13"/>
      <c r="K269" s="13"/>
      <c r="M269" s="24"/>
      <c r="O269" s="13"/>
      <c r="P269" s="13"/>
    </row>
    <row r="270">
      <c r="C270" s="24"/>
      <c r="E270" s="13"/>
      <c r="F270" s="13"/>
      <c r="H270" s="24"/>
      <c r="J270" s="13"/>
      <c r="K270" s="13"/>
      <c r="M270" s="24"/>
      <c r="O270" s="13"/>
      <c r="P270" s="13"/>
    </row>
    <row r="271">
      <c r="C271" s="24"/>
      <c r="E271" s="13"/>
      <c r="F271" s="13"/>
      <c r="H271" s="24"/>
      <c r="J271" s="13"/>
      <c r="K271" s="13"/>
      <c r="M271" s="24"/>
      <c r="O271" s="13"/>
      <c r="P271" s="13"/>
    </row>
    <row r="272">
      <c r="C272" s="24"/>
      <c r="E272" s="13"/>
      <c r="F272" s="13"/>
      <c r="H272" s="24"/>
      <c r="J272" s="13"/>
      <c r="K272" s="13"/>
      <c r="M272" s="24"/>
      <c r="O272" s="13"/>
      <c r="P272" s="13"/>
    </row>
    <row r="273">
      <c r="C273" s="24"/>
      <c r="E273" s="13"/>
      <c r="F273" s="13"/>
      <c r="H273" s="24"/>
      <c r="J273" s="13"/>
      <c r="K273" s="13"/>
      <c r="M273" s="24"/>
      <c r="O273" s="13"/>
      <c r="P273" s="13"/>
    </row>
    <row r="274">
      <c r="C274" s="24"/>
      <c r="E274" s="13"/>
      <c r="F274" s="13"/>
      <c r="H274" s="24"/>
      <c r="J274" s="13"/>
      <c r="K274" s="13"/>
      <c r="M274" s="24"/>
      <c r="O274" s="13"/>
      <c r="P274" s="13"/>
    </row>
    <row r="275">
      <c r="C275" s="24"/>
      <c r="E275" s="13"/>
      <c r="F275" s="13"/>
      <c r="H275" s="24"/>
      <c r="J275" s="13"/>
      <c r="K275" s="13"/>
      <c r="M275" s="24"/>
      <c r="O275" s="13"/>
      <c r="P275" s="13"/>
    </row>
    <row r="276">
      <c r="C276" s="24"/>
      <c r="E276" s="13"/>
      <c r="F276" s="13"/>
      <c r="H276" s="24"/>
      <c r="J276" s="13"/>
      <c r="K276" s="13"/>
      <c r="M276" s="24"/>
      <c r="O276" s="13"/>
      <c r="P276" s="13"/>
    </row>
    <row r="277">
      <c r="C277" s="24"/>
      <c r="E277" s="13"/>
      <c r="F277" s="13"/>
      <c r="H277" s="24"/>
      <c r="J277" s="13"/>
      <c r="K277" s="13"/>
      <c r="M277" s="24"/>
      <c r="O277" s="13"/>
      <c r="P277" s="13"/>
    </row>
    <row r="278">
      <c r="C278" s="24"/>
      <c r="E278" s="13"/>
      <c r="F278" s="13"/>
      <c r="H278" s="24"/>
      <c r="J278" s="13"/>
      <c r="K278" s="13"/>
      <c r="M278" s="24"/>
      <c r="O278" s="13"/>
      <c r="P278" s="13"/>
    </row>
    <row r="279">
      <c r="C279" s="24"/>
      <c r="E279" s="13"/>
      <c r="F279" s="13"/>
      <c r="H279" s="24"/>
      <c r="J279" s="13"/>
      <c r="K279" s="13"/>
      <c r="M279" s="24"/>
      <c r="O279" s="13"/>
      <c r="P279" s="13"/>
    </row>
    <row r="280">
      <c r="C280" s="24"/>
      <c r="E280" s="13"/>
      <c r="F280" s="13"/>
      <c r="H280" s="24"/>
      <c r="J280" s="13"/>
      <c r="K280" s="13"/>
      <c r="M280" s="24"/>
      <c r="O280" s="13"/>
      <c r="P280" s="13"/>
    </row>
    <row r="281">
      <c r="C281" s="24"/>
      <c r="E281" s="13"/>
      <c r="F281" s="13"/>
      <c r="H281" s="24"/>
      <c r="J281" s="13"/>
      <c r="K281" s="13"/>
      <c r="M281" s="24"/>
      <c r="O281" s="13"/>
      <c r="P281" s="13"/>
    </row>
    <row r="282">
      <c r="C282" s="24"/>
      <c r="E282" s="13"/>
      <c r="F282" s="13"/>
      <c r="H282" s="24"/>
      <c r="J282" s="13"/>
      <c r="K282" s="13"/>
      <c r="M282" s="24"/>
      <c r="O282" s="13"/>
      <c r="P282" s="13"/>
    </row>
    <row r="283">
      <c r="C283" s="24"/>
      <c r="E283" s="13"/>
      <c r="F283" s="13"/>
      <c r="H283" s="24"/>
      <c r="J283" s="13"/>
      <c r="K283" s="13"/>
      <c r="M283" s="24"/>
      <c r="O283" s="13"/>
      <c r="P283" s="13"/>
    </row>
    <row r="284">
      <c r="C284" s="24"/>
      <c r="E284" s="13"/>
      <c r="F284" s="13"/>
      <c r="H284" s="24"/>
      <c r="J284" s="13"/>
      <c r="K284" s="13"/>
      <c r="M284" s="24"/>
      <c r="O284" s="13"/>
      <c r="P284" s="13"/>
    </row>
    <row r="285">
      <c r="C285" s="24"/>
      <c r="E285" s="13"/>
      <c r="F285" s="13"/>
      <c r="H285" s="24"/>
      <c r="J285" s="13"/>
      <c r="K285" s="13"/>
      <c r="M285" s="24"/>
      <c r="O285" s="13"/>
      <c r="P285" s="13"/>
    </row>
    <row r="286">
      <c r="C286" s="24"/>
      <c r="E286" s="13"/>
      <c r="F286" s="13"/>
      <c r="H286" s="24"/>
      <c r="J286" s="13"/>
      <c r="K286" s="13"/>
      <c r="M286" s="24"/>
      <c r="O286" s="13"/>
      <c r="P286" s="13"/>
    </row>
    <row r="287">
      <c r="C287" s="24"/>
      <c r="E287" s="13"/>
      <c r="F287" s="13"/>
      <c r="H287" s="24"/>
      <c r="J287" s="13"/>
      <c r="K287" s="13"/>
      <c r="M287" s="24"/>
      <c r="O287" s="13"/>
      <c r="P287" s="13"/>
    </row>
    <row r="288">
      <c r="C288" s="24"/>
      <c r="E288" s="13"/>
      <c r="F288" s="13"/>
      <c r="H288" s="24"/>
      <c r="J288" s="13"/>
      <c r="K288" s="13"/>
      <c r="M288" s="24"/>
      <c r="O288" s="13"/>
      <c r="P288" s="13"/>
    </row>
    <row r="289">
      <c r="C289" s="24"/>
      <c r="E289" s="13"/>
      <c r="F289" s="13"/>
      <c r="H289" s="24"/>
      <c r="J289" s="13"/>
      <c r="K289" s="13"/>
      <c r="M289" s="24"/>
      <c r="O289" s="13"/>
      <c r="P289" s="13"/>
    </row>
    <row r="290">
      <c r="C290" s="24"/>
      <c r="E290" s="13"/>
      <c r="F290" s="13"/>
      <c r="H290" s="24"/>
      <c r="J290" s="13"/>
      <c r="K290" s="13"/>
      <c r="M290" s="24"/>
      <c r="O290" s="13"/>
      <c r="P290" s="13"/>
    </row>
    <row r="291">
      <c r="C291" s="24"/>
      <c r="E291" s="13"/>
      <c r="F291" s="13"/>
      <c r="H291" s="24"/>
      <c r="J291" s="13"/>
      <c r="K291" s="13"/>
      <c r="M291" s="24"/>
      <c r="O291" s="13"/>
      <c r="P291" s="13"/>
    </row>
    <row r="292">
      <c r="C292" s="24"/>
      <c r="E292" s="13"/>
      <c r="F292" s="13"/>
      <c r="H292" s="24"/>
      <c r="J292" s="13"/>
      <c r="K292" s="13"/>
      <c r="M292" s="24"/>
      <c r="O292" s="13"/>
      <c r="P292" s="13"/>
    </row>
    <row r="293">
      <c r="C293" s="24"/>
      <c r="E293" s="13"/>
      <c r="F293" s="13"/>
      <c r="H293" s="24"/>
      <c r="J293" s="13"/>
      <c r="K293" s="13"/>
      <c r="M293" s="24"/>
      <c r="O293" s="13"/>
      <c r="P293" s="13"/>
    </row>
    <row r="294">
      <c r="C294" s="24"/>
      <c r="E294" s="13"/>
      <c r="F294" s="13"/>
      <c r="H294" s="24"/>
      <c r="J294" s="13"/>
      <c r="K294" s="13"/>
      <c r="M294" s="24"/>
      <c r="O294" s="13"/>
      <c r="P294" s="13"/>
    </row>
    <row r="295">
      <c r="C295" s="24"/>
      <c r="E295" s="13"/>
      <c r="F295" s="13"/>
      <c r="H295" s="24"/>
      <c r="J295" s="13"/>
      <c r="K295" s="13"/>
      <c r="M295" s="24"/>
      <c r="O295" s="13"/>
      <c r="P295" s="13"/>
    </row>
    <row r="296">
      <c r="C296" s="24"/>
      <c r="E296" s="13"/>
      <c r="F296" s="13"/>
      <c r="H296" s="24"/>
      <c r="J296" s="13"/>
      <c r="K296" s="13"/>
      <c r="M296" s="24"/>
      <c r="O296" s="13"/>
      <c r="P296" s="13"/>
    </row>
    <row r="297">
      <c r="C297" s="24"/>
      <c r="E297" s="13"/>
      <c r="F297" s="13"/>
      <c r="H297" s="24"/>
      <c r="J297" s="13"/>
      <c r="K297" s="13"/>
      <c r="M297" s="24"/>
      <c r="O297" s="13"/>
      <c r="P297" s="13"/>
    </row>
    <row r="298">
      <c r="C298" s="24"/>
      <c r="E298" s="13"/>
      <c r="F298" s="13"/>
      <c r="H298" s="24"/>
      <c r="J298" s="13"/>
      <c r="K298" s="13"/>
      <c r="M298" s="24"/>
      <c r="O298" s="13"/>
      <c r="P298" s="13"/>
    </row>
    <row r="299">
      <c r="C299" s="24"/>
      <c r="E299" s="13"/>
      <c r="F299" s="13"/>
      <c r="H299" s="24"/>
      <c r="J299" s="13"/>
      <c r="K299" s="13"/>
      <c r="M299" s="24"/>
      <c r="O299" s="13"/>
      <c r="P299" s="13"/>
    </row>
    <row r="300">
      <c r="C300" s="24"/>
      <c r="E300" s="13"/>
      <c r="F300" s="13"/>
      <c r="H300" s="24"/>
      <c r="J300" s="13"/>
      <c r="K300" s="13"/>
      <c r="M300" s="24"/>
      <c r="O300" s="13"/>
      <c r="P300" s="13"/>
    </row>
    <row r="301">
      <c r="C301" s="24"/>
      <c r="E301" s="13"/>
      <c r="F301" s="13"/>
      <c r="H301" s="24"/>
      <c r="J301" s="13"/>
      <c r="K301" s="13"/>
      <c r="M301" s="24"/>
      <c r="O301" s="13"/>
      <c r="P301" s="13"/>
    </row>
    <row r="302">
      <c r="C302" s="24"/>
      <c r="E302" s="13"/>
      <c r="F302" s="13"/>
      <c r="H302" s="24"/>
      <c r="J302" s="13"/>
      <c r="K302" s="13"/>
      <c r="M302" s="24"/>
      <c r="O302" s="13"/>
      <c r="P302" s="13"/>
    </row>
    <row r="303">
      <c r="C303" s="24"/>
      <c r="E303" s="13"/>
      <c r="F303" s="13"/>
      <c r="H303" s="24"/>
      <c r="J303" s="13"/>
      <c r="K303" s="13"/>
      <c r="M303" s="24"/>
      <c r="O303" s="13"/>
      <c r="P303" s="13"/>
    </row>
    <row r="304">
      <c r="C304" s="24"/>
      <c r="E304" s="13"/>
      <c r="F304" s="13"/>
      <c r="H304" s="24"/>
      <c r="J304" s="13"/>
      <c r="K304" s="13"/>
      <c r="M304" s="24"/>
      <c r="O304" s="13"/>
      <c r="P304" s="13"/>
    </row>
    <row r="305">
      <c r="C305" s="24"/>
      <c r="E305" s="13"/>
      <c r="F305" s="13"/>
      <c r="H305" s="24"/>
      <c r="J305" s="13"/>
      <c r="K305" s="13"/>
      <c r="M305" s="24"/>
      <c r="O305" s="13"/>
      <c r="P305" s="13"/>
    </row>
    <row r="306">
      <c r="C306" s="24"/>
      <c r="E306" s="13"/>
      <c r="F306" s="13"/>
      <c r="H306" s="24"/>
      <c r="J306" s="13"/>
      <c r="K306" s="13"/>
      <c r="M306" s="24"/>
      <c r="O306" s="13"/>
      <c r="P306" s="13"/>
    </row>
    <row r="307">
      <c r="C307" s="24"/>
      <c r="E307" s="13"/>
      <c r="F307" s="13"/>
      <c r="H307" s="24"/>
      <c r="J307" s="13"/>
      <c r="K307" s="13"/>
      <c r="M307" s="24"/>
      <c r="O307" s="13"/>
      <c r="P307" s="13"/>
    </row>
    <row r="308">
      <c r="C308" s="24"/>
      <c r="E308" s="13"/>
      <c r="F308" s="13"/>
      <c r="H308" s="24"/>
      <c r="J308" s="13"/>
      <c r="K308" s="13"/>
      <c r="M308" s="24"/>
      <c r="O308" s="13"/>
      <c r="P308" s="13"/>
    </row>
    <row r="309">
      <c r="C309" s="24"/>
      <c r="E309" s="13"/>
      <c r="F309" s="13"/>
      <c r="H309" s="24"/>
      <c r="J309" s="13"/>
      <c r="K309" s="13"/>
      <c r="M309" s="24"/>
      <c r="O309" s="13"/>
      <c r="P309" s="13"/>
    </row>
    <row r="310">
      <c r="C310" s="24"/>
      <c r="E310" s="13"/>
      <c r="F310" s="13"/>
      <c r="H310" s="24"/>
      <c r="J310" s="13"/>
      <c r="K310" s="13"/>
      <c r="M310" s="24"/>
      <c r="O310" s="13"/>
      <c r="P310" s="13"/>
    </row>
    <row r="311">
      <c r="C311" s="24"/>
      <c r="E311" s="13"/>
      <c r="F311" s="13"/>
      <c r="H311" s="24"/>
      <c r="J311" s="13"/>
      <c r="K311" s="13"/>
      <c r="M311" s="24"/>
      <c r="O311" s="13"/>
      <c r="P311" s="13"/>
    </row>
    <row r="312">
      <c r="C312" s="24"/>
      <c r="E312" s="13"/>
      <c r="F312" s="13"/>
      <c r="H312" s="24"/>
      <c r="J312" s="13"/>
      <c r="K312" s="13"/>
      <c r="M312" s="24"/>
      <c r="O312" s="13"/>
      <c r="P312" s="13"/>
    </row>
    <row r="313">
      <c r="C313" s="24"/>
      <c r="E313" s="13"/>
      <c r="F313" s="13"/>
      <c r="H313" s="24"/>
      <c r="J313" s="13"/>
      <c r="K313" s="13"/>
      <c r="M313" s="24"/>
      <c r="O313" s="13"/>
      <c r="P313" s="13"/>
    </row>
    <row r="314">
      <c r="C314" s="24"/>
      <c r="E314" s="13"/>
      <c r="F314" s="13"/>
      <c r="H314" s="24"/>
      <c r="J314" s="13"/>
      <c r="K314" s="13"/>
      <c r="M314" s="24"/>
      <c r="O314" s="13"/>
      <c r="P314" s="13"/>
    </row>
    <row r="315">
      <c r="C315" s="24"/>
      <c r="E315" s="13"/>
      <c r="F315" s="13"/>
      <c r="H315" s="24"/>
      <c r="J315" s="13"/>
      <c r="K315" s="13"/>
      <c r="M315" s="24"/>
      <c r="O315" s="13"/>
      <c r="P315" s="13"/>
    </row>
    <row r="316">
      <c r="C316" s="24"/>
      <c r="E316" s="13"/>
      <c r="F316" s="13"/>
      <c r="H316" s="24"/>
      <c r="J316" s="13"/>
      <c r="K316" s="13"/>
      <c r="M316" s="24"/>
      <c r="O316" s="13"/>
      <c r="P316" s="13"/>
    </row>
    <row r="317">
      <c r="C317" s="24"/>
      <c r="E317" s="13"/>
      <c r="F317" s="13"/>
      <c r="H317" s="24"/>
      <c r="J317" s="13"/>
      <c r="K317" s="13"/>
      <c r="M317" s="24"/>
      <c r="O317" s="13"/>
      <c r="P317" s="13"/>
    </row>
    <row r="318">
      <c r="C318" s="24"/>
      <c r="E318" s="13"/>
      <c r="F318" s="13"/>
      <c r="H318" s="24"/>
      <c r="J318" s="13"/>
      <c r="K318" s="13"/>
      <c r="M318" s="24"/>
      <c r="O318" s="13"/>
      <c r="P318" s="13"/>
    </row>
    <row r="319">
      <c r="C319" s="24"/>
      <c r="E319" s="13"/>
      <c r="F319" s="13"/>
      <c r="H319" s="24"/>
      <c r="J319" s="13"/>
      <c r="K319" s="13"/>
      <c r="M319" s="24"/>
      <c r="O319" s="13"/>
      <c r="P319" s="13"/>
    </row>
    <row r="320">
      <c r="C320" s="24"/>
      <c r="E320" s="13"/>
      <c r="F320" s="13"/>
      <c r="H320" s="24"/>
      <c r="J320" s="13"/>
      <c r="K320" s="13"/>
      <c r="M320" s="24"/>
      <c r="O320" s="13"/>
      <c r="P320" s="13"/>
    </row>
    <row r="321">
      <c r="C321" s="24"/>
      <c r="E321" s="13"/>
      <c r="F321" s="13"/>
      <c r="H321" s="24"/>
      <c r="J321" s="13"/>
      <c r="K321" s="13"/>
      <c r="M321" s="24"/>
      <c r="O321" s="13"/>
      <c r="P321" s="13"/>
    </row>
    <row r="322">
      <c r="C322" s="24"/>
      <c r="E322" s="13"/>
      <c r="F322" s="13"/>
      <c r="H322" s="24"/>
      <c r="J322" s="13"/>
      <c r="K322" s="13"/>
      <c r="M322" s="24"/>
      <c r="O322" s="13"/>
      <c r="P322" s="13"/>
    </row>
    <row r="323">
      <c r="C323" s="24"/>
      <c r="E323" s="13"/>
      <c r="F323" s="13"/>
      <c r="H323" s="24"/>
      <c r="J323" s="13"/>
      <c r="K323" s="13"/>
      <c r="M323" s="24"/>
      <c r="O323" s="13"/>
      <c r="P323" s="13"/>
    </row>
    <row r="324">
      <c r="C324" s="24"/>
      <c r="E324" s="13"/>
      <c r="F324" s="13"/>
      <c r="H324" s="24"/>
      <c r="J324" s="13"/>
      <c r="K324" s="13"/>
      <c r="M324" s="24"/>
      <c r="O324" s="13"/>
      <c r="P324" s="13"/>
    </row>
    <row r="325">
      <c r="C325" s="24"/>
      <c r="E325" s="13"/>
      <c r="F325" s="13"/>
      <c r="H325" s="24"/>
      <c r="J325" s="13"/>
      <c r="K325" s="13"/>
      <c r="M325" s="24"/>
      <c r="O325" s="13"/>
      <c r="P325" s="13"/>
    </row>
    <row r="326">
      <c r="C326" s="24"/>
      <c r="E326" s="13"/>
      <c r="F326" s="13"/>
      <c r="H326" s="24"/>
      <c r="J326" s="13"/>
      <c r="K326" s="13"/>
      <c r="M326" s="24"/>
      <c r="O326" s="13"/>
      <c r="P326" s="13"/>
    </row>
    <row r="327">
      <c r="C327" s="24"/>
      <c r="E327" s="13"/>
      <c r="F327" s="13"/>
      <c r="H327" s="24"/>
      <c r="J327" s="13"/>
      <c r="K327" s="13"/>
      <c r="M327" s="24"/>
      <c r="O327" s="13"/>
      <c r="P327" s="13"/>
    </row>
    <row r="328">
      <c r="C328" s="24"/>
      <c r="E328" s="13"/>
      <c r="F328" s="13"/>
      <c r="H328" s="24"/>
      <c r="J328" s="13"/>
      <c r="K328" s="13"/>
      <c r="M328" s="24"/>
      <c r="O328" s="13"/>
      <c r="P328" s="13"/>
    </row>
    <row r="329">
      <c r="C329" s="24"/>
      <c r="E329" s="13"/>
      <c r="F329" s="13"/>
      <c r="H329" s="24"/>
      <c r="J329" s="13"/>
      <c r="K329" s="13"/>
      <c r="M329" s="24"/>
      <c r="O329" s="13"/>
      <c r="P329" s="13"/>
    </row>
    <row r="330">
      <c r="C330" s="24"/>
      <c r="E330" s="13"/>
      <c r="F330" s="13"/>
      <c r="H330" s="24"/>
      <c r="J330" s="13"/>
      <c r="K330" s="13"/>
      <c r="M330" s="24"/>
      <c r="O330" s="13"/>
      <c r="P330" s="13"/>
    </row>
    <row r="331">
      <c r="C331" s="24"/>
      <c r="E331" s="13"/>
      <c r="F331" s="13"/>
      <c r="H331" s="24"/>
      <c r="J331" s="13"/>
      <c r="K331" s="13"/>
      <c r="M331" s="24"/>
      <c r="O331" s="13"/>
      <c r="P331" s="13"/>
    </row>
    <row r="332">
      <c r="C332" s="24"/>
      <c r="E332" s="13"/>
      <c r="F332" s="13"/>
      <c r="H332" s="24"/>
      <c r="J332" s="13"/>
      <c r="K332" s="13"/>
      <c r="M332" s="24"/>
      <c r="O332" s="13"/>
      <c r="P332" s="13"/>
    </row>
    <row r="333">
      <c r="C333" s="24"/>
      <c r="E333" s="13"/>
      <c r="F333" s="13"/>
      <c r="H333" s="24"/>
      <c r="J333" s="13"/>
      <c r="K333" s="13"/>
      <c r="M333" s="24"/>
      <c r="O333" s="13"/>
      <c r="P333" s="13"/>
    </row>
    <row r="334">
      <c r="C334" s="24"/>
      <c r="E334" s="13"/>
      <c r="F334" s="13"/>
      <c r="H334" s="24"/>
      <c r="J334" s="13"/>
      <c r="K334" s="13"/>
      <c r="M334" s="24"/>
      <c r="O334" s="13"/>
      <c r="P334" s="13"/>
    </row>
    <row r="335">
      <c r="C335" s="24"/>
      <c r="E335" s="13"/>
      <c r="F335" s="13"/>
      <c r="H335" s="24"/>
      <c r="J335" s="13"/>
      <c r="K335" s="13"/>
      <c r="M335" s="24"/>
      <c r="O335" s="13"/>
      <c r="P335" s="13"/>
    </row>
    <row r="336">
      <c r="C336" s="24"/>
      <c r="E336" s="13"/>
      <c r="F336" s="13"/>
      <c r="H336" s="24"/>
      <c r="J336" s="13"/>
      <c r="K336" s="13"/>
      <c r="M336" s="24"/>
      <c r="O336" s="13"/>
      <c r="P336" s="13"/>
    </row>
    <row r="337">
      <c r="C337" s="24"/>
      <c r="E337" s="13"/>
      <c r="F337" s="13"/>
      <c r="H337" s="24"/>
      <c r="J337" s="13"/>
      <c r="K337" s="13"/>
      <c r="M337" s="24"/>
      <c r="O337" s="13"/>
      <c r="P337" s="13"/>
    </row>
    <row r="338">
      <c r="C338" s="24"/>
      <c r="E338" s="13"/>
      <c r="F338" s="13"/>
      <c r="H338" s="24"/>
      <c r="J338" s="13"/>
      <c r="K338" s="13"/>
      <c r="M338" s="24"/>
      <c r="O338" s="13"/>
      <c r="P338" s="13"/>
    </row>
    <row r="339">
      <c r="C339" s="24"/>
      <c r="E339" s="13"/>
      <c r="F339" s="13"/>
      <c r="H339" s="24"/>
      <c r="J339" s="13"/>
      <c r="K339" s="13"/>
      <c r="M339" s="24"/>
      <c r="O339" s="13"/>
      <c r="P339" s="13"/>
    </row>
    <row r="340">
      <c r="C340" s="24"/>
      <c r="E340" s="13"/>
      <c r="F340" s="13"/>
      <c r="H340" s="24"/>
      <c r="J340" s="13"/>
      <c r="K340" s="13"/>
      <c r="M340" s="24"/>
      <c r="O340" s="13"/>
      <c r="P340" s="13"/>
    </row>
    <row r="341">
      <c r="C341" s="24"/>
      <c r="E341" s="13"/>
      <c r="F341" s="13"/>
      <c r="H341" s="24"/>
      <c r="J341" s="13"/>
      <c r="K341" s="13"/>
      <c r="M341" s="24"/>
      <c r="O341" s="13"/>
      <c r="P341" s="13"/>
    </row>
    <row r="342">
      <c r="C342" s="24"/>
      <c r="E342" s="13"/>
      <c r="F342" s="13"/>
      <c r="H342" s="24"/>
      <c r="J342" s="13"/>
      <c r="K342" s="13"/>
      <c r="M342" s="24"/>
      <c r="O342" s="13"/>
      <c r="P342" s="13"/>
    </row>
    <row r="343">
      <c r="C343" s="24"/>
      <c r="E343" s="13"/>
      <c r="F343" s="13"/>
      <c r="H343" s="24"/>
      <c r="J343" s="13"/>
      <c r="K343" s="13"/>
      <c r="M343" s="24"/>
      <c r="O343" s="13"/>
      <c r="P343" s="13"/>
    </row>
    <row r="344">
      <c r="C344" s="24"/>
      <c r="E344" s="13"/>
      <c r="F344" s="13"/>
      <c r="H344" s="24"/>
      <c r="J344" s="13"/>
      <c r="K344" s="13"/>
      <c r="M344" s="24"/>
      <c r="O344" s="13"/>
      <c r="P344" s="13"/>
    </row>
    <row r="345">
      <c r="C345" s="24"/>
      <c r="E345" s="13"/>
      <c r="F345" s="13"/>
      <c r="H345" s="24"/>
      <c r="J345" s="13"/>
      <c r="K345" s="13"/>
      <c r="M345" s="24"/>
      <c r="O345" s="13"/>
      <c r="P345" s="13"/>
    </row>
    <row r="346">
      <c r="C346" s="24"/>
      <c r="E346" s="13"/>
      <c r="F346" s="13"/>
      <c r="H346" s="24"/>
      <c r="J346" s="13"/>
      <c r="K346" s="13"/>
      <c r="M346" s="24"/>
      <c r="O346" s="13"/>
      <c r="P346" s="13"/>
    </row>
    <row r="347">
      <c r="C347" s="24"/>
      <c r="E347" s="13"/>
      <c r="F347" s="13"/>
      <c r="H347" s="24"/>
      <c r="J347" s="13"/>
      <c r="K347" s="13"/>
      <c r="M347" s="24"/>
      <c r="O347" s="13"/>
      <c r="P347" s="13"/>
    </row>
    <row r="348">
      <c r="C348" s="24"/>
      <c r="E348" s="13"/>
      <c r="F348" s="13"/>
      <c r="H348" s="24"/>
      <c r="J348" s="13"/>
      <c r="K348" s="13"/>
      <c r="M348" s="24"/>
      <c r="O348" s="13"/>
      <c r="P348" s="13"/>
    </row>
    <row r="349">
      <c r="C349" s="24"/>
      <c r="E349" s="13"/>
      <c r="F349" s="13"/>
      <c r="H349" s="24"/>
      <c r="J349" s="13"/>
      <c r="K349" s="13"/>
      <c r="M349" s="24"/>
      <c r="O349" s="13"/>
      <c r="P349" s="13"/>
    </row>
    <row r="350">
      <c r="C350" s="24"/>
      <c r="E350" s="13"/>
      <c r="F350" s="13"/>
      <c r="H350" s="24"/>
      <c r="J350" s="13"/>
      <c r="K350" s="13"/>
      <c r="M350" s="24"/>
      <c r="O350" s="13"/>
      <c r="P350" s="13"/>
    </row>
    <row r="351">
      <c r="C351" s="24"/>
      <c r="E351" s="13"/>
      <c r="F351" s="13"/>
      <c r="H351" s="24"/>
      <c r="J351" s="13"/>
      <c r="K351" s="13"/>
      <c r="M351" s="24"/>
      <c r="O351" s="13"/>
      <c r="P351" s="13"/>
    </row>
    <row r="352">
      <c r="C352" s="24"/>
      <c r="E352" s="13"/>
      <c r="F352" s="13"/>
      <c r="H352" s="24"/>
      <c r="J352" s="13"/>
      <c r="K352" s="13"/>
      <c r="M352" s="24"/>
      <c r="O352" s="13"/>
      <c r="P352" s="13"/>
    </row>
    <row r="353">
      <c r="C353" s="24"/>
      <c r="E353" s="13"/>
      <c r="F353" s="13"/>
      <c r="H353" s="24"/>
      <c r="J353" s="13"/>
      <c r="K353" s="13"/>
      <c r="M353" s="24"/>
      <c r="O353" s="13"/>
      <c r="P353" s="13"/>
    </row>
    <row r="354">
      <c r="C354" s="24"/>
      <c r="E354" s="13"/>
      <c r="F354" s="13"/>
      <c r="H354" s="24"/>
      <c r="J354" s="13"/>
      <c r="K354" s="13"/>
      <c r="M354" s="24"/>
      <c r="O354" s="13"/>
      <c r="P354" s="13"/>
    </row>
    <row r="355">
      <c r="C355" s="24"/>
      <c r="E355" s="13"/>
      <c r="F355" s="13"/>
      <c r="H355" s="24"/>
      <c r="J355" s="13"/>
      <c r="K355" s="13"/>
      <c r="M355" s="24"/>
      <c r="O355" s="13"/>
      <c r="P355" s="13"/>
    </row>
    <row r="356">
      <c r="C356" s="24"/>
      <c r="E356" s="13"/>
      <c r="F356" s="13"/>
      <c r="H356" s="24"/>
      <c r="J356" s="13"/>
      <c r="K356" s="13"/>
      <c r="M356" s="24"/>
      <c r="O356" s="13"/>
      <c r="P356" s="13"/>
    </row>
    <row r="357">
      <c r="C357" s="24"/>
      <c r="E357" s="13"/>
      <c r="F357" s="13"/>
      <c r="H357" s="24"/>
      <c r="J357" s="13"/>
      <c r="K357" s="13"/>
      <c r="M357" s="24"/>
      <c r="O357" s="13"/>
      <c r="P357" s="13"/>
    </row>
    <row r="358">
      <c r="C358" s="24"/>
      <c r="E358" s="13"/>
      <c r="F358" s="13"/>
      <c r="H358" s="24"/>
      <c r="J358" s="13"/>
      <c r="K358" s="13"/>
      <c r="M358" s="24"/>
      <c r="O358" s="13"/>
      <c r="P358" s="13"/>
    </row>
    <row r="359">
      <c r="C359" s="24"/>
      <c r="E359" s="13"/>
      <c r="F359" s="13"/>
      <c r="H359" s="24"/>
      <c r="J359" s="13"/>
      <c r="K359" s="13"/>
      <c r="M359" s="24"/>
      <c r="O359" s="13"/>
      <c r="P359" s="13"/>
    </row>
    <row r="360">
      <c r="C360" s="24"/>
      <c r="E360" s="13"/>
      <c r="F360" s="13"/>
      <c r="H360" s="24"/>
      <c r="J360" s="13"/>
      <c r="K360" s="13"/>
      <c r="M360" s="24"/>
      <c r="O360" s="13"/>
      <c r="P360" s="13"/>
    </row>
    <row r="361">
      <c r="C361" s="24"/>
      <c r="E361" s="13"/>
      <c r="F361" s="13"/>
      <c r="H361" s="24"/>
      <c r="J361" s="13"/>
      <c r="K361" s="13"/>
      <c r="M361" s="24"/>
      <c r="O361" s="13"/>
      <c r="P361" s="13"/>
    </row>
    <row r="362">
      <c r="C362" s="24"/>
      <c r="E362" s="13"/>
      <c r="F362" s="13"/>
      <c r="H362" s="24"/>
      <c r="J362" s="13"/>
      <c r="K362" s="13"/>
      <c r="M362" s="24"/>
      <c r="O362" s="13"/>
      <c r="P362" s="13"/>
    </row>
    <row r="363">
      <c r="C363" s="24"/>
      <c r="E363" s="13"/>
      <c r="F363" s="13"/>
      <c r="H363" s="24"/>
      <c r="J363" s="13"/>
      <c r="K363" s="13"/>
      <c r="M363" s="24"/>
      <c r="O363" s="13"/>
      <c r="P363" s="13"/>
    </row>
    <row r="364">
      <c r="C364" s="24"/>
      <c r="E364" s="13"/>
      <c r="F364" s="13"/>
      <c r="H364" s="24"/>
      <c r="J364" s="13"/>
      <c r="K364" s="13"/>
      <c r="M364" s="24"/>
      <c r="O364" s="13"/>
      <c r="P364" s="13"/>
    </row>
    <row r="365">
      <c r="C365" s="24"/>
      <c r="E365" s="13"/>
      <c r="F365" s="13"/>
      <c r="H365" s="24"/>
      <c r="J365" s="13"/>
      <c r="K365" s="13"/>
      <c r="M365" s="24"/>
      <c r="O365" s="13"/>
      <c r="P365" s="13"/>
    </row>
    <row r="366">
      <c r="C366" s="24"/>
      <c r="E366" s="13"/>
      <c r="F366" s="13"/>
      <c r="H366" s="24"/>
      <c r="J366" s="13"/>
      <c r="K366" s="13"/>
      <c r="M366" s="24"/>
      <c r="O366" s="13"/>
      <c r="P366" s="13"/>
    </row>
    <row r="367">
      <c r="C367" s="24"/>
      <c r="E367" s="13"/>
      <c r="F367" s="13"/>
      <c r="H367" s="24"/>
      <c r="J367" s="13"/>
      <c r="K367" s="13"/>
      <c r="M367" s="24"/>
      <c r="O367" s="13"/>
      <c r="P367" s="13"/>
    </row>
    <row r="368">
      <c r="C368" s="24"/>
      <c r="E368" s="13"/>
      <c r="F368" s="13"/>
      <c r="H368" s="24"/>
      <c r="J368" s="13"/>
      <c r="K368" s="13"/>
      <c r="M368" s="24"/>
      <c r="O368" s="13"/>
      <c r="P368" s="13"/>
    </row>
    <row r="369">
      <c r="C369" s="24"/>
      <c r="E369" s="13"/>
      <c r="F369" s="13"/>
      <c r="H369" s="24"/>
      <c r="J369" s="13"/>
      <c r="K369" s="13"/>
      <c r="M369" s="24"/>
      <c r="O369" s="13"/>
      <c r="P369" s="13"/>
    </row>
    <row r="370">
      <c r="C370" s="24"/>
      <c r="E370" s="13"/>
      <c r="F370" s="13"/>
      <c r="H370" s="24"/>
      <c r="J370" s="13"/>
      <c r="K370" s="13"/>
      <c r="M370" s="24"/>
      <c r="O370" s="13"/>
      <c r="P370" s="13"/>
    </row>
    <row r="371">
      <c r="C371" s="24"/>
      <c r="E371" s="13"/>
      <c r="F371" s="13"/>
      <c r="H371" s="24"/>
      <c r="J371" s="13"/>
      <c r="K371" s="13"/>
      <c r="M371" s="24"/>
      <c r="O371" s="13"/>
      <c r="P371" s="13"/>
    </row>
    <row r="372">
      <c r="C372" s="24"/>
      <c r="E372" s="13"/>
      <c r="F372" s="13"/>
      <c r="H372" s="24"/>
      <c r="J372" s="13"/>
      <c r="K372" s="13"/>
      <c r="M372" s="24"/>
      <c r="O372" s="13"/>
      <c r="P372" s="13"/>
    </row>
    <row r="373">
      <c r="C373" s="24"/>
      <c r="E373" s="13"/>
      <c r="F373" s="13"/>
      <c r="H373" s="24"/>
      <c r="J373" s="13"/>
      <c r="K373" s="13"/>
      <c r="M373" s="24"/>
      <c r="O373" s="13"/>
      <c r="P373" s="13"/>
    </row>
    <row r="374">
      <c r="C374" s="24"/>
      <c r="E374" s="13"/>
      <c r="F374" s="13"/>
      <c r="H374" s="24"/>
      <c r="J374" s="13"/>
      <c r="K374" s="13"/>
      <c r="M374" s="24"/>
      <c r="O374" s="13"/>
      <c r="P374" s="13"/>
    </row>
    <row r="375">
      <c r="C375" s="24"/>
      <c r="E375" s="13"/>
      <c r="F375" s="13"/>
      <c r="H375" s="24"/>
      <c r="J375" s="13"/>
      <c r="K375" s="13"/>
      <c r="M375" s="24"/>
      <c r="O375" s="13"/>
      <c r="P375" s="13"/>
    </row>
    <row r="376">
      <c r="C376" s="24"/>
      <c r="E376" s="13"/>
      <c r="F376" s="13"/>
      <c r="H376" s="24"/>
      <c r="J376" s="13"/>
      <c r="K376" s="13"/>
      <c r="M376" s="24"/>
      <c r="O376" s="13"/>
      <c r="P376" s="13"/>
    </row>
    <row r="377">
      <c r="C377" s="24"/>
      <c r="E377" s="13"/>
      <c r="F377" s="13"/>
      <c r="H377" s="24"/>
      <c r="J377" s="13"/>
      <c r="K377" s="13"/>
      <c r="M377" s="24"/>
      <c r="O377" s="13"/>
      <c r="P377" s="13"/>
    </row>
    <row r="378">
      <c r="C378" s="24"/>
      <c r="E378" s="13"/>
      <c r="F378" s="13"/>
      <c r="H378" s="24"/>
      <c r="J378" s="13"/>
      <c r="K378" s="13"/>
      <c r="M378" s="24"/>
      <c r="O378" s="13"/>
      <c r="P378" s="13"/>
    </row>
    <row r="379">
      <c r="C379" s="24"/>
      <c r="E379" s="13"/>
      <c r="F379" s="13"/>
      <c r="H379" s="24"/>
      <c r="J379" s="13"/>
      <c r="K379" s="13"/>
      <c r="M379" s="24"/>
      <c r="O379" s="13"/>
      <c r="P379" s="13"/>
    </row>
    <row r="380">
      <c r="C380" s="24"/>
      <c r="E380" s="13"/>
      <c r="F380" s="13"/>
      <c r="H380" s="24"/>
      <c r="J380" s="13"/>
      <c r="K380" s="13"/>
      <c r="M380" s="24"/>
      <c r="O380" s="13"/>
      <c r="P380" s="13"/>
    </row>
    <row r="381">
      <c r="C381" s="24"/>
      <c r="E381" s="13"/>
      <c r="F381" s="13"/>
      <c r="H381" s="24"/>
      <c r="J381" s="13"/>
      <c r="K381" s="13"/>
      <c r="M381" s="24"/>
      <c r="O381" s="13"/>
      <c r="P381" s="13"/>
    </row>
    <row r="382">
      <c r="C382" s="24"/>
      <c r="E382" s="13"/>
      <c r="F382" s="13"/>
      <c r="H382" s="24"/>
      <c r="J382" s="13"/>
      <c r="K382" s="13"/>
      <c r="M382" s="24"/>
      <c r="O382" s="13"/>
      <c r="P382" s="13"/>
    </row>
    <row r="383">
      <c r="C383" s="24"/>
      <c r="E383" s="13"/>
      <c r="F383" s="13"/>
      <c r="H383" s="24"/>
      <c r="J383" s="13"/>
      <c r="K383" s="13"/>
      <c r="M383" s="24"/>
      <c r="O383" s="13"/>
      <c r="P383" s="13"/>
    </row>
    <row r="384">
      <c r="C384" s="24"/>
      <c r="E384" s="13"/>
      <c r="F384" s="13"/>
      <c r="H384" s="24"/>
      <c r="J384" s="13"/>
      <c r="K384" s="13"/>
      <c r="M384" s="24"/>
      <c r="O384" s="13"/>
      <c r="P384" s="13"/>
    </row>
    <row r="385">
      <c r="C385" s="24"/>
      <c r="E385" s="13"/>
      <c r="F385" s="13"/>
      <c r="H385" s="24"/>
      <c r="J385" s="13"/>
      <c r="K385" s="13"/>
      <c r="M385" s="24"/>
      <c r="O385" s="13"/>
      <c r="P385" s="13"/>
    </row>
    <row r="386">
      <c r="C386" s="24"/>
      <c r="E386" s="13"/>
      <c r="F386" s="13"/>
      <c r="H386" s="24"/>
      <c r="J386" s="13"/>
      <c r="K386" s="13"/>
      <c r="M386" s="24"/>
      <c r="O386" s="13"/>
      <c r="P386" s="13"/>
    </row>
    <row r="387">
      <c r="C387" s="24"/>
      <c r="E387" s="13"/>
      <c r="F387" s="13"/>
      <c r="H387" s="24"/>
      <c r="J387" s="13"/>
      <c r="K387" s="13"/>
      <c r="M387" s="24"/>
      <c r="O387" s="13"/>
      <c r="P387" s="13"/>
    </row>
    <row r="388">
      <c r="C388" s="24"/>
      <c r="E388" s="13"/>
      <c r="F388" s="13"/>
      <c r="H388" s="24"/>
      <c r="J388" s="13"/>
      <c r="K388" s="13"/>
      <c r="M388" s="24"/>
      <c r="O388" s="13"/>
      <c r="P388" s="13"/>
    </row>
    <row r="389">
      <c r="C389" s="24"/>
      <c r="E389" s="13"/>
      <c r="F389" s="13"/>
      <c r="H389" s="24"/>
      <c r="J389" s="13"/>
      <c r="K389" s="13"/>
      <c r="M389" s="24"/>
      <c r="O389" s="13"/>
      <c r="P389" s="13"/>
    </row>
    <row r="390">
      <c r="C390" s="24"/>
      <c r="E390" s="13"/>
      <c r="F390" s="13"/>
      <c r="H390" s="24"/>
      <c r="J390" s="13"/>
      <c r="K390" s="13"/>
      <c r="M390" s="24"/>
      <c r="O390" s="13"/>
      <c r="P390" s="13"/>
    </row>
    <row r="391">
      <c r="C391" s="24"/>
      <c r="E391" s="13"/>
      <c r="F391" s="13"/>
      <c r="H391" s="24"/>
      <c r="J391" s="13"/>
      <c r="K391" s="13"/>
      <c r="M391" s="24"/>
      <c r="O391" s="13"/>
      <c r="P391" s="13"/>
    </row>
    <row r="392">
      <c r="C392" s="24"/>
      <c r="E392" s="13"/>
      <c r="F392" s="13"/>
      <c r="H392" s="24"/>
      <c r="J392" s="13"/>
      <c r="K392" s="13"/>
      <c r="M392" s="24"/>
      <c r="O392" s="13"/>
      <c r="P392" s="13"/>
    </row>
    <row r="393">
      <c r="C393" s="24"/>
      <c r="E393" s="13"/>
      <c r="F393" s="13"/>
      <c r="H393" s="24"/>
      <c r="J393" s="13"/>
      <c r="K393" s="13"/>
      <c r="M393" s="24"/>
      <c r="O393" s="13"/>
      <c r="P393" s="13"/>
    </row>
    <row r="394">
      <c r="C394" s="24"/>
      <c r="E394" s="13"/>
      <c r="F394" s="13"/>
      <c r="H394" s="24"/>
      <c r="J394" s="13"/>
      <c r="K394" s="13"/>
      <c r="M394" s="24"/>
      <c r="O394" s="13"/>
      <c r="P394" s="13"/>
    </row>
    <row r="395">
      <c r="C395" s="24"/>
      <c r="E395" s="13"/>
      <c r="F395" s="13"/>
      <c r="H395" s="24"/>
      <c r="J395" s="13"/>
      <c r="K395" s="13"/>
      <c r="M395" s="24"/>
      <c r="O395" s="13"/>
      <c r="P395" s="13"/>
    </row>
    <row r="396">
      <c r="C396" s="24"/>
      <c r="E396" s="13"/>
      <c r="F396" s="13"/>
      <c r="H396" s="24"/>
      <c r="J396" s="13"/>
      <c r="K396" s="13"/>
      <c r="M396" s="24"/>
      <c r="O396" s="13"/>
      <c r="P396" s="13"/>
    </row>
    <row r="397">
      <c r="C397" s="24"/>
      <c r="E397" s="13"/>
      <c r="F397" s="13"/>
      <c r="H397" s="24"/>
      <c r="J397" s="13"/>
      <c r="K397" s="13"/>
      <c r="M397" s="24"/>
      <c r="O397" s="13"/>
      <c r="P397" s="13"/>
    </row>
    <row r="398">
      <c r="C398" s="24"/>
      <c r="E398" s="13"/>
      <c r="F398" s="13"/>
      <c r="H398" s="24"/>
      <c r="J398" s="13"/>
      <c r="K398" s="13"/>
      <c r="M398" s="24"/>
      <c r="O398" s="13"/>
      <c r="P398" s="13"/>
    </row>
    <row r="399">
      <c r="C399" s="24"/>
      <c r="E399" s="13"/>
      <c r="F399" s="13"/>
      <c r="H399" s="24"/>
      <c r="J399" s="13"/>
      <c r="K399" s="13"/>
      <c r="M399" s="24"/>
      <c r="O399" s="13"/>
      <c r="P399" s="13"/>
    </row>
    <row r="400">
      <c r="C400" s="24"/>
      <c r="E400" s="13"/>
      <c r="F400" s="13"/>
      <c r="H400" s="24"/>
      <c r="J400" s="13"/>
      <c r="K400" s="13"/>
      <c r="M400" s="24"/>
      <c r="O400" s="13"/>
      <c r="P400" s="13"/>
    </row>
    <row r="401">
      <c r="C401" s="24"/>
      <c r="E401" s="13"/>
      <c r="F401" s="13"/>
      <c r="H401" s="24"/>
      <c r="J401" s="13"/>
      <c r="K401" s="13"/>
      <c r="M401" s="24"/>
      <c r="O401" s="13"/>
      <c r="P401" s="13"/>
    </row>
    <row r="402">
      <c r="C402" s="24"/>
      <c r="E402" s="13"/>
      <c r="F402" s="13"/>
      <c r="H402" s="24"/>
      <c r="J402" s="13"/>
      <c r="K402" s="13"/>
      <c r="M402" s="24"/>
      <c r="O402" s="13"/>
      <c r="P402" s="13"/>
    </row>
    <row r="403">
      <c r="C403" s="24"/>
      <c r="E403" s="13"/>
      <c r="F403" s="13"/>
      <c r="H403" s="24"/>
      <c r="J403" s="13"/>
      <c r="K403" s="13"/>
      <c r="M403" s="24"/>
      <c r="O403" s="13"/>
      <c r="P403" s="13"/>
    </row>
    <row r="404">
      <c r="C404" s="24"/>
      <c r="E404" s="13"/>
      <c r="F404" s="13"/>
      <c r="H404" s="24"/>
      <c r="J404" s="13"/>
      <c r="K404" s="13"/>
      <c r="M404" s="24"/>
      <c r="O404" s="13"/>
      <c r="P404" s="13"/>
    </row>
    <row r="405">
      <c r="C405" s="24"/>
      <c r="E405" s="13"/>
      <c r="F405" s="13"/>
      <c r="H405" s="24"/>
      <c r="J405" s="13"/>
      <c r="K405" s="13"/>
      <c r="M405" s="24"/>
      <c r="O405" s="13"/>
      <c r="P405" s="13"/>
    </row>
    <row r="406">
      <c r="C406" s="24"/>
      <c r="E406" s="13"/>
      <c r="F406" s="13"/>
      <c r="H406" s="24"/>
      <c r="J406" s="13"/>
      <c r="K406" s="13"/>
      <c r="M406" s="24"/>
      <c r="O406" s="13"/>
      <c r="P406" s="13"/>
    </row>
    <row r="407">
      <c r="C407" s="24"/>
      <c r="E407" s="13"/>
      <c r="F407" s="13"/>
      <c r="H407" s="24"/>
      <c r="J407" s="13"/>
      <c r="K407" s="13"/>
      <c r="M407" s="24"/>
      <c r="O407" s="13"/>
      <c r="P407" s="13"/>
    </row>
    <row r="408">
      <c r="C408" s="24"/>
      <c r="E408" s="13"/>
      <c r="F408" s="13"/>
      <c r="H408" s="24"/>
      <c r="J408" s="13"/>
      <c r="K408" s="13"/>
      <c r="M408" s="24"/>
      <c r="O408" s="13"/>
      <c r="P408" s="13"/>
    </row>
    <row r="409">
      <c r="C409" s="24"/>
      <c r="E409" s="13"/>
      <c r="F409" s="13"/>
      <c r="H409" s="24"/>
      <c r="J409" s="13"/>
      <c r="K409" s="13"/>
      <c r="M409" s="24"/>
      <c r="O409" s="13"/>
      <c r="P409" s="13"/>
    </row>
    <row r="410">
      <c r="C410" s="24"/>
      <c r="E410" s="13"/>
      <c r="F410" s="13"/>
      <c r="H410" s="24"/>
      <c r="J410" s="13"/>
      <c r="K410" s="13"/>
      <c r="M410" s="24"/>
      <c r="O410" s="13"/>
      <c r="P410" s="13"/>
    </row>
    <row r="411">
      <c r="C411" s="24"/>
      <c r="E411" s="13"/>
      <c r="F411" s="13"/>
      <c r="H411" s="24"/>
      <c r="J411" s="13"/>
      <c r="K411" s="13"/>
      <c r="M411" s="24"/>
      <c r="O411" s="13"/>
      <c r="P411" s="13"/>
    </row>
    <row r="412">
      <c r="C412" s="24"/>
      <c r="E412" s="13"/>
      <c r="F412" s="13"/>
      <c r="H412" s="24"/>
      <c r="J412" s="13"/>
      <c r="K412" s="13"/>
      <c r="M412" s="24"/>
      <c r="O412" s="13"/>
      <c r="P412" s="13"/>
    </row>
    <row r="413">
      <c r="C413" s="24"/>
      <c r="E413" s="13"/>
      <c r="F413" s="13"/>
      <c r="H413" s="24"/>
      <c r="J413" s="13"/>
      <c r="K413" s="13"/>
      <c r="M413" s="24"/>
      <c r="O413" s="13"/>
      <c r="P413" s="13"/>
    </row>
    <row r="414">
      <c r="C414" s="24"/>
      <c r="E414" s="13"/>
      <c r="F414" s="13"/>
      <c r="H414" s="24"/>
      <c r="J414" s="13"/>
      <c r="K414" s="13"/>
      <c r="M414" s="24"/>
      <c r="O414" s="13"/>
      <c r="P414" s="13"/>
    </row>
    <row r="415">
      <c r="C415" s="24"/>
      <c r="E415" s="13"/>
      <c r="F415" s="13"/>
      <c r="H415" s="24"/>
      <c r="J415" s="13"/>
      <c r="K415" s="13"/>
      <c r="M415" s="24"/>
      <c r="O415" s="13"/>
      <c r="P415" s="13"/>
    </row>
    <row r="416">
      <c r="C416" s="24"/>
      <c r="E416" s="13"/>
      <c r="F416" s="13"/>
      <c r="H416" s="24"/>
      <c r="J416" s="13"/>
      <c r="K416" s="13"/>
      <c r="M416" s="24"/>
      <c r="O416" s="13"/>
      <c r="P416" s="13"/>
    </row>
    <row r="417">
      <c r="C417" s="24"/>
      <c r="E417" s="13"/>
      <c r="F417" s="13"/>
      <c r="H417" s="24"/>
      <c r="J417" s="13"/>
      <c r="K417" s="13"/>
      <c r="M417" s="24"/>
      <c r="O417" s="13"/>
      <c r="P417" s="13"/>
    </row>
    <row r="418">
      <c r="C418" s="24"/>
      <c r="E418" s="13"/>
      <c r="F418" s="13"/>
      <c r="H418" s="24"/>
      <c r="J418" s="13"/>
      <c r="K418" s="13"/>
      <c r="M418" s="24"/>
      <c r="O418" s="13"/>
      <c r="P418" s="13"/>
    </row>
    <row r="419">
      <c r="C419" s="24"/>
      <c r="E419" s="13"/>
      <c r="F419" s="13"/>
      <c r="H419" s="24"/>
      <c r="J419" s="13"/>
      <c r="K419" s="13"/>
      <c r="M419" s="24"/>
      <c r="O419" s="13"/>
      <c r="P419" s="13"/>
    </row>
    <row r="420">
      <c r="C420" s="24"/>
      <c r="E420" s="13"/>
      <c r="F420" s="13"/>
      <c r="H420" s="24"/>
      <c r="J420" s="13"/>
      <c r="K420" s="13"/>
      <c r="M420" s="24"/>
      <c r="O420" s="13"/>
      <c r="P420" s="13"/>
    </row>
    <row r="421">
      <c r="C421" s="24"/>
      <c r="E421" s="13"/>
      <c r="F421" s="13"/>
      <c r="H421" s="24"/>
      <c r="J421" s="13"/>
      <c r="K421" s="13"/>
      <c r="M421" s="24"/>
      <c r="O421" s="13"/>
      <c r="P421" s="13"/>
    </row>
    <row r="422">
      <c r="C422" s="24"/>
      <c r="E422" s="13"/>
      <c r="F422" s="13"/>
      <c r="H422" s="24"/>
      <c r="J422" s="13"/>
      <c r="K422" s="13"/>
      <c r="M422" s="24"/>
      <c r="O422" s="13"/>
      <c r="P422" s="13"/>
    </row>
    <row r="423">
      <c r="C423" s="24"/>
      <c r="E423" s="13"/>
      <c r="F423" s="13"/>
      <c r="H423" s="24"/>
      <c r="J423" s="13"/>
      <c r="K423" s="13"/>
      <c r="M423" s="24"/>
      <c r="O423" s="13"/>
      <c r="P423" s="13"/>
    </row>
    <row r="424">
      <c r="C424" s="24"/>
      <c r="E424" s="13"/>
      <c r="F424" s="13"/>
      <c r="H424" s="24"/>
      <c r="J424" s="13"/>
      <c r="K424" s="13"/>
      <c r="M424" s="24"/>
      <c r="O424" s="13"/>
      <c r="P424" s="13"/>
    </row>
    <row r="425">
      <c r="C425" s="24"/>
      <c r="E425" s="13"/>
      <c r="F425" s="13"/>
      <c r="H425" s="24"/>
      <c r="J425" s="13"/>
      <c r="K425" s="13"/>
      <c r="M425" s="24"/>
      <c r="O425" s="13"/>
      <c r="P425" s="13"/>
    </row>
    <row r="426">
      <c r="C426" s="24"/>
      <c r="E426" s="13"/>
      <c r="F426" s="13"/>
      <c r="H426" s="24"/>
      <c r="J426" s="13"/>
      <c r="K426" s="13"/>
      <c r="M426" s="24"/>
      <c r="O426" s="13"/>
      <c r="P426" s="13"/>
    </row>
    <row r="427">
      <c r="C427" s="24"/>
      <c r="E427" s="13"/>
      <c r="F427" s="13"/>
      <c r="H427" s="24"/>
      <c r="J427" s="13"/>
      <c r="K427" s="13"/>
      <c r="M427" s="24"/>
      <c r="O427" s="13"/>
      <c r="P427" s="13"/>
    </row>
    <row r="428">
      <c r="C428" s="24"/>
      <c r="E428" s="13"/>
      <c r="F428" s="13"/>
      <c r="H428" s="24"/>
      <c r="J428" s="13"/>
      <c r="K428" s="13"/>
      <c r="M428" s="24"/>
      <c r="O428" s="13"/>
      <c r="P428" s="13"/>
    </row>
    <row r="429">
      <c r="C429" s="24"/>
      <c r="E429" s="13"/>
      <c r="F429" s="13"/>
      <c r="H429" s="24"/>
      <c r="J429" s="13"/>
      <c r="K429" s="13"/>
      <c r="M429" s="24"/>
      <c r="O429" s="13"/>
      <c r="P429" s="13"/>
    </row>
    <row r="430">
      <c r="C430" s="24"/>
      <c r="E430" s="13"/>
      <c r="F430" s="13"/>
      <c r="H430" s="24"/>
      <c r="J430" s="13"/>
      <c r="K430" s="13"/>
      <c r="M430" s="24"/>
      <c r="O430" s="13"/>
      <c r="P430" s="13"/>
    </row>
    <row r="431">
      <c r="C431" s="24"/>
      <c r="E431" s="13"/>
      <c r="F431" s="13"/>
      <c r="H431" s="24"/>
      <c r="J431" s="13"/>
      <c r="K431" s="13"/>
      <c r="M431" s="24"/>
      <c r="O431" s="13"/>
      <c r="P431" s="13"/>
    </row>
    <row r="432">
      <c r="C432" s="24"/>
      <c r="E432" s="13"/>
      <c r="F432" s="13"/>
      <c r="H432" s="24"/>
      <c r="J432" s="13"/>
      <c r="K432" s="13"/>
      <c r="M432" s="24"/>
      <c r="O432" s="13"/>
      <c r="P432" s="13"/>
    </row>
    <row r="433">
      <c r="C433" s="24"/>
      <c r="E433" s="13"/>
      <c r="F433" s="13"/>
      <c r="H433" s="24"/>
      <c r="J433" s="13"/>
      <c r="K433" s="13"/>
      <c r="M433" s="24"/>
      <c r="O433" s="13"/>
      <c r="P433" s="13"/>
    </row>
    <row r="434">
      <c r="C434" s="24"/>
      <c r="E434" s="13"/>
      <c r="F434" s="13"/>
      <c r="H434" s="24"/>
      <c r="J434" s="13"/>
      <c r="K434" s="13"/>
      <c r="M434" s="24"/>
      <c r="O434" s="13"/>
      <c r="P434" s="13"/>
    </row>
    <row r="435">
      <c r="C435" s="24"/>
      <c r="E435" s="13"/>
      <c r="F435" s="13"/>
      <c r="H435" s="24"/>
      <c r="J435" s="13"/>
      <c r="K435" s="13"/>
      <c r="M435" s="24"/>
      <c r="O435" s="13"/>
      <c r="P435" s="13"/>
    </row>
    <row r="436">
      <c r="C436" s="24"/>
      <c r="E436" s="13"/>
      <c r="F436" s="13"/>
      <c r="H436" s="24"/>
      <c r="J436" s="13"/>
      <c r="K436" s="13"/>
      <c r="M436" s="24"/>
      <c r="O436" s="13"/>
      <c r="P436" s="13"/>
    </row>
    <row r="437">
      <c r="C437" s="24"/>
      <c r="E437" s="13"/>
      <c r="F437" s="13"/>
      <c r="H437" s="24"/>
      <c r="J437" s="13"/>
      <c r="K437" s="13"/>
      <c r="M437" s="24"/>
      <c r="O437" s="13"/>
      <c r="P437" s="13"/>
    </row>
    <row r="438">
      <c r="C438" s="24"/>
      <c r="E438" s="13"/>
      <c r="F438" s="13"/>
      <c r="H438" s="24"/>
      <c r="J438" s="13"/>
      <c r="K438" s="13"/>
      <c r="M438" s="24"/>
      <c r="O438" s="13"/>
      <c r="P438" s="13"/>
    </row>
    <row r="439">
      <c r="C439" s="24"/>
      <c r="E439" s="13"/>
      <c r="F439" s="13"/>
      <c r="H439" s="24"/>
      <c r="J439" s="13"/>
      <c r="K439" s="13"/>
      <c r="M439" s="24"/>
      <c r="O439" s="13"/>
      <c r="P439" s="13"/>
    </row>
    <row r="440">
      <c r="C440" s="24"/>
      <c r="E440" s="13"/>
      <c r="F440" s="13"/>
      <c r="H440" s="24"/>
      <c r="J440" s="13"/>
      <c r="K440" s="13"/>
      <c r="M440" s="24"/>
      <c r="O440" s="13"/>
      <c r="P440" s="13"/>
    </row>
    <row r="441">
      <c r="C441" s="24"/>
      <c r="E441" s="13"/>
      <c r="F441" s="13"/>
      <c r="H441" s="24"/>
      <c r="J441" s="13"/>
      <c r="K441" s="13"/>
      <c r="M441" s="24"/>
      <c r="O441" s="13"/>
      <c r="P441" s="13"/>
    </row>
    <row r="442">
      <c r="C442" s="24"/>
      <c r="E442" s="13"/>
      <c r="F442" s="13"/>
      <c r="H442" s="24"/>
      <c r="J442" s="13"/>
      <c r="K442" s="13"/>
      <c r="M442" s="24"/>
      <c r="O442" s="13"/>
      <c r="P442" s="13"/>
    </row>
    <row r="443">
      <c r="C443" s="24"/>
      <c r="E443" s="13"/>
      <c r="F443" s="13"/>
      <c r="H443" s="24"/>
      <c r="J443" s="13"/>
      <c r="K443" s="13"/>
      <c r="M443" s="24"/>
      <c r="O443" s="13"/>
      <c r="P443" s="13"/>
    </row>
    <row r="444">
      <c r="C444" s="24"/>
      <c r="E444" s="13"/>
      <c r="F444" s="13"/>
      <c r="H444" s="24"/>
      <c r="J444" s="13"/>
      <c r="K444" s="13"/>
      <c r="M444" s="24"/>
      <c r="O444" s="13"/>
      <c r="P444" s="13"/>
    </row>
    <row r="445">
      <c r="C445" s="24"/>
      <c r="E445" s="13"/>
      <c r="F445" s="13"/>
      <c r="H445" s="24"/>
      <c r="J445" s="13"/>
      <c r="K445" s="13"/>
      <c r="M445" s="24"/>
      <c r="O445" s="13"/>
      <c r="P445" s="13"/>
    </row>
    <row r="446">
      <c r="C446" s="24"/>
      <c r="E446" s="13"/>
      <c r="F446" s="13"/>
      <c r="H446" s="24"/>
      <c r="J446" s="13"/>
      <c r="K446" s="13"/>
      <c r="M446" s="24"/>
      <c r="O446" s="13"/>
      <c r="P446" s="13"/>
    </row>
    <row r="447">
      <c r="C447" s="24"/>
      <c r="E447" s="13"/>
      <c r="F447" s="13"/>
      <c r="H447" s="24"/>
      <c r="J447" s="13"/>
      <c r="K447" s="13"/>
      <c r="M447" s="24"/>
      <c r="O447" s="13"/>
      <c r="P447" s="13"/>
    </row>
    <row r="448">
      <c r="C448" s="24"/>
      <c r="E448" s="13"/>
      <c r="F448" s="13"/>
      <c r="H448" s="24"/>
      <c r="J448" s="13"/>
      <c r="K448" s="13"/>
      <c r="M448" s="24"/>
      <c r="O448" s="13"/>
      <c r="P448" s="13"/>
    </row>
    <row r="449">
      <c r="C449" s="24"/>
      <c r="E449" s="13"/>
      <c r="F449" s="13"/>
      <c r="H449" s="24"/>
      <c r="J449" s="13"/>
      <c r="K449" s="13"/>
      <c r="M449" s="24"/>
      <c r="O449" s="13"/>
      <c r="P449" s="13"/>
    </row>
    <row r="450">
      <c r="C450" s="24"/>
      <c r="E450" s="13"/>
      <c r="F450" s="13"/>
      <c r="H450" s="24"/>
      <c r="J450" s="13"/>
      <c r="K450" s="13"/>
      <c r="M450" s="24"/>
      <c r="O450" s="13"/>
      <c r="P450" s="13"/>
    </row>
    <row r="451">
      <c r="C451" s="24"/>
      <c r="E451" s="13"/>
      <c r="F451" s="13"/>
      <c r="H451" s="24"/>
      <c r="J451" s="13"/>
      <c r="K451" s="13"/>
      <c r="M451" s="24"/>
      <c r="O451" s="13"/>
      <c r="P451" s="13"/>
    </row>
    <row r="452">
      <c r="C452" s="24"/>
      <c r="E452" s="13"/>
      <c r="F452" s="13"/>
      <c r="H452" s="24"/>
      <c r="J452" s="13"/>
      <c r="K452" s="13"/>
      <c r="M452" s="24"/>
      <c r="O452" s="13"/>
      <c r="P452" s="13"/>
    </row>
    <row r="453">
      <c r="C453" s="24"/>
      <c r="E453" s="13"/>
      <c r="F453" s="13"/>
      <c r="H453" s="24"/>
      <c r="J453" s="13"/>
      <c r="K453" s="13"/>
      <c r="M453" s="24"/>
      <c r="O453" s="13"/>
      <c r="P453" s="13"/>
    </row>
    <row r="454">
      <c r="C454" s="24"/>
      <c r="E454" s="13"/>
      <c r="F454" s="13"/>
      <c r="H454" s="24"/>
      <c r="J454" s="13"/>
      <c r="K454" s="13"/>
      <c r="M454" s="24"/>
      <c r="O454" s="13"/>
      <c r="P454" s="13"/>
    </row>
    <row r="455">
      <c r="C455" s="24"/>
      <c r="E455" s="13"/>
      <c r="F455" s="13"/>
      <c r="H455" s="24"/>
      <c r="J455" s="13"/>
      <c r="K455" s="13"/>
      <c r="M455" s="24"/>
      <c r="O455" s="13"/>
      <c r="P455" s="13"/>
    </row>
    <row r="456">
      <c r="C456" s="24"/>
      <c r="E456" s="13"/>
      <c r="F456" s="13"/>
      <c r="H456" s="24"/>
      <c r="J456" s="13"/>
      <c r="K456" s="13"/>
      <c r="M456" s="24"/>
      <c r="O456" s="13"/>
      <c r="P456" s="13"/>
    </row>
    <row r="457">
      <c r="C457" s="24"/>
      <c r="E457" s="13"/>
      <c r="F457" s="13"/>
      <c r="H457" s="24"/>
      <c r="J457" s="13"/>
      <c r="K457" s="13"/>
      <c r="M457" s="24"/>
      <c r="O457" s="13"/>
      <c r="P457" s="13"/>
    </row>
    <row r="458">
      <c r="C458" s="24"/>
      <c r="E458" s="13"/>
      <c r="F458" s="13"/>
      <c r="H458" s="24"/>
      <c r="J458" s="13"/>
      <c r="K458" s="13"/>
      <c r="M458" s="24"/>
      <c r="O458" s="13"/>
      <c r="P458" s="13"/>
    </row>
    <row r="459">
      <c r="C459" s="24"/>
      <c r="E459" s="13"/>
      <c r="F459" s="13"/>
      <c r="H459" s="24"/>
      <c r="J459" s="13"/>
      <c r="K459" s="13"/>
      <c r="M459" s="24"/>
      <c r="O459" s="13"/>
      <c r="P459" s="13"/>
    </row>
    <row r="460">
      <c r="C460" s="24"/>
      <c r="E460" s="13"/>
      <c r="F460" s="13"/>
      <c r="H460" s="24"/>
      <c r="J460" s="13"/>
      <c r="K460" s="13"/>
      <c r="M460" s="24"/>
      <c r="O460" s="13"/>
      <c r="P460" s="13"/>
    </row>
    <row r="461">
      <c r="C461" s="24"/>
      <c r="E461" s="13"/>
      <c r="F461" s="13"/>
      <c r="H461" s="24"/>
      <c r="J461" s="13"/>
      <c r="K461" s="13"/>
      <c r="M461" s="24"/>
      <c r="O461" s="13"/>
      <c r="P461" s="13"/>
    </row>
    <row r="462">
      <c r="C462" s="24"/>
      <c r="E462" s="13"/>
      <c r="F462" s="13"/>
      <c r="H462" s="24"/>
      <c r="J462" s="13"/>
      <c r="K462" s="13"/>
      <c r="M462" s="24"/>
      <c r="O462" s="13"/>
      <c r="P462" s="13"/>
    </row>
    <row r="463">
      <c r="C463" s="24"/>
      <c r="E463" s="13"/>
      <c r="F463" s="13"/>
      <c r="H463" s="24"/>
      <c r="J463" s="13"/>
      <c r="K463" s="13"/>
      <c r="M463" s="24"/>
      <c r="O463" s="13"/>
      <c r="P463" s="13"/>
    </row>
    <row r="464">
      <c r="C464" s="24"/>
      <c r="E464" s="13"/>
      <c r="F464" s="13"/>
      <c r="H464" s="24"/>
      <c r="J464" s="13"/>
      <c r="K464" s="13"/>
      <c r="M464" s="24"/>
      <c r="O464" s="13"/>
      <c r="P464" s="13"/>
    </row>
    <row r="465">
      <c r="C465" s="24"/>
      <c r="E465" s="13"/>
      <c r="F465" s="13"/>
      <c r="H465" s="24"/>
      <c r="J465" s="13"/>
      <c r="K465" s="13"/>
      <c r="M465" s="24"/>
      <c r="O465" s="13"/>
      <c r="P465" s="13"/>
    </row>
    <row r="466">
      <c r="C466" s="24"/>
      <c r="E466" s="13"/>
      <c r="F466" s="13"/>
      <c r="H466" s="24"/>
      <c r="J466" s="13"/>
      <c r="K466" s="13"/>
      <c r="M466" s="24"/>
      <c r="O466" s="13"/>
      <c r="P466" s="13"/>
    </row>
    <row r="467">
      <c r="C467" s="24"/>
      <c r="E467" s="13"/>
      <c r="F467" s="13"/>
      <c r="H467" s="24"/>
      <c r="J467" s="13"/>
      <c r="K467" s="13"/>
      <c r="M467" s="24"/>
      <c r="O467" s="13"/>
      <c r="P467" s="13"/>
    </row>
    <row r="468">
      <c r="C468" s="24"/>
      <c r="E468" s="13"/>
      <c r="F468" s="13"/>
      <c r="H468" s="24"/>
      <c r="J468" s="13"/>
      <c r="K468" s="13"/>
      <c r="M468" s="24"/>
      <c r="O468" s="13"/>
      <c r="P468" s="13"/>
    </row>
    <row r="469">
      <c r="C469" s="24"/>
      <c r="E469" s="13"/>
      <c r="F469" s="13"/>
      <c r="H469" s="24"/>
      <c r="J469" s="13"/>
      <c r="K469" s="13"/>
      <c r="M469" s="24"/>
      <c r="O469" s="13"/>
      <c r="P469" s="13"/>
    </row>
    <row r="470">
      <c r="C470" s="24"/>
      <c r="E470" s="13"/>
      <c r="F470" s="13"/>
      <c r="H470" s="24"/>
      <c r="J470" s="13"/>
      <c r="K470" s="13"/>
      <c r="M470" s="24"/>
      <c r="O470" s="13"/>
      <c r="P470" s="13"/>
    </row>
    <row r="471">
      <c r="C471" s="24"/>
      <c r="E471" s="13"/>
      <c r="F471" s="13"/>
      <c r="H471" s="24"/>
      <c r="J471" s="13"/>
      <c r="K471" s="13"/>
      <c r="M471" s="24"/>
      <c r="O471" s="13"/>
      <c r="P471" s="13"/>
    </row>
    <row r="472">
      <c r="C472" s="24"/>
      <c r="E472" s="13"/>
      <c r="F472" s="13"/>
      <c r="H472" s="24"/>
      <c r="J472" s="13"/>
      <c r="K472" s="13"/>
      <c r="M472" s="24"/>
      <c r="O472" s="13"/>
      <c r="P472" s="13"/>
    </row>
    <row r="473">
      <c r="C473" s="24"/>
      <c r="E473" s="13"/>
      <c r="F473" s="13"/>
      <c r="H473" s="24"/>
      <c r="J473" s="13"/>
      <c r="K473" s="13"/>
      <c r="M473" s="24"/>
      <c r="O473" s="13"/>
      <c r="P473" s="13"/>
    </row>
    <row r="474">
      <c r="C474" s="24"/>
      <c r="E474" s="13"/>
      <c r="F474" s="13"/>
      <c r="H474" s="24"/>
      <c r="J474" s="13"/>
      <c r="K474" s="13"/>
      <c r="M474" s="24"/>
      <c r="O474" s="13"/>
      <c r="P474" s="13"/>
    </row>
    <row r="475">
      <c r="C475" s="24"/>
      <c r="E475" s="13"/>
      <c r="F475" s="13"/>
      <c r="H475" s="24"/>
      <c r="J475" s="13"/>
      <c r="K475" s="13"/>
      <c r="M475" s="24"/>
      <c r="O475" s="13"/>
      <c r="P475" s="13"/>
    </row>
    <row r="476">
      <c r="C476" s="24"/>
      <c r="E476" s="13"/>
      <c r="F476" s="13"/>
      <c r="H476" s="24"/>
      <c r="J476" s="13"/>
      <c r="K476" s="13"/>
      <c r="M476" s="24"/>
      <c r="O476" s="13"/>
      <c r="P476" s="13"/>
    </row>
    <row r="477">
      <c r="C477" s="24"/>
      <c r="E477" s="13"/>
      <c r="F477" s="13"/>
      <c r="H477" s="24"/>
      <c r="J477" s="13"/>
      <c r="K477" s="13"/>
      <c r="M477" s="24"/>
      <c r="O477" s="13"/>
      <c r="P477" s="13"/>
    </row>
    <row r="478">
      <c r="C478" s="24"/>
      <c r="E478" s="13"/>
      <c r="F478" s="13"/>
      <c r="H478" s="24"/>
      <c r="J478" s="13"/>
      <c r="K478" s="13"/>
      <c r="M478" s="24"/>
      <c r="O478" s="13"/>
      <c r="P478" s="13"/>
    </row>
    <row r="479">
      <c r="C479" s="24"/>
      <c r="E479" s="13"/>
      <c r="F479" s="13"/>
      <c r="H479" s="24"/>
      <c r="J479" s="13"/>
      <c r="K479" s="13"/>
      <c r="M479" s="24"/>
      <c r="O479" s="13"/>
      <c r="P479" s="13"/>
    </row>
    <row r="480">
      <c r="C480" s="24"/>
      <c r="E480" s="13"/>
      <c r="F480" s="13"/>
      <c r="H480" s="24"/>
      <c r="J480" s="13"/>
      <c r="K480" s="13"/>
      <c r="M480" s="24"/>
      <c r="O480" s="13"/>
      <c r="P480" s="13"/>
    </row>
    <row r="481">
      <c r="C481" s="24"/>
      <c r="E481" s="13"/>
      <c r="F481" s="13"/>
      <c r="H481" s="24"/>
      <c r="J481" s="13"/>
      <c r="K481" s="13"/>
      <c r="M481" s="24"/>
      <c r="O481" s="13"/>
      <c r="P481" s="13"/>
    </row>
    <row r="482">
      <c r="C482" s="24"/>
      <c r="E482" s="13"/>
      <c r="F482" s="13"/>
      <c r="H482" s="24"/>
      <c r="J482" s="13"/>
      <c r="K482" s="13"/>
      <c r="M482" s="24"/>
      <c r="O482" s="13"/>
      <c r="P482" s="13"/>
    </row>
    <row r="483">
      <c r="C483" s="24"/>
      <c r="E483" s="13"/>
      <c r="F483" s="13"/>
      <c r="H483" s="24"/>
      <c r="J483" s="13"/>
      <c r="K483" s="13"/>
      <c r="M483" s="24"/>
      <c r="O483" s="13"/>
      <c r="P483" s="13"/>
    </row>
    <row r="484">
      <c r="C484" s="24"/>
      <c r="E484" s="13"/>
      <c r="F484" s="13"/>
      <c r="H484" s="24"/>
      <c r="J484" s="13"/>
      <c r="K484" s="13"/>
      <c r="M484" s="24"/>
      <c r="O484" s="13"/>
      <c r="P484" s="13"/>
    </row>
    <row r="485">
      <c r="C485" s="24"/>
      <c r="E485" s="13"/>
      <c r="F485" s="13"/>
      <c r="H485" s="24"/>
      <c r="J485" s="13"/>
      <c r="K485" s="13"/>
      <c r="M485" s="24"/>
      <c r="O485" s="13"/>
      <c r="P485" s="13"/>
    </row>
    <row r="486">
      <c r="C486" s="24"/>
      <c r="E486" s="13"/>
      <c r="F486" s="13"/>
      <c r="H486" s="24"/>
      <c r="J486" s="13"/>
      <c r="K486" s="13"/>
      <c r="M486" s="24"/>
      <c r="O486" s="13"/>
      <c r="P486" s="13"/>
    </row>
    <row r="487">
      <c r="C487" s="24"/>
      <c r="E487" s="13"/>
      <c r="F487" s="13"/>
      <c r="H487" s="24"/>
      <c r="J487" s="13"/>
      <c r="K487" s="13"/>
      <c r="M487" s="24"/>
      <c r="O487" s="13"/>
      <c r="P487" s="13"/>
    </row>
    <row r="488">
      <c r="C488" s="24"/>
      <c r="E488" s="13"/>
      <c r="F488" s="13"/>
      <c r="H488" s="24"/>
      <c r="J488" s="13"/>
      <c r="K488" s="13"/>
      <c r="M488" s="24"/>
      <c r="O488" s="13"/>
      <c r="P488" s="13"/>
    </row>
    <row r="489">
      <c r="C489" s="24"/>
      <c r="E489" s="13"/>
      <c r="F489" s="13"/>
      <c r="H489" s="24"/>
      <c r="J489" s="13"/>
      <c r="K489" s="13"/>
      <c r="M489" s="24"/>
      <c r="O489" s="13"/>
      <c r="P489" s="13"/>
    </row>
    <row r="490">
      <c r="C490" s="24"/>
      <c r="E490" s="13"/>
      <c r="F490" s="13"/>
      <c r="H490" s="24"/>
      <c r="J490" s="13"/>
      <c r="K490" s="13"/>
      <c r="M490" s="24"/>
      <c r="O490" s="13"/>
      <c r="P490" s="13"/>
    </row>
    <row r="491">
      <c r="C491" s="24"/>
      <c r="E491" s="13"/>
      <c r="F491" s="13"/>
      <c r="H491" s="24"/>
      <c r="J491" s="13"/>
      <c r="K491" s="13"/>
      <c r="M491" s="24"/>
      <c r="O491" s="13"/>
      <c r="P491" s="13"/>
    </row>
    <row r="492">
      <c r="C492" s="24"/>
      <c r="E492" s="13"/>
      <c r="F492" s="13"/>
      <c r="H492" s="24"/>
      <c r="J492" s="13"/>
      <c r="K492" s="13"/>
      <c r="M492" s="24"/>
      <c r="O492" s="13"/>
      <c r="P492" s="13"/>
    </row>
    <row r="493">
      <c r="C493" s="24"/>
      <c r="E493" s="13"/>
      <c r="F493" s="13"/>
      <c r="H493" s="24"/>
      <c r="J493" s="13"/>
      <c r="K493" s="13"/>
      <c r="M493" s="24"/>
      <c r="O493" s="13"/>
      <c r="P493" s="13"/>
    </row>
    <row r="494">
      <c r="C494" s="24"/>
      <c r="E494" s="13"/>
      <c r="F494" s="13"/>
      <c r="H494" s="24"/>
      <c r="J494" s="13"/>
      <c r="K494" s="13"/>
      <c r="M494" s="24"/>
      <c r="O494" s="13"/>
      <c r="P494" s="13"/>
    </row>
    <row r="495">
      <c r="C495" s="24"/>
      <c r="E495" s="13"/>
      <c r="F495" s="13"/>
      <c r="H495" s="24"/>
      <c r="J495" s="13"/>
      <c r="K495" s="13"/>
      <c r="M495" s="24"/>
      <c r="O495" s="13"/>
      <c r="P495" s="13"/>
    </row>
    <row r="496">
      <c r="C496" s="24"/>
      <c r="E496" s="13"/>
      <c r="F496" s="13"/>
      <c r="H496" s="24"/>
      <c r="J496" s="13"/>
      <c r="K496" s="13"/>
      <c r="M496" s="24"/>
      <c r="O496" s="13"/>
      <c r="P496" s="13"/>
    </row>
    <row r="497">
      <c r="C497" s="24"/>
      <c r="E497" s="13"/>
      <c r="F497" s="13"/>
      <c r="H497" s="24"/>
      <c r="J497" s="13"/>
      <c r="K497" s="13"/>
      <c r="M497" s="24"/>
      <c r="O497" s="13"/>
      <c r="P497" s="13"/>
    </row>
    <row r="498">
      <c r="C498" s="24"/>
      <c r="E498" s="13"/>
      <c r="F498" s="13"/>
      <c r="H498" s="24"/>
      <c r="J498" s="13"/>
      <c r="K498" s="13"/>
      <c r="M498" s="24"/>
      <c r="O498" s="13"/>
      <c r="P498" s="13"/>
    </row>
    <row r="499">
      <c r="C499" s="24"/>
      <c r="E499" s="13"/>
      <c r="F499" s="13"/>
      <c r="H499" s="24"/>
      <c r="J499" s="13"/>
      <c r="K499" s="13"/>
      <c r="M499" s="24"/>
      <c r="O499" s="13"/>
      <c r="P499" s="13"/>
    </row>
    <row r="500">
      <c r="C500" s="24"/>
      <c r="E500" s="13"/>
      <c r="F500" s="13"/>
      <c r="H500" s="24"/>
      <c r="J500" s="13"/>
      <c r="K500" s="13"/>
      <c r="M500" s="24"/>
      <c r="O500" s="13"/>
      <c r="P500" s="13"/>
    </row>
    <row r="501">
      <c r="C501" s="24"/>
      <c r="E501" s="13"/>
      <c r="F501" s="13"/>
      <c r="H501" s="24"/>
      <c r="J501" s="13"/>
      <c r="K501" s="13"/>
      <c r="M501" s="24"/>
      <c r="O501" s="13"/>
      <c r="P501" s="13"/>
    </row>
    <row r="502">
      <c r="C502" s="24"/>
      <c r="E502" s="13"/>
      <c r="F502" s="13"/>
      <c r="H502" s="24"/>
      <c r="J502" s="13"/>
      <c r="K502" s="13"/>
      <c r="M502" s="24"/>
      <c r="O502" s="13"/>
      <c r="P502" s="13"/>
    </row>
    <row r="503">
      <c r="C503" s="24"/>
      <c r="E503" s="13"/>
      <c r="F503" s="13"/>
      <c r="H503" s="24"/>
      <c r="J503" s="13"/>
      <c r="K503" s="13"/>
      <c r="M503" s="24"/>
      <c r="O503" s="13"/>
      <c r="P503" s="13"/>
    </row>
    <row r="504">
      <c r="C504" s="24"/>
      <c r="E504" s="13"/>
      <c r="F504" s="13"/>
      <c r="H504" s="24"/>
      <c r="J504" s="13"/>
      <c r="K504" s="13"/>
      <c r="M504" s="24"/>
      <c r="O504" s="13"/>
      <c r="P504" s="13"/>
    </row>
    <row r="505">
      <c r="C505" s="24"/>
      <c r="E505" s="13"/>
      <c r="F505" s="13"/>
      <c r="H505" s="24"/>
      <c r="J505" s="13"/>
      <c r="K505" s="13"/>
      <c r="M505" s="24"/>
      <c r="O505" s="13"/>
      <c r="P505" s="13"/>
    </row>
    <row r="506">
      <c r="C506" s="24"/>
      <c r="E506" s="13"/>
      <c r="F506" s="13"/>
      <c r="H506" s="24"/>
      <c r="J506" s="13"/>
      <c r="K506" s="13"/>
      <c r="M506" s="24"/>
      <c r="O506" s="13"/>
      <c r="P506" s="13"/>
    </row>
    <row r="507">
      <c r="C507" s="24"/>
      <c r="E507" s="13"/>
      <c r="F507" s="13"/>
      <c r="H507" s="24"/>
      <c r="J507" s="13"/>
      <c r="K507" s="13"/>
      <c r="M507" s="24"/>
      <c r="O507" s="13"/>
      <c r="P507" s="13"/>
    </row>
    <row r="508">
      <c r="C508" s="24"/>
      <c r="E508" s="13"/>
      <c r="F508" s="13"/>
      <c r="H508" s="24"/>
      <c r="J508" s="13"/>
      <c r="K508" s="13"/>
      <c r="M508" s="24"/>
      <c r="O508" s="13"/>
      <c r="P508" s="13"/>
    </row>
    <row r="509">
      <c r="C509" s="24"/>
      <c r="E509" s="13"/>
      <c r="F509" s="13"/>
      <c r="H509" s="24"/>
      <c r="J509" s="13"/>
      <c r="K509" s="13"/>
      <c r="M509" s="24"/>
      <c r="O509" s="13"/>
      <c r="P509" s="13"/>
    </row>
    <row r="510">
      <c r="C510" s="24"/>
      <c r="E510" s="13"/>
      <c r="F510" s="13"/>
      <c r="H510" s="24"/>
      <c r="J510" s="13"/>
      <c r="K510" s="13"/>
      <c r="M510" s="24"/>
      <c r="O510" s="13"/>
      <c r="P510" s="13"/>
    </row>
    <row r="511">
      <c r="C511" s="24"/>
      <c r="E511" s="13"/>
      <c r="F511" s="13"/>
      <c r="H511" s="24"/>
      <c r="J511" s="13"/>
      <c r="K511" s="13"/>
      <c r="M511" s="24"/>
      <c r="O511" s="13"/>
      <c r="P511" s="13"/>
    </row>
    <row r="512">
      <c r="C512" s="24"/>
      <c r="E512" s="13"/>
      <c r="F512" s="13"/>
      <c r="H512" s="24"/>
      <c r="J512" s="13"/>
      <c r="K512" s="13"/>
      <c r="M512" s="24"/>
      <c r="O512" s="13"/>
      <c r="P512" s="13"/>
    </row>
    <row r="513">
      <c r="C513" s="24"/>
      <c r="E513" s="13"/>
      <c r="F513" s="13"/>
      <c r="H513" s="24"/>
      <c r="J513" s="13"/>
      <c r="K513" s="13"/>
      <c r="M513" s="24"/>
      <c r="O513" s="13"/>
      <c r="P513" s="13"/>
    </row>
    <row r="514">
      <c r="C514" s="24"/>
      <c r="E514" s="13"/>
      <c r="F514" s="13"/>
      <c r="H514" s="24"/>
      <c r="J514" s="13"/>
      <c r="K514" s="13"/>
      <c r="M514" s="24"/>
      <c r="O514" s="13"/>
      <c r="P514" s="13"/>
    </row>
    <row r="515">
      <c r="C515" s="24"/>
      <c r="E515" s="13"/>
      <c r="F515" s="13"/>
      <c r="H515" s="24"/>
      <c r="J515" s="13"/>
      <c r="K515" s="13"/>
      <c r="M515" s="24"/>
      <c r="O515" s="13"/>
      <c r="P515" s="13"/>
    </row>
    <row r="516">
      <c r="C516" s="24"/>
      <c r="E516" s="13"/>
      <c r="F516" s="13"/>
      <c r="H516" s="24"/>
      <c r="J516" s="13"/>
      <c r="K516" s="13"/>
      <c r="M516" s="24"/>
      <c r="O516" s="13"/>
      <c r="P516" s="13"/>
    </row>
    <row r="517">
      <c r="C517" s="24"/>
      <c r="E517" s="13"/>
      <c r="F517" s="13"/>
      <c r="H517" s="24"/>
      <c r="J517" s="13"/>
      <c r="K517" s="13"/>
      <c r="M517" s="24"/>
      <c r="O517" s="13"/>
      <c r="P517" s="13"/>
    </row>
    <row r="518">
      <c r="C518" s="24"/>
      <c r="E518" s="13"/>
      <c r="F518" s="13"/>
      <c r="H518" s="24"/>
      <c r="J518" s="13"/>
      <c r="K518" s="13"/>
      <c r="M518" s="24"/>
      <c r="O518" s="13"/>
      <c r="P518" s="13"/>
    </row>
    <row r="519">
      <c r="C519" s="24"/>
      <c r="E519" s="13"/>
      <c r="F519" s="13"/>
      <c r="H519" s="24"/>
      <c r="J519" s="13"/>
      <c r="K519" s="13"/>
      <c r="M519" s="24"/>
      <c r="O519" s="13"/>
      <c r="P519" s="13"/>
    </row>
    <row r="520">
      <c r="C520" s="24"/>
      <c r="E520" s="13"/>
      <c r="F520" s="13"/>
      <c r="H520" s="24"/>
      <c r="J520" s="13"/>
      <c r="K520" s="13"/>
      <c r="M520" s="24"/>
      <c r="O520" s="13"/>
      <c r="P520" s="13"/>
    </row>
    <row r="521">
      <c r="C521" s="24"/>
      <c r="E521" s="13"/>
      <c r="F521" s="13"/>
      <c r="H521" s="24"/>
      <c r="J521" s="13"/>
      <c r="K521" s="13"/>
      <c r="M521" s="24"/>
      <c r="O521" s="13"/>
      <c r="P521" s="13"/>
    </row>
    <row r="522">
      <c r="C522" s="24"/>
      <c r="E522" s="13"/>
      <c r="F522" s="13"/>
      <c r="H522" s="24"/>
      <c r="J522" s="13"/>
      <c r="K522" s="13"/>
      <c r="M522" s="24"/>
      <c r="O522" s="13"/>
      <c r="P522" s="13"/>
    </row>
    <row r="523">
      <c r="C523" s="24"/>
      <c r="E523" s="13"/>
      <c r="F523" s="13"/>
      <c r="H523" s="24"/>
      <c r="J523" s="13"/>
      <c r="K523" s="13"/>
      <c r="M523" s="24"/>
      <c r="O523" s="13"/>
      <c r="P523" s="13"/>
    </row>
    <row r="524">
      <c r="C524" s="24"/>
      <c r="E524" s="13"/>
      <c r="F524" s="13"/>
      <c r="H524" s="24"/>
      <c r="J524" s="13"/>
      <c r="K524" s="13"/>
      <c r="M524" s="24"/>
      <c r="O524" s="13"/>
      <c r="P524" s="13"/>
    </row>
    <row r="525">
      <c r="C525" s="24"/>
      <c r="E525" s="13"/>
      <c r="F525" s="13"/>
      <c r="H525" s="24"/>
      <c r="J525" s="13"/>
      <c r="K525" s="13"/>
      <c r="M525" s="24"/>
      <c r="O525" s="13"/>
      <c r="P525" s="13"/>
    </row>
    <row r="526">
      <c r="C526" s="24"/>
      <c r="E526" s="13"/>
      <c r="F526" s="13"/>
      <c r="H526" s="24"/>
      <c r="J526" s="13"/>
      <c r="K526" s="13"/>
      <c r="M526" s="24"/>
      <c r="O526" s="13"/>
      <c r="P526" s="13"/>
    </row>
    <row r="527">
      <c r="C527" s="24"/>
      <c r="E527" s="13"/>
      <c r="F527" s="13"/>
      <c r="H527" s="24"/>
      <c r="J527" s="13"/>
      <c r="K527" s="13"/>
      <c r="M527" s="24"/>
      <c r="O527" s="13"/>
      <c r="P527" s="13"/>
    </row>
    <row r="528">
      <c r="C528" s="24"/>
      <c r="E528" s="13"/>
      <c r="F528" s="13"/>
      <c r="H528" s="24"/>
      <c r="J528" s="13"/>
      <c r="K528" s="13"/>
      <c r="M528" s="24"/>
      <c r="O528" s="13"/>
      <c r="P528" s="13"/>
    </row>
    <row r="529">
      <c r="C529" s="24"/>
      <c r="E529" s="13"/>
      <c r="F529" s="13"/>
      <c r="H529" s="24"/>
      <c r="J529" s="13"/>
      <c r="K529" s="13"/>
      <c r="M529" s="24"/>
      <c r="O529" s="13"/>
      <c r="P529" s="13"/>
    </row>
    <row r="530">
      <c r="C530" s="24"/>
      <c r="E530" s="13"/>
      <c r="F530" s="13"/>
      <c r="H530" s="24"/>
      <c r="J530" s="13"/>
      <c r="K530" s="13"/>
      <c r="M530" s="24"/>
      <c r="O530" s="13"/>
      <c r="P530" s="13"/>
    </row>
    <row r="531">
      <c r="C531" s="24"/>
      <c r="E531" s="13"/>
      <c r="F531" s="13"/>
      <c r="H531" s="24"/>
      <c r="J531" s="13"/>
      <c r="K531" s="13"/>
      <c r="M531" s="24"/>
      <c r="O531" s="13"/>
      <c r="P531" s="13"/>
    </row>
    <row r="532">
      <c r="C532" s="24"/>
      <c r="E532" s="13"/>
      <c r="F532" s="13"/>
      <c r="H532" s="24"/>
      <c r="J532" s="13"/>
      <c r="K532" s="13"/>
      <c r="M532" s="24"/>
      <c r="O532" s="13"/>
      <c r="P532" s="13"/>
    </row>
    <row r="533">
      <c r="C533" s="24"/>
      <c r="E533" s="13"/>
      <c r="F533" s="13"/>
      <c r="H533" s="24"/>
      <c r="J533" s="13"/>
      <c r="K533" s="13"/>
      <c r="M533" s="24"/>
      <c r="O533" s="13"/>
      <c r="P533" s="13"/>
    </row>
    <row r="534">
      <c r="C534" s="24"/>
      <c r="E534" s="13"/>
      <c r="F534" s="13"/>
      <c r="H534" s="24"/>
      <c r="J534" s="13"/>
      <c r="K534" s="13"/>
      <c r="M534" s="24"/>
      <c r="O534" s="13"/>
      <c r="P534" s="13"/>
    </row>
    <row r="535">
      <c r="C535" s="24"/>
      <c r="E535" s="13"/>
      <c r="F535" s="13"/>
      <c r="H535" s="24"/>
      <c r="J535" s="13"/>
      <c r="K535" s="13"/>
      <c r="M535" s="24"/>
      <c r="O535" s="13"/>
      <c r="P535" s="13"/>
    </row>
    <row r="536">
      <c r="C536" s="24"/>
      <c r="E536" s="13"/>
      <c r="F536" s="13"/>
      <c r="H536" s="24"/>
      <c r="J536" s="13"/>
      <c r="K536" s="13"/>
      <c r="M536" s="24"/>
      <c r="O536" s="13"/>
      <c r="P536" s="13"/>
    </row>
    <row r="537">
      <c r="C537" s="24"/>
      <c r="E537" s="13"/>
      <c r="F537" s="13"/>
      <c r="H537" s="24"/>
      <c r="J537" s="13"/>
      <c r="K537" s="13"/>
      <c r="M537" s="24"/>
      <c r="O537" s="13"/>
      <c r="P537" s="13"/>
    </row>
    <row r="538">
      <c r="C538" s="24"/>
      <c r="E538" s="13"/>
      <c r="F538" s="13"/>
      <c r="H538" s="24"/>
      <c r="J538" s="13"/>
      <c r="K538" s="13"/>
      <c r="M538" s="24"/>
      <c r="O538" s="13"/>
      <c r="P538" s="13"/>
    </row>
    <row r="539">
      <c r="C539" s="24"/>
      <c r="E539" s="13"/>
      <c r="F539" s="13"/>
      <c r="H539" s="24"/>
      <c r="J539" s="13"/>
      <c r="K539" s="13"/>
      <c r="M539" s="24"/>
      <c r="O539" s="13"/>
      <c r="P539" s="13"/>
    </row>
    <row r="540">
      <c r="C540" s="24"/>
      <c r="E540" s="13"/>
      <c r="F540" s="13"/>
      <c r="H540" s="24"/>
      <c r="J540" s="13"/>
      <c r="K540" s="13"/>
      <c r="M540" s="24"/>
      <c r="O540" s="13"/>
      <c r="P540" s="13"/>
    </row>
    <row r="541">
      <c r="C541" s="24"/>
      <c r="E541" s="13"/>
      <c r="F541" s="13"/>
      <c r="H541" s="24"/>
      <c r="J541" s="13"/>
      <c r="K541" s="13"/>
      <c r="M541" s="24"/>
      <c r="O541" s="13"/>
      <c r="P541" s="13"/>
    </row>
    <row r="542">
      <c r="C542" s="24"/>
      <c r="E542" s="13"/>
      <c r="F542" s="13"/>
      <c r="H542" s="24"/>
      <c r="J542" s="13"/>
      <c r="K542" s="13"/>
      <c r="M542" s="24"/>
      <c r="O542" s="13"/>
      <c r="P542" s="13"/>
    </row>
    <row r="543">
      <c r="C543" s="24"/>
      <c r="E543" s="13"/>
      <c r="F543" s="13"/>
      <c r="H543" s="24"/>
      <c r="J543" s="13"/>
      <c r="K543" s="13"/>
      <c r="M543" s="24"/>
      <c r="O543" s="13"/>
      <c r="P543" s="13"/>
    </row>
    <row r="544">
      <c r="C544" s="24"/>
      <c r="E544" s="13"/>
      <c r="F544" s="13"/>
      <c r="H544" s="24"/>
      <c r="J544" s="13"/>
      <c r="K544" s="13"/>
      <c r="M544" s="24"/>
      <c r="O544" s="13"/>
      <c r="P544" s="13"/>
    </row>
    <row r="545">
      <c r="C545" s="24"/>
      <c r="E545" s="13"/>
      <c r="F545" s="13"/>
      <c r="H545" s="24"/>
      <c r="J545" s="13"/>
      <c r="K545" s="13"/>
      <c r="M545" s="24"/>
      <c r="O545" s="13"/>
      <c r="P545" s="13"/>
    </row>
    <row r="546">
      <c r="C546" s="24"/>
      <c r="E546" s="13"/>
      <c r="F546" s="13"/>
      <c r="H546" s="24"/>
      <c r="J546" s="13"/>
      <c r="K546" s="13"/>
      <c r="M546" s="24"/>
      <c r="O546" s="13"/>
      <c r="P546" s="13"/>
    </row>
    <row r="547">
      <c r="C547" s="24"/>
      <c r="E547" s="13"/>
      <c r="F547" s="13"/>
      <c r="H547" s="24"/>
      <c r="J547" s="13"/>
      <c r="K547" s="13"/>
      <c r="M547" s="24"/>
      <c r="O547" s="13"/>
      <c r="P547" s="13"/>
    </row>
    <row r="548">
      <c r="C548" s="24"/>
      <c r="E548" s="13"/>
      <c r="F548" s="13"/>
      <c r="H548" s="24"/>
      <c r="J548" s="13"/>
      <c r="K548" s="13"/>
      <c r="M548" s="24"/>
      <c r="O548" s="13"/>
      <c r="P548" s="13"/>
    </row>
    <row r="549">
      <c r="C549" s="24"/>
      <c r="E549" s="13"/>
      <c r="F549" s="13"/>
      <c r="H549" s="24"/>
      <c r="J549" s="13"/>
      <c r="K549" s="13"/>
      <c r="M549" s="24"/>
      <c r="O549" s="13"/>
      <c r="P549" s="13"/>
    </row>
    <row r="550">
      <c r="C550" s="24"/>
      <c r="E550" s="13"/>
      <c r="F550" s="13"/>
      <c r="H550" s="24"/>
      <c r="J550" s="13"/>
      <c r="K550" s="13"/>
      <c r="M550" s="24"/>
      <c r="O550" s="13"/>
      <c r="P550" s="13"/>
    </row>
    <row r="551">
      <c r="C551" s="24"/>
      <c r="E551" s="13"/>
      <c r="F551" s="13"/>
      <c r="H551" s="24"/>
      <c r="J551" s="13"/>
      <c r="K551" s="13"/>
      <c r="M551" s="24"/>
      <c r="O551" s="13"/>
      <c r="P551" s="13"/>
    </row>
    <row r="552">
      <c r="C552" s="24"/>
      <c r="E552" s="13"/>
      <c r="F552" s="13"/>
      <c r="H552" s="24"/>
      <c r="J552" s="13"/>
      <c r="K552" s="13"/>
      <c r="M552" s="24"/>
      <c r="O552" s="13"/>
      <c r="P552" s="13"/>
    </row>
    <row r="553">
      <c r="C553" s="24"/>
      <c r="E553" s="13"/>
      <c r="F553" s="13"/>
      <c r="H553" s="24"/>
      <c r="J553" s="13"/>
      <c r="K553" s="13"/>
      <c r="M553" s="24"/>
      <c r="O553" s="13"/>
      <c r="P553" s="13"/>
    </row>
    <row r="554">
      <c r="C554" s="24"/>
      <c r="E554" s="13"/>
      <c r="F554" s="13"/>
      <c r="H554" s="24"/>
      <c r="J554" s="13"/>
      <c r="K554" s="13"/>
      <c r="M554" s="24"/>
      <c r="O554" s="13"/>
      <c r="P554" s="13"/>
    </row>
    <row r="555">
      <c r="C555" s="24"/>
      <c r="E555" s="13"/>
      <c r="F555" s="13"/>
      <c r="H555" s="24"/>
      <c r="J555" s="13"/>
      <c r="K555" s="13"/>
      <c r="M555" s="24"/>
      <c r="O555" s="13"/>
      <c r="P555" s="13"/>
    </row>
    <row r="556">
      <c r="C556" s="24"/>
      <c r="E556" s="13"/>
      <c r="F556" s="13"/>
      <c r="H556" s="24"/>
      <c r="J556" s="13"/>
      <c r="K556" s="13"/>
      <c r="M556" s="24"/>
      <c r="O556" s="13"/>
      <c r="P556" s="13"/>
    </row>
    <row r="557">
      <c r="C557" s="24"/>
      <c r="E557" s="13"/>
      <c r="F557" s="13"/>
      <c r="H557" s="24"/>
      <c r="J557" s="13"/>
      <c r="K557" s="13"/>
      <c r="M557" s="24"/>
      <c r="O557" s="13"/>
      <c r="P557" s="13"/>
    </row>
    <row r="558">
      <c r="C558" s="24"/>
      <c r="E558" s="13"/>
      <c r="F558" s="13"/>
      <c r="H558" s="24"/>
      <c r="J558" s="13"/>
      <c r="K558" s="13"/>
      <c r="M558" s="24"/>
      <c r="O558" s="13"/>
      <c r="P558" s="13"/>
    </row>
    <row r="559">
      <c r="C559" s="24"/>
      <c r="E559" s="13"/>
      <c r="F559" s="13"/>
      <c r="H559" s="24"/>
      <c r="J559" s="13"/>
      <c r="K559" s="13"/>
      <c r="M559" s="24"/>
      <c r="O559" s="13"/>
      <c r="P559" s="13"/>
    </row>
    <row r="560">
      <c r="C560" s="24"/>
      <c r="E560" s="13"/>
      <c r="F560" s="13"/>
      <c r="H560" s="24"/>
      <c r="J560" s="13"/>
      <c r="K560" s="13"/>
      <c r="M560" s="24"/>
      <c r="O560" s="13"/>
      <c r="P560" s="13"/>
    </row>
    <row r="561">
      <c r="C561" s="24"/>
      <c r="E561" s="13"/>
      <c r="F561" s="13"/>
      <c r="H561" s="24"/>
      <c r="J561" s="13"/>
      <c r="K561" s="13"/>
      <c r="M561" s="24"/>
      <c r="O561" s="13"/>
      <c r="P561" s="13"/>
    </row>
    <row r="562">
      <c r="C562" s="24"/>
      <c r="E562" s="13"/>
      <c r="F562" s="13"/>
      <c r="H562" s="24"/>
      <c r="J562" s="13"/>
      <c r="K562" s="13"/>
      <c r="M562" s="24"/>
      <c r="O562" s="13"/>
      <c r="P562" s="13"/>
    </row>
    <row r="563">
      <c r="C563" s="24"/>
      <c r="E563" s="13"/>
      <c r="F563" s="13"/>
      <c r="H563" s="24"/>
      <c r="J563" s="13"/>
      <c r="K563" s="13"/>
      <c r="M563" s="24"/>
      <c r="O563" s="13"/>
      <c r="P563" s="13"/>
    </row>
    <row r="564">
      <c r="C564" s="24"/>
      <c r="E564" s="13"/>
      <c r="F564" s="13"/>
      <c r="H564" s="24"/>
      <c r="J564" s="13"/>
      <c r="K564" s="13"/>
      <c r="M564" s="24"/>
      <c r="O564" s="13"/>
      <c r="P564" s="13"/>
    </row>
    <row r="565">
      <c r="C565" s="24"/>
      <c r="E565" s="13"/>
      <c r="F565" s="13"/>
      <c r="H565" s="24"/>
      <c r="J565" s="13"/>
      <c r="K565" s="13"/>
      <c r="M565" s="24"/>
      <c r="O565" s="13"/>
      <c r="P565" s="13"/>
    </row>
    <row r="566">
      <c r="C566" s="24"/>
      <c r="E566" s="13"/>
      <c r="F566" s="13"/>
      <c r="H566" s="24"/>
      <c r="J566" s="13"/>
      <c r="K566" s="13"/>
      <c r="M566" s="24"/>
      <c r="O566" s="13"/>
      <c r="P566" s="13"/>
    </row>
    <row r="567">
      <c r="C567" s="24"/>
      <c r="E567" s="13"/>
      <c r="F567" s="13"/>
      <c r="H567" s="24"/>
      <c r="J567" s="13"/>
      <c r="K567" s="13"/>
      <c r="M567" s="24"/>
      <c r="O567" s="13"/>
      <c r="P567" s="13"/>
    </row>
    <row r="568">
      <c r="C568" s="24"/>
      <c r="E568" s="13"/>
      <c r="F568" s="13"/>
      <c r="H568" s="24"/>
      <c r="J568" s="13"/>
      <c r="K568" s="13"/>
      <c r="M568" s="24"/>
      <c r="O568" s="13"/>
      <c r="P568" s="13"/>
    </row>
    <row r="569">
      <c r="C569" s="24"/>
      <c r="E569" s="13"/>
      <c r="F569" s="13"/>
      <c r="H569" s="24"/>
      <c r="J569" s="13"/>
      <c r="K569" s="13"/>
      <c r="M569" s="24"/>
      <c r="O569" s="13"/>
      <c r="P569" s="13"/>
    </row>
    <row r="570">
      <c r="C570" s="24"/>
      <c r="E570" s="13"/>
      <c r="F570" s="13"/>
      <c r="H570" s="24"/>
      <c r="J570" s="13"/>
      <c r="K570" s="13"/>
      <c r="M570" s="24"/>
      <c r="O570" s="13"/>
      <c r="P570" s="13"/>
    </row>
    <row r="571">
      <c r="C571" s="24"/>
      <c r="E571" s="13"/>
      <c r="F571" s="13"/>
      <c r="H571" s="24"/>
      <c r="J571" s="13"/>
      <c r="K571" s="13"/>
      <c r="M571" s="24"/>
      <c r="O571" s="13"/>
      <c r="P571" s="13"/>
    </row>
    <row r="572">
      <c r="C572" s="24"/>
      <c r="E572" s="13"/>
      <c r="F572" s="13"/>
      <c r="H572" s="24"/>
      <c r="J572" s="13"/>
      <c r="K572" s="13"/>
      <c r="M572" s="24"/>
      <c r="O572" s="13"/>
      <c r="P572" s="13"/>
    </row>
    <row r="573">
      <c r="C573" s="24"/>
      <c r="E573" s="13"/>
      <c r="F573" s="13"/>
      <c r="H573" s="24"/>
      <c r="J573" s="13"/>
      <c r="K573" s="13"/>
      <c r="M573" s="24"/>
      <c r="O573" s="13"/>
      <c r="P573" s="13"/>
    </row>
    <row r="574">
      <c r="C574" s="24"/>
      <c r="E574" s="13"/>
      <c r="F574" s="13"/>
      <c r="H574" s="24"/>
      <c r="J574" s="13"/>
      <c r="K574" s="13"/>
      <c r="M574" s="24"/>
      <c r="O574" s="13"/>
      <c r="P574" s="13"/>
    </row>
    <row r="575">
      <c r="C575" s="24"/>
      <c r="E575" s="13"/>
      <c r="F575" s="13"/>
      <c r="H575" s="24"/>
      <c r="J575" s="13"/>
      <c r="K575" s="13"/>
      <c r="M575" s="24"/>
      <c r="O575" s="13"/>
      <c r="P575" s="13"/>
    </row>
    <row r="576">
      <c r="C576" s="24"/>
      <c r="E576" s="13"/>
      <c r="F576" s="13"/>
      <c r="H576" s="24"/>
      <c r="J576" s="13"/>
      <c r="K576" s="13"/>
      <c r="M576" s="24"/>
      <c r="O576" s="13"/>
      <c r="P576" s="13"/>
    </row>
    <row r="577">
      <c r="C577" s="24"/>
      <c r="E577" s="13"/>
      <c r="F577" s="13"/>
      <c r="H577" s="24"/>
      <c r="J577" s="13"/>
      <c r="K577" s="13"/>
      <c r="M577" s="24"/>
      <c r="O577" s="13"/>
      <c r="P577" s="13"/>
    </row>
    <row r="578">
      <c r="C578" s="24"/>
      <c r="E578" s="13"/>
      <c r="F578" s="13"/>
      <c r="H578" s="24"/>
      <c r="J578" s="13"/>
      <c r="K578" s="13"/>
      <c r="M578" s="24"/>
      <c r="O578" s="13"/>
      <c r="P578" s="13"/>
    </row>
    <row r="579">
      <c r="C579" s="24"/>
      <c r="E579" s="13"/>
      <c r="F579" s="13"/>
      <c r="H579" s="24"/>
      <c r="J579" s="13"/>
      <c r="K579" s="13"/>
      <c r="M579" s="24"/>
      <c r="O579" s="13"/>
      <c r="P579" s="13"/>
    </row>
    <row r="580">
      <c r="C580" s="24"/>
      <c r="E580" s="13"/>
      <c r="F580" s="13"/>
      <c r="H580" s="24"/>
      <c r="J580" s="13"/>
      <c r="K580" s="13"/>
      <c r="M580" s="24"/>
      <c r="O580" s="13"/>
      <c r="P580" s="13"/>
    </row>
    <row r="581">
      <c r="C581" s="24"/>
      <c r="E581" s="13"/>
      <c r="F581" s="13"/>
      <c r="H581" s="24"/>
      <c r="J581" s="13"/>
      <c r="K581" s="13"/>
      <c r="M581" s="24"/>
      <c r="O581" s="13"/>
      <c r="P581" s="13"/>
    </row>
    <row r="582">
      <c r="C582" s="24"/>
      <c r="E582" s="13"/>
      <c r="F582" s="13"/>
      <c r="H582" s="24"/>
      <c r="J582" s="13"/>
      <c r="K582" s="13"/>
      <c r="M582" s="24"/>
      <c r="O582" s="13"/>
      <c r="P582" s="13"/>
    </row>
    <row r="583">
      <c r="C583" s="24"/>
      <c r="E583" s="13"/>
      <c r="F583" s="13"/>
      <c r="H583" s="24"/>
      <c r="J583" s="13"/>
      <c r="K583" s="13"/>
      <c r="M583" s="24"/>
      <c r="O583" s="13"/>
      <c r="P583" s="13"/>
    </row>
    <row r="584">
      <c r="C584" s="24"/>
      <c r="E584" s="13"/>
      <c r="F584" s="13"/>
      <c r="H584" s="24"/>
      <c r="J584" s="13"/>
      <c r="K584" s="13"/>
      <c r="M584" s="24"/>
      <c r="O584" s="13"/>
      <c r="P584" s="13"/>
    </row>
    <row r="585">
      <c r="C585" s="24"/>
      <c r="E585" s="13"/>
      <c r="F585" s="13"/>
      <c r="H585" s="24"/>
      <c r="J585" s="13"/>
      <c r="K585" s="13"/>
      <c r="M585" s="24"/>
      <c r="O585" s="13"/>
      <c r="P585" s="13"/>
    </row>
    <row r="586">
      <c r="C586" s="24"/>
      <c r="E586" s="13"/>
      <c r="F586" s="13"/>
      <c r="H586" s="24"/>
      <c r="J586" s="13"/>
      <c r="K586" s="13"/>
      <c r="M586" s="24"/>
      <c r="O586" s="13"/>
      <c r="P586" s="13"/>
    </row>
    <row r="587">
      <c r="C587" s="24"/>
      <c r="E587" s="13"/>
      <c r="F587" s="13"/>
      <c r="H587" s="24"/>
      <c r="J587" s="13"/>
      <c r="K587" s="13"/>
      <c r="M587" s="24"/>
      <c r="O587" s="13"/>
      <c r="P587" s="13"/>
    </row>
    <row r="588">
      <c r="C588" s="24"/>
      <c r="E588" s="13"/>
      <c r="F588" s="13"/>
      <c r="H588" s="24"/>
      <c r="J588" s="13"/>
      <c r="K588" s="13"/>
      <c r="M588" s="24"/>
      <c r="O588" s="13"/>
      <c r="P588" s="13"/>
    </row>
    <row r="589">
      <c r="C589" s="24"/>
      <c r="E589" s="13"/>
      <c r="F589" s="13"/>
      <c r="H589" s="24"/>
      <c r="J589" s="13"/>
      <c r="K589" s="13"/>
      <c r="M589" s="24"/>
      <c r="O589" s="13"/>
      <c r="P589" s="13"/>
    </row>
    <row r="590">
      <c r="C590" s="24"/>
      <c r="E590" s="13"/>
      <c r="F590" s="13"/>
      <c r="H590" s="24"/>
      <c r="J590" s="13"/>
      <c r="K590" s="13"/>
      <c r="M590" s="24"/>
      <c r="O590" s="13"/>
      <c r="P590" s="13"/>
    </row>
    <row r="591">
      <c r="C591" s="24"/>
      <c r="E591" s="13"/>
      <c r="F591" s="13"/>
      <c r="H591" s="24"/>
      <c r="J591" s="13"/>
      <c r="K591" s="13"/>
      <c r="M591" s="24"/>
      <c r="O591" s="13"/>
      <c r="P591" s="13"/>
    </row>
    <row r="592">
      <c r="C592" s="24"/>
      <c r="E592" s="13"/>
      <c r="F592" s="13"/>
      <c r="H592" s="24"/>
      <c r="J592" s="13"/>
      <c r="K592" s="13"/>
      <c r="M592" s="24"/>
      <c r="O592" s="13"/>
      <c r="P592" s="13"/>
    </row>
    <row r="593">
      <c r="C593" s="24"/>
      <c r="E593" s="13"/>
      <c r="F593" s="13"/>
      <c r="H593" s="24"/>
      <c r="J593" s="13"/>
      <c r="K593" s="13"/>
      <c r="M593" s="24"/>
      <c r="O593" s="13"/>
      <c r="P593" s="13"/>
    </row>
    <row r="594">
      <c r="C594" s="24"/>
      <c r="E594" s="13"/>
      <c r="F594" s="13"/>
      <c r="H594" s="24"/>
      <c r="J594" s="13"/>
      <c r="K594" s="13"/>
      <c r="M594" s="24"/>
      <c r="O594" s="13"/>
      <c r="P594" s="13"/>
    </row>
    <row r="595">
      <c r="C595" s="24"/>
      <c r="E595" s="13"/>
      <c r="F595" s="13"/>
      <c r="H595" s="24"/>
      <c r="J595" s="13"/>
      <c r="K595" s="13"/>
      <c r="M595" s="24"/>
      <c r="O595" s="13"/>
      <c r="P595" s="13"/>
    </row>
    <row r="596">
      <c r="C596" s="24"/>
      <c r="E596" s="13"/>
      <c r="F596" s="13"/>
      <c r="H596" s="24"/>
      <c r="J596" s="13"/>
      <c r="K596" s="13"/>
      <c r="M596" s="24"/>
      <c r="O596" s="13"/>
      <c r="P596" s="13"/>
    </row>
    <row r="597">
      <c r="C597" s="24"/>
      <c r="E597" s="13"/>
      <c r="F597" s="13"/>
      <c r="H597" s="24"/>
      <c r="J597" s="13"/>
      <c r="K597" s="13"/>
      <c r="M597" s="24"/>
      <c r="O597" s="13"/>
      <c r="P597" s="13"/>
    </row>
    <row r="598">
      <c r="C598" s="24"/>
      <c r="E598" s="13"/>
      <c r="F598" s="13"/>
      <c r="H598" s="24"/>
      <c r="J598" s="13"/>
      <c r="K598" s="13"/>
      <c r="M598" s="24"/>
      <c r="O598" s="13"/>
      <c r="P598" s="13"/>
    </row>
    <row r="599">
      <c r="C599" s="24"/>
      <c r="E599" s="13"/>
      <c r="F599" s="13"/>
      <c r="H599" s="24"/>
      <c r="J599" s="13"/>
      <c r="K599" s="13"/>
      <c r="M599" s="24"/>
      <c r="O599" s="13"/>
      <c r="P599" s="13"/>
    </row>
    <row r="600">
      <c r="C600" s="24"/>
      <c r="E600" s="13"/>
      <c r="F600" s="13"/>
      <c r="H600" s="24"/>
      <c r="J600" s="13"/>
      <c r="K600" s="13"/>
      <c r="M600" s="24"/>
      <c r="O600" s="13"/>
      <c r="P600" s="13"/>
    </row>
    <row r="601">
      <c r="C601" s="24"/>
      <c r="E601" s="13"/>
      <c r="F601" s="13"/>
      <c r="H601" s="24"/>
      <c r="J601" s="13"/>
      <c r="K601" s="13"/>
      <c r="M601" s="24"/>
      <c r="O601" s="13"/>
      <c r="P601" s="13"/>
    </row>
    <row r="602">
      <c r="C602" s="24"/>
      <c r="E602" s="13"/>
      <c r="F602" s="13"/>
      <c r="H602" s="24"/>
      <c r="J602" s="13"/>
      <c r="K602" s="13"/>
      <c r="M602" s="24"/>
      <c r="O602" s="13"/>
      <c r="P602" s="13"/>
    </row>
    <row r="603">
      <c r="C603" s="24"/>
      <c r="E603" s="13"/>
      <c r="F603" s="13"/>
      <c r="H603" s="24"/>
      <c r="J603" s="13"/>
      <c r="K603" s="13"/>
      <c r="M603" s="24"/>
      <c r="O603" s="13"/>
      <c r="P603" s="13"/>
    </row>
    <row r="604">
      <c r="C604" s="24"/>
      <c r="E604" s="13"/>
      <c r="F604" s="13"/>
      <c r="H604" s="24"/>
      <c r="J604" s="13"/>
      <c r="K604" s="13"/>
      <c r="M604" s="24"/>
      <c r="O604" s="13"/>
      <c r="P604" s="13"/>
    </row>
    <row r="605">
      <c r="C605" s="24"/>
      <c r="E605" s="13"/>
      <c r="F605" s="13"/>
      <c r="H605" s="24"/>
      <c r="J605" s="13"/>
      <c r="K605" s="13"/>
      <c r="M605" s="24"/>
      <c r="O605" s="13"/>
      <c r="P605" s="13"/>
    </row>
    <row r="606">
      <c r="C606" s="24"/>
      <c r="E606" s="13"/>
      <c r="F606" s="13"/>
      <c r="H606" s="24"/>
      <c r="J606" s="13"/>
      <c r="K606" s="13"/>
      <c r="M606" s="24"/>
      <c r="O606" s="13"/>
      <c r="P606" s="13"/>
    </row>
    <row r="607">
      <c r="C607" s="24"/>
      <c r="E607" s="13"/>
      <c r="F607" s="13"/>
      <c r="H607" s="24"/>
      <c r="J607" s="13"/>
      <c r="K607" s="13"/>
      <c r="M607" s="24"/>
      <c r="O607" s="13"/>
      <c r="P607" s="13"/>
    </row>
    <row r="608">
      <c r="C608" s="24"/>
      <c r="E608" s="13"/>
      <c r="F608" s="13"/>
      <c r="H608" s="24"/>
      <c r="J608" s="13"/>
      <c r="K608" s="13"/>
      <c r="M608" s="24"/>
      <c r="O608" s="13"/>
      <c r="P608" s="13"/>
    </row>
    <row r="609">
      <c r="C609" s="24"/>
      <c r="E609" s="13"/>
      <c r="F609" s="13"/>
      <c r="H609" s="24"/>
      <c r="J609" s="13"/>
      <c r="K609" s="13"/>
      <c r="M609" s="24"/>
      <c r="O609" s="13"/>
      <c r="P609" s="13"/>
    </row>
    <row r="610">
      <c r="C610" s="24"/>
      <c r="E610" s="13"/>
      <c r="F610" s="13"/>
      <c r="H610" s="24"/>
      <c r="J610" s="13"/>
      <c r="K610" s="13"/>
      <c r="M610" s="24"/>
      <c r="O610" s="13"/>
      <c r="P610" s="13"/>
    </row>
    <row r="611">
      <c r="C611" s="24"/>
      <c r="E611" s="13"/>
      <c r="F611" s="13"/>
      <c r="H611" s="24"/>
      <c r="J611" s="13"/>
      <c r="K611" s="13"/>
      <c r="M611" s="24"/>
      <c r="O611" s="13"/>
      <c r="P611" s="13"/>
    </row>
    <row r="612">
      <c r="C612" s="24"/>
      <c r="E612" s="13"/>
      <c r="F612" s="13"/>
      <c r="H612" s="24"/>
      <c r="J612" s="13"/>
      <c r="K612" s="13"/>
      <c r="M612" s="24"/>
      <c r="O612" s="13"/>
      <c r="P612" s="13"/>
    </row>
    <row r="613">
      <c r="C613" s="24"/>
      <c r="E613" s="13"/>
      <c r="F613" s="13"/>
      <c r="H613" s="24"/>
      <c r="J613" s="13"/>
      <c r="K613" s="13"/>
      <c r="M613" s="24"/>
      <c r="O613" s="13"/>
      <c r="P613" s="13"/>
    </row>
    <row r="614">
      <c r="C614" s="24"/>
      <c r="E614" s="13"/>
      <c r="F614" s="13"/>
      <c r="H614" s="24"/>
      <c r="J614" s="13"/>
      <c r="K614" s="13"/>
      <c r="M614" s="24"/>
      <c r="O614" s="13"/>
      <c r="P614" s="13"/>
    </row>
    <row r="615">
      <c r="C615" s="24"/>
      <c r="E615" s="13"/>
      <c r="F615" s="13"/>
      <c r="H615" s="24"/>
      <c r="J615" s="13"/>
      <c r="K615" s="13"/>
      <c r="M615" s="24"/>
      <c r="O615" s="13"/>
      <c r="P615" s="13"/>
    </row>
    <row r="616">
      <c r="C616" s="24"/>
      <c r="E616" s="13"/>
      <c r="F616" s="13"/>
      <c r="H616" s="24"/>
      <c r="J616" s="13"/>
      <c r="K616" s="13"/>
      <c r="M616" s="24"/>
      <c r="O616" s="13"/>
      <c r="P616" s="13"/>
    </row>
    <row r="617">
      <c r="C617" s="24"/>
      <c r="E617" s="13"/>
      <c r="F617" s="13"/>
      <c r="H617" s="24"/>
      <c r="J617" s="13"/>
      <c r="K617" s="13"/>
      <c r="M617" s="24"/>
      <c r="O617" s="13"/>
      <c r="P617" s="13"/>
    </row>
    <row r="618">
      <c r="C618" s="24"/>
      <c r="E618" s="13"/>
      <c r="F618" s="13"/>
      <c r="H618" s="24"/>
      <c r="J618" s="13"/>
      <c r="K618" s="13"/>
      <c r="M618" s="24"/>
      <c r="O618" s="13"/>
      <c r="P618" s="13"/>
    </row>
    <row r="619">
      <c r="C619" s="24"/>
      <c r="E619" s="13"/>
      <c r="F619" s="13"/>
      <c r="H619" s="24"/>
      <c r="J619" s="13"/>
      <c r="K619" s="13"/>
      <c r="M619" s="24"/>
      <c r="O619" s="13"/>
      <c r="P619" s="13"/>
    </row>
    <row r="620">
      <c r="C620" s="24"/>
      <c r="E620" s="13"/>
      <c r="F620" s="13"/>
      <c r="H620" s="24"/>
      <c r="J620" s="13"/>
      <c r="K620" s="13"/>
      <c r="M620" s="24"/>
      <c r="O620" s="13"/>
      <c r="P620" s="13"/>
    </row>
    <row r="621">
      <c r="C621" s="24"/>
      <c r="E621" s="13"/>
      <c r="F621" s="13"/>
      <c r="H621" s="24"/>
      <c r="J621" s="13"/>
      <c r="K621" s="13"/>
      <c r="M621" s="24"/>
      <c r="O621" s="13"/>
      <c r="P621" s="13"/>
    </row>
    <row r="622">
      <c r="C622" s="24"/>
      <c r="E622" s="13"/>
      <c r="F622" s="13"/>
      <c r="H622" s="24"/>
      <c r="J622" s="13"/>
      <c r="K622" s="13"/>
      <c r="M622" s="24"/>
      <c r="O622" s="13"/>
      <c r="P622" s="13"/>
    </row>
    <row r="623">
      <c r="C623" s="24"/>
      <c r="E623" s="13"/>
      <c r="F623" s="13"/>
      <c r="H623" s="24"/>
      <c r="J623" s="13"/>
      <c r="K623" s="13"/>
      <c r="M623" s="24"/>
      <c r="O623" s="13"/>
      <c r="P623" s="13"/>
    </row>
    <row r="624">
      <c r="C624" s="24"/>
      <c r="E624" s="13"/>
      <c r="F624" s="13"/>
      <c r="H624" s="24"/>
      <c r="J624" s="13"/>
      <c r="K624" s="13"/>
      <c r="M624" s="24"/>
      <c r="O624" s="13"/>
      <c r="P624" s="13"/>
    </row>
    <row r="625">
      <c r="C625" s="24"/>
      <c r="E625" s="13"/>
      <c r="F625" s="13"/>
      <c r="H625" s="24"/>
      <c r="J625" s="13"/>
      <c r="K625" s="13"/>
      <c r="M625" s="24"/>
      <c r="O625" s="13"/>
      <c r="P625" s="13"/>
    </row>
    <row r="626">
      <c r="C626" s="24"/>
      <c r="E626" s="13"/>
      <c r="F626" s="13"/>
      <c r="H626" s="24"/>
      <c r="J626" s="13"/>
      <c r="K626" s="13"/>
      <c r="M626" s="24"/>
      <c r="O626" s="13"/>
      <c r="P626" s="13"/>
    </row>
    <row r="627">
      <c r="C627" s="24"/>
      <c r="E627" s="13"/>
      <c r="F627" s="13"/>
      <c r="H627" s="24"/>
      <c r="J627" s="13"/>
      <c r="K627" s="13"/>
      <c r="M627" s="24"/>
      <c r="O627" s="13"/>
      <c r="P627" s="13"/>
    </row>
    <row r="628">
      <c r="C628" s="24"/>
      <c r="E628" s="13"/>
      <c r="F628" s="13"/>
      <c r="H628" s="24"/>
      <c r="J628" s="13"/>
      <c r="K628" s="13"/>
      <c r="M628" s="24"/>
      <c r="O628" s="13"/>
      <c r="P628" s="13"/>
    </row>
    <row r="629">
      <c r="C629" s="24"/>
      <c r="E629" s="13"/>
      <c r="F629" s="13"/>
      <c r="H629" s="24"/>
      <c r="J629" s="13"/>
      <c r="K629" s="13"/>
      <c r="M629" s="24"/>
      <c r="O629" s="13"/>
      <c r="P629" s="13"/>
    </row>
    <row r="630">
      <c r="C630" s="24"/>
      <c r="E630" s="13"/>
      <c r="F630" s="13"/>
      <c r="H630" s="24"/>
      <c r="J630" s="13"/>
      <c r="K630" s="13"/>
      <c r="M630" s="24"/>
      <c r="O630" s="13"/>
      <c r="P630" s="13"/>
    </row>
    <row r="631">
      <c r="C631" s="24"/>
      <c r="E631" s="13"/>
      <c r="F631" s="13"/>
      <c r="H631" s="24"/>
      <c r="J631" s="13"/>
      <c r="K631" s="13"/>
      <c r="M631" s="24"/>
      <c r="O631" s="13"/>
      <c r="P631" s="13"/>
    </row>
    <row r="632">
      <c r="C632" s="24"/>
      <c r="E632" s="13"/>
      <c r="F632" s="13"/>
      <c r="H632" s="24"/>
      <c r="J632" s="13"/>
      <c r="K632" s="13"/>
      <c r="M632" s="24"/>
      <c r="O632" s="13"/>
      <c r="P632" s="13"/>
    </row>
    <row r="633">
      <c r="C633" s="24"/>
      <c r="E633" s="13"/>
      <c r="F633" s="13"/>
      <c r="H633" s="24"/>
      <c r="J633" s="13"/>
      <c r="K633" s="13"/>
      <c r="M633" s="24"/>
      <c r="O633" s="13"/>
      <c r="P633" s="13"/>
    </row>
    <row r="634">
      <c r="C634" s="24"/>
      <c r="E634" s="13"/>
      <c r="F634" s="13"/>
      <c r="H634" s="24"/>
      <c r="J634" s="13"/>
      <c r="K634" s="13"/>
      <c r="M634" s="24"/>
      <c r="O634" s="13"/>
      <c r="P634" s="13"/>
    </row>
    <row r="635">
      <c r="C635" s="24"/>
      <c r="E635" s="13"/>
      <c r="F635" s="13"/>
      <c r="H635" s="24"/>
      <c r="J635" s="13"/>
      <c r="K635" s="13"/>
      <c r="M635" s="24"/>
      <c r="O635" s="13"/>
      <c r="P635" s="13"/>
    </row>
    <row r="636">
      <c r="C636" s="24"/>
      <c r="E636" s="13"/>
      <c r="F636" s="13"/>
      <c r="H636" s="24"/>
      <c r="J636" s="13"/>
      <c r="K636" s="13"/>
      <c r="M636" s="24"/>
      <c r="O636" s="13"/>
      <c r="P636" s="13"/>
    </row>
    <row r="637">
      <c r="C637" s="24"/>
      <c r="E637" s="13"/>
      <c r="F637" s="13"/>
      <c r="H637" s="24"/>
      <c r="J637" s="13"/>
      <c r="K637" s="13"/>
      <c r="M637" s="24"/>
      <c r="O637" s="13"/>
      <c r="P637" s="13"/>
    </row>
    <row r="638">
      <c r="C638" s="24"/>
      <c r="E638" s="13"/>
      <c r="F638" s="13"/>
      <c r="H638" s="24"/>
      <c r="J638" s="13"/>
      <c r="K638" s="13"/>
      <c r="M638" s="24"/>
      <c r="O638" s="13"/>
      <c r="P638" s="13"/>
    </row>
    <row r="639">
      <c r="C639" s="24"/>
      <c r="E639" s="13"/>
      <c r="F639" s="13"/>
      <c r="H639" s="24"/>
      <c r="J639" s="13"/>
      <c r="K639" s="13"/>
      <c r="M639" s="24"/>
      <c r="O639" s="13"/>
      <c r="P639" s="13"/>
    </row>
    <row r="640">
      <c r="C640" s="24"/>
      <c r="E640" s="13"/>
      <c r="F640" s="13"/>
      <c r="H640" s="24"/>
      <c r="J640" s="13"/>
      <c r="K640" s="13"/>
      <c r="M640" s="24"/>
      <c r="O640" s="13"/>
      <c r="P640" s="13"/>
    </row>
    <row r="641">
      <c r="C641" s="24"/>
      <c r="E641" s="13"/>
      <c r="F641" s="13"/>
      <c r="H641" s="24"/>
      <c r="J641" s="13"/>
      <c r="K641" s="13"/>
      <c r="M641" s="24"/>
      <c r="O641" s="13"/>
      <c r="P641" s="13"/>
    </row>
    <row r="642">
      <c r="C642" s="24"/>
      <c r="E642" s="13"/>
      <c r="F642" s="13"/>
      <c r="H642" s="24"/>
      <c r="J642" s="13"/>
      <c r="K642" s="13"/>
      <c r="M642" s="24"/>
      <c r="O642" s="13"/>
      <c r="P642" s="13"/>
    </row>
    <row r="643">
      <c r="C643" s="24"/>
      <c r="E643" s="13"/>
      <c r="F643" s="13"/>
      <c r="H643" s="24"/>
      <c r="J643" s="13"/>
      <c r="K643" s="13"/>
      <c r="M643" s="24"/>
      <c r="O643" s="13"/>
      <c r="P643" s="13"/>
    </row>
    <row r="644">
      <c r="C644" s="24"/>
      <c r="E644" s="13"/>
      <c r="F644" s="13"/>
      <c r="H644" s="24"/>
      <c r="J644" s="13"/>
      <c r="K644" s="13"/>
      <c r="M644" s="24"/>
      <c r="O644" s="13"/>
      <c r="P644" s="13"/>
    </row>
    <row r="645">
      <c r="C645" s="24"/>
      <c r="E645" s="13"/>
      <c r="F645" s="13"/>
      <c r="H645" s="24"/>
      <c r="J645" s="13"/>
      <c r="K645" s="13"/>
      <c r="M645" s="24"/>
      <c r="O645" s="13"/>
      <c r="P645" s="13"/>
    </row>
    <row r="646">
      <c r="C646" s="24"/>
      <c r="E646" s="13"/>
      <c r="F646" s="13"/>
      <c r="H646" s="24"/>
      <c r="J646" s="13"/>
      <c r="K646" s="13"/>
      <c r="M646" s="24"/>
      <c r="O646" s="13"/>
      <c r="P646" s="13"/>
    </row>
    <row r="647">
      <c r="C647" s="24"/>
      <c r="E647" s="13"/>
      <c r="F647" s="13"/>
      <c r="H647" s="24"/>
      <c r="J647" s="13"/>
      <c r="K647" s="13"/>
      <c r="M647" s="24"/>
      <c r="O647" s="13"/>
      <c r="P647" s="13"/>
    </row>
    <row r="648">
      <c r="C648" s="24"/>
      <c r="E648" s="13"/>
      <c r="F648" s="13"/>
      <c r="H648" s="24"/>
      <c r="J648" s="13"/>
      <c r="K648" s="13"/>
      <c r="M648" s="24"/>
      <c r="O648" s="13"/>
      <c r="P648" s="13"/>
    </row>
    <row r="649">
      <c r="C649" s="24"/>
      <c r="E649" s="13"/>
      <c r="F649" s="13"/>
      <c r="H649" s="24"/>
      <c r="J649" s="13"/>
      <c r="K649" s="13"/>
      <c r="M649" s="24"/>
      <c r="O649" s="13"/>
      <c r="P649" s="13"/>
    </row>
    <row r="650">
      <c r="C650" s="24"/>
      <c r="E650" s="13"/>
      <c r="F650" s="13"/>
      <c r="H650" s="24"/>
      <c r="J650" s="13"/>
      <c r="K650" s="13"/>
      <c r="M650" s="24"/>
      <c r="O650" s="13"/>
      <c r="P650" s="13"/>
    </row>
    <row r="651">
      <c r="C651" s="24"/>
      <c r="E651" s="13"/>
      <c r="F651" s="13"/>
      <c r="H651" s="24"/>
      <c r="J651" s="13"/>
      <c r="K651" s="13"/>
      <c r="M651" s="24"/>
      <c r="O651" s="13"/>
      <c r="P651" s="13"/>
    </row>
    <row r="652">
      <c r="C652" s="24"/>
      <c r="E652" s="13"/>
      <c r="F652" s="13"/>
      <c r="H652" s="24"/>
      <c r="J652" s="13"/>
      <c r="K652" s="13"/>
      <c r="M652" s="24"/>
      <c r="O652" s="13"/>
      <c r="P652" s="13"/>
    </row>
    <row r="653">
      <c r="C653" s="24"/>
      <c r="E653" s="13"/>
      <c r="F653" s="13"/>
      <c r="H653" s="24"/>
      <c r="J653" s="13"/>
      <c r="K653" s="13"/>
      <c r="M653" s="24"/>
      <c r="O653" s="13"/>
      <c r="P653" s="13"/>
    </row>
    <row r="654">
      <c r="C654" s="24"/>
      <c r="E654" s="13"/>
      <c r="F654" s="13"/>
      <c r="H654" s="24"/>
      <c r="J654" s="13"/>
      <c r="K654" s="13"/>
      <c r="M654" s="24"/>
      <c r="O654" s="13"/>
      <c r="P654" s="13"/>
    </row>
    <row r="655">
      <c r="C655" s="24"/>
      <c r="E655" s="13"/>
      <c r="F655" s="13"/>
      <c r="H655" s="24"/>
      <c r="J655" s="13"/>
      <c r="K655" s="13"/>
      <c r="M655" s="24"/>
      <c r="O655" s="13"/>
      <c r="P655" s="13"/>
    </row>
    <row r="656">
      <c r="C656" s="24"/>
      <c r="E656" s="13"/>
      <c r="F656" s="13"/>
      <c r="H656" s="24"/>
      <c r="J656" s="13"/>
      <c r="K656" s="13"/>
      <c r="M656" s="24"/>
      <c r="O656" s="13"/>
      <c r="P656" s="13"/>
    </row>
    <row r="657">
      <c r="C657" s="24"/>
      <c r="E657" s="13"/>
      <c r="F657" s="13"/>
      <c r="H657" s="24"/>
      <c r="J657" s="13"/>
      <c r="K657" s="13"/>
      <c r="M657" s="24"/>
      <c r="O657" s="13"/>
      <c r="P657" s="13"/>
    </row>
    <row r="658">
      <c r="C658" s="24"/>
      <c r="E658" s="13"/>
      <c r="F658" s="13"/>
      <c r="H658" s="24"/>
      <c r="J658" s="13"/>
      <c r="K658" s="13"/>
      <c r="M658" s="24"/>
      <c r="O658" s="13"/>
      <c r="P658" s="13"/>
    </row>
    <row r="659">
      <c r="C659" s="24"/>
      <c r="E659" s="13"/>
      <c r="F659" s="13"/>
      <c r="H659" s="24"/>
      <c r="J659" s="13"/>
      <c r="K659" s="13"/>
      <c r="M659" s="24"/>
      <c r="O659" s="13"/>
      <c r="P659" s="13"/>
    </row>
    <row r="660">
      <c r="C660" s="24"/>
      <c r="E660" s="13"/>
      <c r="F660" s="13"/>
      <c r="H660" s="24"/>
      <c r="J660" s="13"/>
      <c r="K660" s="13"/>
      <c r="M660" s="24"/>
      <c r="O660" s="13"/>
      <c r="P660" s="13"/>
    </row>
    <row r="661">
      <c r="C661" s="24"/>
      <c r="E661" s="13"/>
      <c r="F661" s="13"/>
      <c r="H661" s="24"/>
      <c r="J661" s="13"/>
      <c r="K661" s="13"/>
      <c r="M661" s="24"/>
      <c r="O661" s="13"/>
      <c r="P661" s="13"/>
    </row>
    <row r="662">
      <c r="C662" s="24"/>
      <c r="E662" s="13"/>
      <c r="F662" s="13"/>
      <c r="H662" s="24"/>
      <c r="J662" s="13"/>
      <c r="K662" s="13"/>
      <c r="M662" s="24"/>
      <c r="O662" s="13"/>
      <c r="P662" s="13"/>
    </row>
    <row r="663">
      <c r="C663" s="24"/>
      <c r="E663" s="13"/>
      <c r="F663" s="13"/>
      <c r="H663" s="24"/>
      <c r="J663" s="13"/>
      <c r="K663" s="13"/>
      <c r="M663" s="24"/>
      <c r="O663" s="13"/>
      <c r="P663" s="13"/>
    </row>
    <row r="664">
      <c r="C664" s="24"/>
      <c r="E664" s="13"/>
      <c r="F664" s="13"/>
      <c r="H664" s="24"/>
      <c r="J664" s="13"/>
      <c r="K664" s="13"/>
      <c r="M664" s="24"/>
      <c r="O664" s="13"/>
      <c r="P664" s="13"/>
    </row>
    <row r="665">
      <c r="C665" s="24"/>
      <c r="E665" s="13"/>
      <c r="F665" s="13"/>
      <c r="H665" s="24"/>
      <c r="J665" s="13"/>
      <c r="K665" s="13"/>
      <c r="M665" s="24"/>
      <c r="O665" s="13"/>
      <c r="P665" s="13"/>
    </row>
    <row r="666">
      <c r="C666" s="24"/>
      <c r="E666" s="13"/>
      <c r="F666" s="13"/>
      <c r="H666" s="24"/>
      <c r="J666" s="13"/>
      <c r="K666" s="13"/>
      <c r="M666" s="24"/>
      <c r="O666" s="13"/>
      <c r="P666" s="13"/>
    </row>
    <row r="667">
      <c r="C667" s="24"/>
      <c r="E667" s="13"/>
      <c r="F667" s="13"/>
      <c r="H667" s="24"/>
      <c r="J667" s="13"/>
      <c r="K667" s="13"/>
      <c r="M667" s="24"/>
      <c r="O667" s="13"/>
      <c r="P667" s="13"/>
    </row>
    <row r="668">
      <c r="C668" s="24"/>
      <c r="E668" s="13"/>
      <c r="F668" s="13"/>
      <c r="H668" s="24"/>
      <c r="J668" s="13"/>
      <c r="K668" s="13"/>
      <c r="M668" s="24"/>
      <c r="O668" s="13"/>
      <c r="P668" s="13"/>
    </row>
    <row r="669">
      <c r="C669" s="24"/>
      <c r="E669" s="13"/>
      <c r="F669" s="13"/>
      <c r="H669" s="24"/>
      <c r="J669" s="13"/>
      <c r="K669" s="13"/>
      <c r="M669" s="24"/>
      <c r="O669" s="13"/>
      <c r="P669" s="13"/>
    </row>
    <row r="670">
      <c r="C670" s="24"/>
      <c r="E670" s="13"/>
      <c r="F670" s="13"/>
      <c r="H670" s="24"/>
      <c r="J670" s="13"/>
      <c r="K670" s="13"/>
      <c r="M670" s="24"/>
      <c r="O670" s="13"/>
      <c r="P670" s="13"/>
    </row>
    <row r="671">
      <c r="C671" s="24"/>
      <c r="E671" s="13"/>
      <c r="F671" s="13"/>
      <c r="H671" s="24"/>
      <c r="J671" s="13"/>
      <c r="K671" s="13"/>
      <c r="M671" s="24"/>
      <c r="O671" s="13"/>
      <c r="P671" s="13"/>
    </row>
    <row r="672">
      <c r="C672" s="24"/>
      <c r="E672" s="13"/>
      <c r="F672" s="13"/>
      <c r="H672" s="24"/>
      <c r="J672" s="13"/>
      <c r="K672" s="13"/>
      <c r="M672" s="24"/>
      <c r="O672" s="13"/>
      <c r="P672" s="13"/>
    </row>
    <row r="673">
      <c r="C673" s="24"/>
      <c r="E673" s="13"/>
      <c r="F673" s="13"/>
      <c r="H673" s="24"/>
      <c r="J673" s="13"/>
      <c r="K673" s="13"/>
      <c r="M673" s="24"/>
      <c r="O673" s="13"/>
      <c r="P673" s="13"/>
    </row>
    <row r="674">
      <c r="C674" s="24"/>
      <c r="E674" s="13"/>
      <c r="F674" s="13"/>
      <c r="H674" s="24"/>
      <c r="J674" s="13"/>
      <c r="K674" s="13"/>
      <c r="M674" s="24"/>
      <c r="O674" s="13"/>
      <c r="P674" s="13"/>
    </row>
    <row r="675">
      <c r="C675" s="24"/>
      <c r="E675" s="13"/>
      <c r="F675" s="13"/>
      <c r="H675" s="24"/>
      <c r="J675" s="13"/>
      <c r="K675" s="13"/>
      <c r="M675" s="24"/>
      <c r="O675" s="13"/>
      <c r="P675" s="13"/>
    </row>
    <row r="676">
      <c r="C676" s="24"/>
      <c r="E676" s="13"/>
      <c r="F676" s="13"/>
      <c r="H676" s="24"/>
      <c r="J676" s="13"/>
      <c r="K676" s="13"/>
      <c r="M676" s="24"/>
      <c r="O676" s="13"/>
      <c r="P676" s="13"/>
    </row>
    <row r="677">
      <c r="C677" s="24"/>
      <c r="E677" s="13"/>
      <c r="F677" s="13"/>
      <c r="H677" s="24"/>
      <c r="J677" s="13"/>
      <c r="K677" s="13"/>
      <c r="M677" s="24"/>
      <c r="O677" s="13"/>
      <c r="P677" s="13"/>
    </row>
    <row r="678">
      <c r="C678" s="24"/>
      <c r="E678" s="13"/>
      <c r="F678" s="13"/>
      <c r="H678" s="24"/>
      <c r="J678" s="13"/>
      <c r="K678" s="13"/>
      <c r="M678" s="24"/>
      <c r="O678" s="13"/>
      <c r="P678" s="13"/>
    </row>
    <row r="679">
      <c r="C679" s="24"/>
      <c r="E679" s="13"/>
      <c r="F679" s="13"/>
      <c r="H679" s="24"/>
      <c r="J679" s="13"/>
      <c r="K679" s="13"/>
      <c r="M679" s="24"/>
      <c r="O679" s="13"/>
      <c r="P679" s="13"/>
    </row>
    <row r="680">
      <c r="C680" s="24"/>
      <c r="E680" s="13"/>
      <c r="F680" s="13"/>
      <c r="H680" s="24"/>
      <c r="J680" s="13"/>
      <c r="K680" s="13"/>
      <c r="M680" s="24"/>
      <c r="O680" s="13"/>
      <c r="P680" s="13"/>
    </row>
    <row r="681">
      <c r="C681" s="24"/>
      <c r="E681" s="13"/>
      <c r="F681" s="13"/>
      <c r="H681" s="24"/>
      <c r="J681" s="13"/>
      <c r="K681" s="13"/>
      <c r="M681" s="24"/>
      <c r="O681" s="13"/>
      <c r="P681" s="13"/>
    </row>
    <row r="682">
      <c r="C682" s="24"/>
      <c r="E682" s="13"/>
      <c r="F682" s="13"/>
      <c r="H682" s="24"/>
      <c r="J682" s="13"/>
      <c r="K682" s="13"/>
      <c r="M682" s="24"/>
      <c r="O682" s="13"/>
      <c r="P682" s="13"/>
    </row>
    <row r="683">
      <c r="C683" s="24"/>
      <c r="E683" s="13"/>
      <c r="F683" s="13"/>
      <c r="H683" s="24"/>
      <c r="J683" s="13"/>
      <c r="K683" s="13"/>
      <c r="M683" s="24"/>
      <c r="O683" s="13"/>
      <c r="P683" s="13"/>
    </row>
    <row r="684">
      <c r="C684" s="24"/>
      <c r="E684" s="13"/>
      <c r="F684" s="13"/>
      <c r="H684" s="24"/>
      <c r="J684" s="13"/>
      <c r="K684" s="13"/>
      <c r="M684" s="24"/>
      <c r="O684" s="13"/>
      <c r="P684" s="13"/>
    </row>
    <row r="685">
      <c r="C685" s="24"/>
      <c r="E685" s="13"/>
      <c r="F685" s="13"/>
      <c r="H685" s="24"/>
      <c r="J685" s="13"/>
      <c r="K685" s="13"/>
      <c r="M685" s="24"/>
      <c r="O685" s="13"/>
      <c r="P685" s="13"/>
    </row>
    <row r="686">
      <c r="C686" s="24"/>
      <c r="E686" s="13"/>
      <c r="F686" s="13"/>
      <c r="H686" s="24"/>
      <c r="J686" s="13"/>
      <c r="K686" s="13"/>
      <c r="M686" s="24"/>
      <c r="O686" s="13"/>
      <c r="P686" s="13"/>
    </row>
    <row r="687">
      <c r="C687" s="24"/>
      <c r="E687" s="13"/>
      <c r="F687" s="13"/>
      <c r="H687" s="24"/>
      <c r="J687" s="13"/>
      <c r="K687" s="13"/>
      <c r="M687" s="24"/>
      <c r="O687" s="13"/>
      <c r="P687" s="13"/>
    </row>
    <row r="688">
      <c r="C688" s="24"/>
      <c r="E688" s="13"/>
      <c r="F688" s="13"/>
      <c r="H688" s="24"/>
      <c r="J688" s="13"/>
      <c r="K688" s="13"/>
      <c r="M688" s="24"/>
      <c r="O688" s="13"/>
      <c r="P688" s="13"/>
    </row>
    <row r="689">
      <c r="C689" s="24"/>
      <c r="E689" s="13"/>
      <c r="F689" s="13"/>
      <c r="H689" s="24"/>
      <c r="J689" s="13"/>
      <c r="K689" s="13"/>
      <c r="M689" s="24"/>
      <c r="O689" s="13"/>
      <c r="P689" s="13"/>
    </row>
    <row r="690">
      <c r="C690" s="24"/>
      <c r="E690" s="13"/>
      <c r="F690" s="13"/>
      <c r="H690" s="24"/>
      <c r="J690" s="13"/>
      <c r="K690" s="13"/>
      <c r="M690" s="24"/>
      <c r="O690" s="13"/>
      <c r="P690" s="13"/>
    </row>
    <row r="691">
      <c r="C691" s="24"/>
      <c r="E691" s="13"/>
      <c r="F691" s="13"/>
      <c r="H691" s="24"/>
      <c r="J691" s="13"/>
      <c r="K691" s="13"/>
      <c r="M691" s="24"/>
      <c r="O691" s="13"/>
      <c r="P691" s="13"/>
    </row>
    <row r="692">
      <c r="C692" s="24"/>
      <c r="E692" s="13"/>
      <c r="F692" s="13"/>
      <c r="H692" s="24"/>
      <c r="J692" s="13"/>
      <c r="K692" s="13"/>
      <c r="M692" s="24"/>
      <c r="O692" s="13"/>
      <c r="P692" s="13"/>
    </row>
    <row r="693">
      <c r="C693" s="24"/>
      <c r="E693" s="13"/>
      <c r="F693" s="13"/>
      <c r="H693" s="24"/>
      <c r="J693" s="13"/>
      <c r="K693" s="13"/>
      <c r="M693" s="24"/>
      <c r="O693" s="13"/>
      <c r="P693" s="13"/>
    </row>
    <row r="694">
      <c r="C694" s="24"/>
      <c r="E694" s="13"/>
      <c r="F694" s="13"/>
      <c r="H694" s="24"/>
      <c r="J694" s="13"/>
      <c r="K694" s="13"/>
      <c r="M694" s="24"/>
      <c r="O694" s="13"/>
      <c r="P694" s="13"/>
    </row>
    <row r="695">
      <c r="C695" s="24"/>
      <c r="E695" s="13"/>
      <c r="F695" s="13"/>
      <c r="H695" s="24"/>
      <c r="J695" s="13"/>
      <c r="K695" s="13"/>
      <c r="M695" s="24"/>
      <c r="O695" s="13"/>
      <c r="P695" s="13"/>
    </row>
    <row r="696">
      <c r="C696" s="24"/>
      <c r="E696" s="13"/>
      <c r="F696" s="13"/>
      <c r="H696" s="24"/>
      <c r="J696" s="13"/>
      <c r="K696" s="13"/>
      <c r="M696" s="24"/>
      <c r="O696" s="13"/>
      <c r="P696" s="13"/>
    </row>
    <row r="697">
      <c r="C697" s="24"/>
      <c r="E697" s="13"/>
      <c r="F697" s="13"/>
      <c r="H697" s="24"/>
      <c r="J697" s="13"/>
      <c r="K697" s="13"/>
      <c r="M697" s="24"/>
      <c r="O697" s="13"/>
      <c r="P697" s="13"/>
    </row>
    <row r="698">
      <c r="C698" s="24"/>
      <c r="E698" s="13"/>
      <c r="F698" s="13"/>
      <c r="H698" s="24"/>
      <c r="J698" s="13"/>
      <c r="K698" s="13"/>
      <c r="M698" s="24"/>
      <c r="O698" s="13"/>
      <c r="P698" s="13"/>
    </row>
    <row r="699">
      <c r="C699" s="24"/>
      <c r="E699" s="13"/>
      <c r="F699" s="13"/>
      <c r="H699" s="24"/>
      <c r="J699" s="13"/>
      <c r="K699" s="13"/>
      <c r="M699" s="24"/>
      <c r="O699" s="13"/>
      <c r="P699" s="13"/>
    </row>
    <row r="700">
      <c r="C700" s="24"/>
      <c r="E700" s="13"/>
      <c r="F700" s="13"/>
      <c r="H700" s="24"/>
      <c r="J700" s="13"/>
      <c r="K700" s="13"/>
      <c r="M700" s="24"/>
      <c r="O700" s="13"/>
      <c r="P700" s="13"/>
    </row>
    <row r="701">
      <c r="C701" s="24"/>
      <c r="E701" s="13"/>
      <c r="F701" s="13"/>
      <c r="H701" s="24"/>
      <c r="J701" s="13"/>
      <c r="K701" s="13"/>
      <c r="M701" s="24"/>
      <c r="O701" s="13"/>
      <c r="P701" s="13"/>
    </row>
    <row r="702">
      <c r="C702" s="24"/>
      <c r="E702" s="13"/>
      <c r="F702" s="13"/>
      <c r="H702" s="24"/>
      <c r="J702" s="13"/>
      <c r="K702" s="13"/>
      <c r="M702" s="24"/>
      <c r="O702" s="13"/>
      <c r="P702" s="13"/>
    </row>
    <row r="703">
      <c r="C703" s="24"/>
      <c r="E703" s="13"/>
      <c r="F703" s="13"/>
      <c r="H703" s="24"/>
      <c r="J703" s="13"/>
      <c r="K703" s="13"/>
      <c r="M703" s="24"/>
      <c r="O703" s="13"/>
      <c r="P703" s="13"/>
    </row>
    <row r="704">
      <c r="C704" s="24"/>
      <c r="E704" s="13"/>
      <c r="F704" s="13"/>
      <c r="H704" s="24"/>
      <c r="J704" s="13"/>
      <c r="K704" s="13"/>
      <c r="M704" s="24"/>
      <c r="O704" s="13"/>
      <c r="P704" s="13"/>
    </row>
    <row r="705">
      <c r="C705" s="24"/>
      <c r="E705" s="13"/>
      <c r="F705" s="13"/>
      <c r="H705" s="24"/>
      <c r="J705" s="13"/>
      <c r="K705" s="13"/>
      <c r="M705" s="24"/>
      <c r="O705" s="13"/>
      <c r="P705" s="13"/>
    </row>
    <row r="706">
      <c r="C706" s="24"/>
      <c r="E706" s="13"/>
      <c r="F706" s="13"/>
      <c r="H706" s="24"/>
      <c r="J706" s="13"/>
      <c r="K706" s="13"/>
      <c r="M706" s="24"/>
      <c r="O706" s="13"/>
      <c r="P706" s="13"/>
    </row>
    <row r="707">
      <c r="C707" s="24"/>
      <c r="E707" s="13"/>
      <c r="F707" s="13"/>
      <c r="H707" s="24"/>
      <c r="J707" s="13"/>
      <c r="K707" s="13"/>
      <c r="M707" s="24"/>
      <c r="O707" s="13"/>
      <c r="P707" s="13"/>
    </row>
    <row r="708">
      <c r="C708" s="24"/>
      <c r="E708" s="13"/>
      <c r="F708" s="13"/>
      <c r="H708" s="24"/>
      <c r="J708" s="13"/>
      <c r="K708" s="13"/>
      <c r="M708" s="24"/>
      <c r="O708" s="13"/>
      <c r="P708" s="13"/>
    </row>
    <row r="709">
      <c r="C709" s="24"/>
      <c r="E709" s="13"/>
      <c r="F709" s="13"/>
      <c r="H709" s="24"/>
      <c r="J709" s="13"/>
      <c r="K709" s="13"/>
      <c r="M709" s="24"/>
      <c r="O709" s="13"/>
      <c r="P709" s="13"/>
    </row>
    <row r="710">
      <c r="C710" s="24"/>
      <c r="E710" s="13"/>
      <c r="F710" s="13"/>
      <c r="H710" s="24"/>
      <c r="J710" s="13"/>
      <c r="K710" s="13"/>
      <c r="M710" s="24"/>
      <c r="O710" s="13"/>
      <c r="P710" s="13"/>
    </row>
    <row r="711">
      <c r="C711" s="24"/>
      <c r="E711" s="13"/>
      <c r="F711" s="13"/>
      <c r="H711" s="24"/>
      <c r="J711" s="13"/>
      <c r="K711" s="13"/>
      <c r="M711" s="24"/>
      <c r="O711" s="13"/>
      <c r="P711" s="13"/>
    </row>
    <row r="712">
      <c r="C712" s="24"/>
      <c r="E712" s="13"/>
      <c r="F712" s="13"/>
      <c r="H712" s="24"/>
      <c r="J712" s="13"/>
      <c r="K712" s="13"/>
      <c r="M712" s="24"/>
      <c r="O712" s="13"/>
      <c r="P712" s="13"/>
    </row>
    <row r="713">
      <c r="C713" s="24"/>
      <c r="E713" s="13"/>
      <c r="F713" s="13"/>
      <c r="H713" s="24"/>
      <c r="J713" s="13"/>
      <c r="K713" s="13"/>
      <c r="M713" s="24"/>
      <c r="O713" s="13"/>
      <c r="P713" s="13"/>
    </row>
    <row r="714">
      <c r="C714" s="24"/>
      <c r="E714" s="13"/>
      <c r="F714" s="13"/>
      <c r="H714" s="24"/>
      <c r="J714" s="13"/>
      <c r="K714" s="13"/>
      <c r="M714" s="24"/>
      <c r="O714" s="13"/>
      <c r="P714" s="13"/>
    </row>
    <row r="715">
      <c r="C715" s="24"/>
      <c r="E715" s="13"/>
      <c r="F715" s="13"/>
      <c r="H715" s="24"/>
      <c r="J715" s="13"/>
      <c r="K715" s="13"/>
      <c r="M715" s="24"/>
      <c r="O715" s="13"/>
      <c r="P715" s="13"/>
    </row>
    <row r="716">
      <c r="C716" s="24"/>
      <c r="E716" s="13"/>
      <c r="F716" s="13"/>
      <c r="H716" s="24"/>
      <c r="J716" s="13"/>
      <c r="K716" s="13"/>
      <c r="M716" s="24"/>
      <c r="O716" s="13"/>
      <c r="P716" s="13"/>
    </row>
    <row r="717">
      <c r="C717" s="24"/>
      <c r="E717" s="13"/>
      <c r="F717" s="13"/>
      <c r="H717" s="24"/>
      <c r="J717" s="13"/>
      <c r="K717" s="13"/>
      <c r="M717" s="24"/>
      <c r="O717" s="13"/>
      <c r="P717" s="13"/>
    </row>
    <row r="718">
      <c r="C718" s="24"/>
      <c r="E718" s="13"/>
      <c r="F718" s="13"/>
      <c r="H718" s="24"/>
      <c r="J718" s="13"/>
      <c r="K718" s="13"/>
      <c r="M718" s="24"/>
      <c r="O718" s="13"/>
      <c r="P718" s="13"/>
    </row>
    <row r="719">
      <c r="C719" s="24"/>
      <c r="E719" s="13"/>
      <c r="F719" s="13"/>
      <c r="H719" s="24"/>
      <c r="J719" s="13"/>
      <c r="K719" s="13"/>
      <c r="M719" s="24"/>
      <c r="O719" s="13"/>
      <c r="P719" s="13"/>
    </row>
    <row r="720">
      <c r="C720" s="24"/>
      <c r="E720" s="13"/>
      <c r="F720" s="13"/>
      <c r="H720" s="24"/>
      <c r="J720" s="13"/>
      <c r="K720" s="13"/>
      <c r="M720" s="24"/>
      <c r="O720" s="13"/>
      <c r="P720" s="13"/>
    </row>
    <row r="721">
      <c r="C721" s="24"/>
      <c r="E721" s="13"/>
      <c r="F721" s="13"/>
      <c r="H721" s="24"/>
      <c r="J721" s="13"/>
      <c r="K721" s="13"/>
      <c r="M721" s="24"/>
      <c r="O721" s="13"/>
      <c r="P721" s="13"/>
    </row>
    <row r="722">
      <c r="C722" s="24"/>
      <c r="E722" s="13"/>
      <c r="F722" s="13"/>
      <c r="H722" s="24"/>
      <c r="J722" s="13"/>
      <c r="K722" s="13"/>
      <c r="M722" s="24"/>
      <c r="O722" s="13"/>
      <c r="P722" s="13"/>
    </row>
    <row r="723">
      <c r="C723" s="24"/>
      <c r="E723" s="13"/>
      <c r="F723" s="13"/>
      <c r="H723" s="24"/>
      <c r="J723" s="13"/>
      <c r="K723" s="13"/>
      <c r="M723" s="24"/>
      <c r="O723" s="13"/>
      <c r="P723" s="13"/>
    </row>
    <row r="724">
      <c r="C724" s="24"/>
      <c r="E724" s="13"/>
      <c r="F724" s="13"/>
      <c r="H724" s="24"/>
      <c r="J724" s="13"/>
      <c r="K724" s="13"/>
      <c r="M724" s="24"/>
      <c r="O724" s="13"/>
      <c r="P724" s="13"/>
    </row>
    <row r="725">
      <c r="C725" s="24"/>
      <c r="E725" s="13"/>
      <c r="F725" s="13"/>
      <c r="H725" s="24"/>
      <c r="J725" s="13"/>
      <c r="K725" s="13"/>
      <c r="M725" s="24"/>
      <c r="O725" s="13"/>
      <c r="P725" s="13"/>
    </row>
    <row r="726">
      <c r="C726" s="24"/>
      <c r="E726" s="13"/>
      <c r="F726" s="13"/>
      <c r="H726" s="24"/>
      <c r="J726" s="13"/>
      <c r="K726" s="13"/>
      <c r="M726" s="24"/>
      <c r="O726" s="13"/>
      <c r="P726" s="13"/>
    </row>
    <row r="727">
      <c r="C727" s="24"/>
      <c r="E727" s="13"/>
      <c r="F727" s="13"/>
      <c r="H727" s="24"/>
      <c r="J727" s="13"/>
      <c r="K727" s="13"/>
      <c r="M727" s="24"/>
      <c r="O727" s="13"/>
      <c r="P727" s="13"/>
    </row>
    <row r="728">
      <c r="C728" s="24"/>
      <c r="E728" s="13"/>
      <c r="F728" s="13"/>
      <c r="H728" s="24"/>
      <c r="J728" s="13"/>
      <c r="K728" s="13"/>
      <c r="M728" s="24"/>
      <c r="O728" s="13"/>
      <c r="P728" s="13"/>
    </row>
    <row r="729">
      <c r="C729" s="24"/>
      <c r="E729" s="13"/>
      <c r="F729" s="13"/>
      <c r="H729" s="24"/>
      <c r="J729" s="13"/>
      <c r="K729" s="13"/>
      <c r="M729" s="24"/>
      <c r="O729" s="13"/>
      <c r="P729" s="13"/>
    </row>
    <row r="730">
      <c r="C730" s="24"/>
      <c r="E730" s="13"/>
      <c r="F730" s="13"/>
      <c r="H730" s="24"/>
      <c r="J730" s="13"/>
      <c r="K730" s="13"/>
      <c r="M730" s="24"/>
      <c r="O730" s="13"/>
      <c r="P730" s="13"/>
    </row>
    <row r="731">
      <c r="C731" s="24"/>
      <c r="E731" s="13"/>
      <c r="F731" s="13"/>
      <c r="H731" s="24"/>
      <c r="J731" s="13"/>
      <c r="K731" s="13"/>
      <c r="M731" s="24"/>
      <c r="O731" s="13"/>
      <c r="P731" s="13"/>
    </row>
    <row r="732">
      <c r="C732" s="24"/>
      <c r="E732" s="13"/>
      <c r="F732" s="13"/>
      <c r="H732" s="24"/>
      <c r="J732" s="13"/>
      <c r="K732" s="13"/>
      <c r="M732" s="24"/>
      <c r="O732" s="13"/>
      <c r="P732" s="13"/>
    </row>
    <row r="733">
      <c r="C733" s="24"/>
      <c r="E733" s="13"/>
      <c r="F733" s="13"/>
      <c r="H733" s="24"/>
      <c r="J733" s="13"/>
      <c r="K733" s="13"/>
      <c r="M733" s="24"/>
      <c r="O733" s="13"/>
      <c r="P733" s="13"/>
    </row>
    <row r="734">
      <c r="C734" s="24"/>
      <c r="E734" s="13"/>
      <c r="F734" s="13"/>
      <c r="H734" s="24"/>
      <c r="J734" s="13"/>
      <c r="K734" s="13"/>
      <c r="M734" s="24"/>
      <c r="O734" s="13"/>
      <c r="P734" s="13"/>
    </row>
    <row r="735">
      <c r="C735" s="24"/>
      <c r="E735" s="13"/>
      <c r="F735" s="13"/>
      <c r="H735" s="24"/>
      <c r="J735" s="13"/>
      <c r="K735" s="13"/>
      <c r="M735" s="24"/>
      <c r="O735" s="13"/>
      <c r="P735" s="13"/>
    </row>
    <row r="736">
      <c r="C736" s="24"/>
      <c r="E736" s="13"/>
      <c r="F736" s="13"/>
      <c r="H736" s="24"/>
      <c r="J736" s="13"/>
      <c r="K736" s="13"/>
      <c r="M736" s="24"/>
      <c r="O736" s="13"/>
      <c r="P736" s="13"/>
    </row>
    <row r="737">
      <c r="C737" s="24"/>
      <c r="E737" s="13"/>
      <c r="F737" s="13"/>
      <c r="H737" s="24"/>
      <c r="J737" s="13"/>
      <c r="K737" s="13"/>
      <c r="M737" s="24"/>
      <c r="O737" s="13"/>
      <c r="P737" s="13"/>
    </row>
    <row r="738">
      <c r="C738" s="24"/>
      <c r="E738" s="13"/>
      <c r="F738" s="13"/>
      <c r="H738" s="24"/>
      <c r="J738" s="13"/>
      <c r="K738" s="13"/>
      <c r="M738" s="24"/>
      <c r="O738" s="13"/>
      <c r="P738" s="13"/>
    </row>
    <row r="739">
      <c r="C739" s="24"/>
      <c r="E739" s="13"/>
      <c r="F739" s="13"/>
      <c r="H739" s="24"/>
      <c r="J739" s="13"/>
      <c r="K739" s="13"/>
      <c r="M739" s="24"/>
      <c r="O739" s="13"/>
      <c r="P739" s="13"/>
    </row>
    <row r="740">
      <c r="C740" s="24"/>
      <c r="E740" s="13"/>
      <c r="F740" s="13"/>
      <c r="H740" s="24"/>
      <c r="J740" s="13"/>
      <c r="K740" s="13"/>
      <c r="M740" s="24"/>
      <c r="O740" s="13"/>
      <c r="P740" s="13"/>
    </row>
    <row r="741">
      <c r="C741" s="24"/>
      <c r="E741" s="13"/>
      <c r="F741" s="13"/>
      <c r="H741" s="24"/>
      <c r="J741" s="13"/>
      <c r="K741" s="13"/>
      <c r="M741" s="24"/>
      <c r="O741" s="13"/>
      <c r="P741" s="13"/>
    </row>
    <row r="742">
      <c r="C742" s="24"/>
      <c r="E742" s="13"/>
      <c r="F742" s="13"/>
      <c r="H742" s="24"/>
      <c r="J742" s="13"/>
      <c r="K742" s="13"/>
      <c r="M742" s="24"/>
      <c r="O742" s="13"/>
      <c r="P742" s="13"/>
    </row>
    <row r="743">
      <c r="C743" s="24"/>
      <c r="E743" s="13"/>
      <c r="F743" s="13"/>
      <c r="H743" s="24"/>
      <c r="J743" s="13"/>
      <c r="K743" s="13"/>
      <c r="M743" s="24"/>
      <c r="O743" s="13"/>
      <c r="P743" s="13"/>
    </row>
    <row r="744">
      <c r="C744" s="24"/>
      <c r="E744" s="13"/>
      <c r="F744" s="13"/>
      <c r="H744" s="24"/>
      <c r="J744" s="13"/>
      <c r="K744" s="13"/>
      <c r="M744" s="24"/>
      <c r="O744" s="13"/>
      <c r="P744" s="13"/>
    </row>
    <row r="745">
      <c r="C745" s="24"/>
      <c r="E745" s="13"/>
      <c r="F745" s="13"/>
      <c r="H745" s="24"/>
      <c r="J745" s="13"/>
      <c r="K745" s="13"/>
      <c r="M745" s="24"/>
      <c r="O745" s="13"/>
      <c r="P745" s="13"/>
    </row>
    <row r="746">
      <c r="C746" s="24"/>
      <c r="E746" s="13"/>
      <c r="F746" s="13"/>
      <c r="H746" s="24"/>
      <c r="J746" s="13"/>
      <c r="K746" s="13"/>
      <c r="M746" s="24"/>
      <c r="O746" s="13"/>
      <c r="P746" s="13"/>
    </row>
    <row r="747">
      <c r="C747" s="24"/>
      <c r="E747" s="13"/>
      <c r="F747" s="13"/>
      <c r="H747" s="24"/>
      <c r="J747" s="13"/>
      <c r="K747" s="13"/>
      <c r="M747" s="24"/>
      <c r="O747" s="13"/>
      <c r="P747" s="13"/>
    </row>
    <row r="748">
      <c r="C748" s="24"/>
      <c r="E748" s="13"/>
      <c r="F748" s="13"/>
      <c r="H748" s="24"/>
      <c r="J748" s="13"/>
      <c r="K748" s="13"/>
      <c r="M748" s="24"/>
      <c r="O748" s="13"/>
      <c r="P748" s="13"/>
    </row>
    <row r="749">
      <c r="C749" s="24"/>
      <c r="E749" s="13"/>
      <c r="F749" s="13"/>
      <c r="H749" s="24"/>
      <c r="J749" s="13"/>
      <c r="K749" s="13"/>
      <c r="M749" s="24"/>
      <c r="O749" s="13"/>
      <c r="P749" s="13"/>
    </row>
    <row r="750">
      <c r="C750" s="24"/>
      <c r="E750" s="13"/>
      <c r="F750" s="13"/>
      <c r="H750" s="24"/>
      <c r="J750" s="13"/>
      <c r="K750" s="13"/>
      <c r="M750" s="24"/>
      <c r="O750" s="13"/>
      <c r="P750" s="13"/>
    </row>
    <row r="751">
      <c r="C751" s="24"/>
      <c r="E751" s="13"/>
      <c r="F751" s="13"/>
      <c r="H751" s="24"/>
      <c r="J751" s="13"/>
      <c r="K751" s="13"/>
      <c r="M751" s="24"/>
      <c r="O751" s="13"/>
      <c r="P751" s="13"/>
    </row>
    <row r="752">
      <c r="C752" s="24"/>
      <c r="E752" s="13"/>
      <c r="F752" s="13"/>
      <c r="H752" s="24"/>
      <c r="J752" s="13"/>
      <c r="K752" s="13"/>
      <c r="M752" s="24"/>
      <c r="O752" s="13"/>
      <c r="P752" s="13"/>
    </row>
    <row r="753">
      <c r="C753" s="24"/>
      <c r="E753" s="13"/>
      <c r="F753" s="13"/>
      <c r="H753" s="24"/>
      <c r="J753" s="13"/>
      <c r="K753" s="13"/>
      <c r="M753" s="24"/>
      <c r="O753" s="13"/>
      <c r="P753" s="13"/>
    </row>
    <row r="754">
      <c r="C754" s="24"/>
      <c r="E754" s="13"/>
      <c r="F754" s="13"/>
      <c r="H754" s="24"/>
      <c r="J754" s="13"/>
      <c r="K754" s="13"/>
      <c r="M754" s="24"/>
      <c r="O754" s="13"/>
      <c r="P754" s="13"/>
    </row>
    <row r="755">
      <c r="C755" s="24"/>
      <c r="E755" s="13"/>
      <c r="F755" s="13"/>
      <c r="H755" s="24"/>
      <c r="J755" s="13"/>
      <c r="K755" s="13"/>
      <c r="M755" s="24"/>
      <c r="O755" s="13"/>
      <c r="P755" s="13"/>
    </row>
    <row r="756">
      <c r="C756" s="24"/>
      <c r="E756" s="13"/>
      <c r="F756" s="13"/>
      <c r="H756" s="24"/>
      <c r="J756" s="13"/>
      <c r="K756" s="13"/>
      <c r="M756" s="24"/>
      <c r="O756" s="13"/>
      <c r="P756" s="13"/>
    </row>
    <row r="757">
      <c r="C757" s="24"/>
      <c r="E757" s="13"/>
      <c r="F757" s="13"/>
      <c r="H757" s="24"/>
      <c r="J757" s="13"/>
      <c r="K757" s="13"/>
      <c r="M757" s="24"/>
      <c r="O757" s="13"/>
      <c r="P757" s="13"/>
    </row>
    <row r="758">
      <c r="C758" s="24"/>
      <c r="E758" s="13"/>
      <c r="F758" s="13"/>
      <c r="H758" s="24"/>
      <c r="J758" s="13"/>
      <c r="K758" s="13"/>
      <c r="M758" s="24"/>
      <c r="O758" s="13"/>
      <c r="P758" s="13"/>
    </row>
    <row r="759">
      <c r="C759" s="24"/>
      <c r="E759" s="13"/>
      <c r="F759" s="13"/>
      <c r="H759" s="24"/>
      <c r="J759" s="13"/>
      <c r="K759" s="13"/>
      <c r="M759" s="24"/>
      <c r="O759" s="13"/>
      <c r="P759" s="13"/>
    </row>
    <row r="760">
      <c r="C760" s="24"/>
      <c r="E760" s="13"/>
      <c r="F760" s="13"/>
      <c r="H760" s="24"/>
      <c r="J760" s="13"/>
      <c r="K760" s="13"/>
      <c r="M760" s="24"/>
      <c r="O760" s="13"/>
      <c r="P760" s="13"/>
    </row>
    <row r="761">
      <c r="C761" s="24"/>
      <c r="E761" s="13"/>
      <c r="F761" s="13"/>
      <c r="H761" s="24"/>
      <c r="J761" s="13"/>
      <c r="K761" s="13"/>
      <c r="M761" s="24"/>
      <c r="O761" s="13"/>
      <c r="P761" s="13"/>
    </row>
    <row r="762">
      <c r="C762" s="24"/>
      <c r="E762" s="13"/>
      <c r="F762" s="13"/>
      <c r="H762" s="24"/>
      <c r="J762" s="13"/>
      <c r="K762" s="13"/>
      <c r="M762" s="24"/>
      <c r="O762" s="13"/>
      <c r="P762" s="13"/>
    </row>
    <row r="763">
      <c r="C763" s="24"/>
      <c r="E763" s="13"/>
      <c r="F763" s="13"/>
      <c r="H763" s="24"/>
      <c r="J763" s="13"/>
      <c r="K763" s="13"/>
      <c r="M763" s="24"/>
      <c r="O763" s="13"/>
      <c r="P763" s="13"/>
    </row>
    <row r="764">
      <c r="C764" s="24"/>
      <c r="E764" s="13"/>
      <c r="F764" s="13"/>
      <c r="H764" s="24"/>
      <c r="J764" s="13"/>
      <c r="K764" s="13"/>
      <c r="M764" s="24"/>
      <c r="O764" s="13"/>
      <c r="P764" s="13"/>
    </row>
    <row r="765">
      <c r="C765" s="24"/>
      <c r="E765" s="13"/>
      <c r="F765" s="13"/>
      <c r="H765" s="24"/>
      <c r="J765" s="13"/>
      <c r="K765" s="13"/>
      <c r="M765" s="24"/>
      <c r="O765" s="13"/>
      <c r="P765" s="13"/>
    </row>
    <row r="766">
      <c r="C766" s="24"/>
      <c r="E766" s="13"/>
      <c r="F766" s="13"/>
      <c r="H766" s="24"/>
      <c r="J766" s="13"/>
      <c r="K766" s="13"/>
      <c r="M766" s="24"/>
      <c r="O766" s="13"/>
      <c r="P766" s="13"/>
    </row>
    <row r="767">
      <c r="C767" s="24"/>
      <c r="E767" s="13"/>
      <c r="F767" s="13"/>
      <c r="H767" s="24"/>
      <c r="J767" s="13"/>
      <c r="K767" s="13"/>
      <c r="M767" s="24"/>
      <c r="O767" s="13"/>
      <c r="P767" s="13"/>
    </row>
    <row r="768">
      <c r="C768" s="24"/>
      <c r="E768" s="13"/>
      <c r="F768" s="13"/>
      <c r="H768" s="24"/>
      <c r="J768" s="13"/>
      <c r="K768" s="13"/>
      <c r="M768" s="24"/>
      <c r="O768" s="13"/>
      <c r="P768" s="13"/>
    </row>
    <row r="769">
      <c r="C769" s="24"/>
      <c r="E769" s="13"/>
      <c r="F769" s="13"/>
      <c r="H769" s="24"/>
      <c r="J769" s="13"/>
      <c r="K769" s="13"/>
      <c r="M769" s="24"/>
      <c r="O769" s="13"/>
      <c r="P769" s="13"/>
    </row>
    <row r="770">
      <c r="C770" s="24"/>
      <c r="E770" s="13"/>
      <c r="F770" s="13"/>
      <c r="H770" s="24"/>
      <c r="J770" s="13"/>
      <c r="K770" s="13"/>
      <c r="M770" s="24"/>
      <c r="O770" s="13"/>
      <c r="P770" s="13"/>
    </row>
    <row r="771">
      <c r="C771" s="24"/>
      <c r="E771" s="13"/>
      <c r="F771" s="13"/>
      <c r="H771" s="24"/>
      <c r="J771" s="13"/>
      <c r="K771" s="13"/>
      <c r="M771" s="24"/>
      <c r="O771" s="13"/>
      <c r="P771" s="13"/>
    </row>
    <row r="772">
      <c r="C772" s="24"/>
      <c r="E772" s="13"/>
      <c r="F772" s="13"/>
      <c r="H772" s="24"/>
      <c r="J772" s="13"/>
      <c r="K772" s="13"/>
      <c r="M772" s="24"/>
      <c r="O772" s="13"/>
      <c r="P772" s="13"/>
    </row>
    <row r="773">
      <c r="C773" s="24"/>
      <c r="E773" s="13"/>
      <c r="F773" s="13"/>
      <c r="H773" s="24"/>
      <c r="J773" s="13"/>
      <c r="K773" s="13"/>
      <c r="M773" s="24"/>
      <c r="O773" s="13"/>
      <c r="P773" s="13"/>
    </row>
    <row r="774">
      <c r="C774" s="24"/>
      <c r="E774" s="13"/>
      <c r="F774" s="13"/>
      <c r="H774" s="24"/>
      <c r="J774" s="13"/>
      <c r="K774" s="13"/>
      <c r="M774" s="24"/>
      <c r="O774" s="13"/>
      <c r="P774" s="13"/>
    </row>
    <row r="775">
      <c r="C775" s="24"/>
      <c r="E775" s="13"/>
      <c r="F775" s="13"/>
      <c r="H775" s="24"/>
      <c r="J775" s="13"/>
      <c r="K775" s="13"/>
      <c r="M775" s="24"/>
      <c r="O775" s="13"/>
      <c r="P775" s="13"/>
    </row>
    <row r="776">
      <c r="C776" s="24"/>
      <c r="E776" s="13"/>
      <c r="F776" s="13"/>
      <c r="H776" s="24"/>
      <c r="J776" s="13"/>
      <c r="K776" s="13"/>
      <c r="M776" s="24"/>
      <c r="O776" s="13"/>
      <c r="P776" s="13"/>
    </row>
    <row r="777">
      <c r="C777" s="24"/>
      <c r="E777" s="13"/>
      <c r="F777" s="13"/>
      <c r="H777" s="24"/>
      <c r="J777" s="13"/>
      <c r="K777" s="13"/>
      <c r="M777" s="24"/>
      <c r="O777" s="13"/>
      <c r="P777" s="13"/>
    </row>
    <row r="778">
      <c r="C778" s="24"/>
      <c r="E778" s="13"/>
      <c r="F778" s="13"/>
      <c r="H778" s="24"/>
      <c r="J778" s="13"/>
      <c r="K778" s="13"/>
      <c r="M778" s="24"/>
      <c r="O778" s="13"/>
      <c r="P778" s="13"/>
    </row>
    <row r="779">
      <c r="C779" s="24"/>
      <c r="E779" s="13"/>
      <c r="F779" s="13"/>
      <c r="H779" s="24"/>
      <c r="J779" s="13"/>
      <c r="K779" s="13"/>
      <c r="M779" s="24"/>
      <c r="O779" s="13"/>
      <c r="P779" s="13"/>
    </row>
    <row r="780">
      <c r="C780" s="24"/>
      <c r="E780" s="13"/>
      <c r="F780" s="13"/>
      <c r="H780" s="24"/>
      <c r="J780" s="13"/>
      <c r="K780" s="13"/>
      <c r="M780" s="24"/>
      <c r="O780" s="13"/>
      <c r="P780" s="13"/>
    </row>
    <row r="781">
      <c r="C781" s="24"/>
      <c r="E781" s="13"/>
      <c r="F781" s="13"/>
      <c r="H781" s="24"/>
      <c r="J781" s="13"/>
      <c r="K781" s="13"/>
      <c r="M781" s="24"/>
      <c r="O781" s="13"/>
      <c r="P781" s="13"/>
    </row>
    <row r="782">
      <c r="C782" s="24"/>
      <c r="E782" s="13"/>
      <c r="F782" s="13"/>
      <c r="H782" s="24"/>
      <c r="J782" s="13"/>
      <c r="K782" s="13"/>
      <c r="M782" s="24"/>
      <c r="O782" s="13"/>
      <c r="P782" s="13"/>
    </row>
    <row r="783">
      <c r="C783" s="24"/>
      <c r="E783" s="13"/>
      <c r="F783" s="13"/>
      <c r="H783" s="24"/>
      <c r="J783" s="13"/>
      <c r="K783" s="13"/>
      <c r="M783" s="24"/>
      <c r="O783" s="13"/>
      <c r="P783" s="13"/>
    </row>
    <row r="784">
      <c r="C784" s="24"/>
      <c r="E784" s="13"/>
      <c r="F784" s="13"/>
      <c r="H784" s="24"/>
      <c r="J784" s="13"/>
      <c r="K784" s="13"/>
      <c r="M784" s="24"/>
      <c r="O784" s="13"/>
      <c r="P784" s="13"/>
    </row>
    <row r="785">
      <c r="C785" s="24"/>
      <c r="E785" s="13"/>
      <c r="F785" s="13"/>
      <c r="H785" s="24"/>
      <c r="J785" s="13"/>
      <c r="K785" s="13"/>
      <c r="M785" s="24"/>
      <c r="O785" s="13"/>
      <c r="P785" s="13"/>
    </row>
    <row r="786">
      <c r="C786" s="24"/>
      <c r="E786" s="13"/>
      <c r="F786" s="13"/>
      <c r="H786" s="24"/>
      <c r="J786" s="13"/>
      <c r="K786" s="13"/>
      <c r="M786" s="24"/>
      <c r="O786" s="13"/>
      <c r="P786" s="13"/>
    </row>
    <row r="787">
      <c r="C787" s="24"/>
      <c r="E787" s="13"/>
      <c r="F787" s="13"/>
      <c r="H787" s="24"/>
      <c r="J787" s="13"/>
      <c r="K787" s="13"/>
      <c r="M787" s="24"/>
      <c r="O787" s="13"/>
      <c r="P787" s="13"/>
    </row>
    <row r="788">
      <c r="C788" s="24"/>
      <c r="E788" s="13"/>
      <c r="F788" s="13"/>
      <c r="H788" s="24"/>
      <c r="J788" s="13"/>
      <c r="K788" s="13"/>
      <c r="M788" s="24"/>
      <c r="O788" s="13"/>
      <c r="P788" s="13"/>
    </row>
    <row r="789">
      <c r="C789" s="24"/>
      <c r="E789" s="13"/>
      <c r="F789" s="13"/>
      <c r="H789" s="24"/>
      <c r="J789" s="13"/>
      <c r="K789" s="13"/>
      <c r="M789" s="24"/>
      <c r="O789" s="13"/>
      <c r="P789" s="13"/>
    </row>
    <row r="790">
      <c r="C790" s="24"/>
      <c r="E790" s="13"/>
      <c r="F790" s="13"/>
      <c r="H790" s="24"/>
      <c r="J790" s="13"/>
      <c r="K790" s="13"/>
      <c r="M790" s="24"/>
      <c r="O790" s="13"/>
      <c r="P790" s="13"/>
    </row>
    <row r="791">
      <c r="C791" s="24"/>
      <c r="E791" s="13"/>
      <c r="F791" s="13"/>
      <c r="H791" s="24"/>
      <c r="J791" s="13"/>
      <c r="K791" s="13"/>
      <c r="M791" s="24"/>
      <c r="O791" s="13"/>
      <c r="P791" s="13"/>
    </row>
    <row r="792">
      <c r="C792" s="24"/>
      <c r="E792" s="13"/>
      <c r="F792" s="13"/>
      <c r="H792" s="24"/>
      <c r="J792" s="13"/>
      <c r="K792" s="13"/>
      <c r="M792" s="24"/>
      <c r="O792" s="13"/>
      <c r="P792" s="13"/>
    </row>
    <row r="793">
      <c r="C793" s="24"/>
      <c r="E793" s="13"/>
      <c r="F793" s="13"/>
      <c r="H793" s="24"/>
      <c r="J793" s="13"/>
      <c r="K793" s="13"/>
      <c r="M793" s="24"/>
      <c r="O793" s="13"/>
      <c r="P793" s="13"/>
    </row>
    <row r="794">
      <c r="C794" s="24"/>
      <c r="E794" s="13"/>
      <c r="F794" s="13"/>
      <c r="H794" s="24"/>
      <c r="J794" s="13"/>
      <c r="K794" s="13"/>
      <c r="M794" s="24"/>
      <c r="O794" s="13"/>
      <c r="P794" s="13"/>
    </row>
    <row r="795">
      <c r="C795" s="24"/>
      <c r="E795" s="13"/>
      <c r="F795" s="13"/>
      <c r="H795" s="24"/>
      <c r="J795" s="13"/>
      <c r="K795" s="13"/>
      <c r="M795" s="24"/>
      <c r="O795" s="13"/>
      <c r="P795" s="13"/>
    </row>
    <row r="796">
      <c r="C796" s="24"/>
      <c r="E796" s="13"/>
      <c r="F796" s="13"/>
      <c r="H796" s="24"/>
      <c r="J796" s="13"/>
      <c r="K796" s="13"/>
      <c r="M796" s="24"/>
      <c r="O796" s="13"/>
      <c r="P796" s="13"/>
    </row>
    <row r="797">
      <c r="C797" s="24"/>
      <c r="E797" s="13"/>
      <c r="F797" s="13"/>
      <c r="H797" s="24"/>
      <c r="J797" s="13"/>
      <c r="K797" s="13"/>
      <c r="M797" s="24"/>
      <c r="O797" s="13"/>
      <c r="P797" s="13"/>
    </row>
    <row r="798">
      <c r="C798" s="24"/>
      <c r="E798" s="13"/>
      <c r="F798" s="13"/>
      <c r="H798" s="24"/>
      <c r="J798" s="13"/>
      <c r="K798" s="13"/>
      <c r="M798" s="24"/>
      <c r="O798" s="13"/>
      <c r="P798" s="13"/>
    </row>
    <row r="799">
      <c r="C799" s="24"/>
      <c r="E799" s="13"/>
      <c r="F799" s="13"/>
      <c r="H799" s="24"/>
      <c r="J799" s="13"/>
      <c r="K799" s="13"/>
      <c r="M799" s="24"/>
      <c r="O799" s="13"/>
      <c r="P799" s="13"/>
    </row>
    <row r="800">
      <c r="C800" s="24"/>
      <c r="E800" s="13"/>
      <c r="F800" s="13"/>
      <c r="H800" s="24"/>
      <c r="J800" s="13"/>
      <c r="K800" s="13"/>
      <c r="M800" s="24"/>
      <c r="O800" s="13"/>
      <c r="P800" s="13"/>
    </row>
    <row r="801">
      <c r="C801" s="24"/>
      <c r="E801" s="13"/>
      <c r="F801" s="13"/>
      <c r="H801" s="24"/>
      <c r="J801" s="13"/>
      <c r="K801" s="13"/>
      <c r="M801" s="24"/>
      <c r="O801" s="13"/>
      <c r="P801" s="13"/>
    </row>
    <row r="802">
      <c r="C802" s="24"/>
      <c r="E802" s="13"/>
      <c r="F802" s="13"/>
      <c r="H802" s="24"/>
      <c r="J802" s="13"/>
      <c r="K802" s="13"/>
      <c r="M802" s="24"/>
      <c r="O802" s="13"/>
      <c r="P802" s="13"/>
    </row>
    <row r="803">
      <c r="C803" s="24"/>
      <c r="E803" s="13"/>
      <c r="F803" s="13"/>
      <c r="H803" s="24"/>
      <c r="J803" s="13"/>
      <c r="K803" s="13"/>
      <c r="M803" s="24"/>
      <c r="O803" s="13"/>
      <c r="P803" s="13"/>
    </row>
    <row r="804">
      <c r="C804" s="24"/>
      <c r="E804" s="13"/>
      <c r="F804" s="13"/>
      <c r="H804" s="24"/>
      <c r="J804" s="13"/>
      <c r="K804" s="13"/>
      <c r="M804" s="24"/>
      <c r="O804" s="13"/>
      <c r="P804" s="13"/>
    </row>
    <row r="805">
      <c r="C805" s="24"/>
      <c r="E805" s="13"/>
      <c r="F805" s="13"/>
      <c r="H805" s="24"/>
      <c r="J805" s="13"/>
      <c r="K805" s="13"/>
      <c r="M805" s="24"/>
      <c r="O805" s="13"/>
      <c r="P805" s="13"/>
    </row>
    <row r="806">
      <c r="C806" s="24"/>
      <c r="E806" s="13"/>
      <c r="F806" s="13"/>
      <c r="H806" s="24"/>
      <c r="J806" s="13"/>
      <c r="K806" s="13"/>
      <c r="M806" s="24"/>
      <c r="O806" s="13"/>
      <c r="P806" s="13"/>
    </row>
    <row r="807">
      <c r="C807" s="24"/>
      <c r="E807" s="13"/>
      <c r="F807" s="13"/>
      <c r="H807" s="24"/>
      <c r="J807" s="13"/>
      <c r="K807" s="13"/>
      <c r="M807" s="24"/>
      <c r="O807" s="13"/>
      <c r="P807" s="13"/>
    </row>
    <row r="808">
      <c r="C808" s="24"/>
      <c r="E808" s="13"/>
      <c r="F808" s="13"/>
      <c r="H808" s="24"/>
      <c r="J808" s="13"/>
      <c r="K808" s="13"/>
      <c r="M808" s="24"/>
      <c r="O808" s="13"/>
      <c r="P808" s="13"/>
    </row>
    <row r="809">
      <c r="C809" s="24"/>
      <c r="E809" s="13"/>
      <c r="F809" s="13"/>
      <c r="H809" s="24"/>
      <c r="J809" s="13"/>
      <c r="K809" s="13"/>
      <c r="M809" s="24"/>
      <c r="O809" s="13"/>
      <c r="P809" s="13"/>
    </row>
    <row r="810">
      <c r="C810" s="24"/>
      <c r="E810" s="13"/>
      <c r="F810" s="13"/>
      <c r="H810" s="24"/>
      <c r="J810" s="13"/>
      <c r="K810" s="13"/>
      <c r="M810" s="24"/>
      <c r="O810" s="13"/>
      <c r="P810" s="13"/>
    </row>
    <row r="811">
      <c r="C811" s="24"/>
      <c r="E811" s="13"/>
      <c r="F811" s="13"/>
      <c r="H811" s="24"/>
      <c r="J811" s="13"/>
      <c r="K811" s="13"/>
      <c r="M811" s="24"/>
      <c r="O811" s="13"/>
      <c r="P811" s="13"/>
    </row>
    <row r="812">
      <c r="C812" s="24"/>
      <c r="E812" s="13"/>
      <c r="F812" s="13"/>
      <c r="H812" s="24"/>
      <c r="J812" s="13"/>
      <c r="K812" s="13"/>
      <c r="M812" s="24"/>
      <c r="O812" s="13"/>
      <c r="P812" s="13"/>
    </row>
    <row r="813">
      <c r="C813" s="24"/>
      <c r="E813" s="13"/>
      <c r="F813" s="13"/>
      <c r="H813" s="24"/>
      <c r="J813" s="13"/>
      <c r="K813" s="13"/>
      <c r="M813" s="24"/>
      <c r="O813" s="13"/>
      <c r="P813" s="13"/>
    </row>
    <row r="814">
      <c r="C814" s="24"/>
      <c r="E814" s="13"/>
      <c r="F814" s="13"/>
      <c r="H814" s="24"/>
      <c r="J814" s="13"/>
      <c r="K814" s="13"/>
      <c r="M814" s="24"/>
      <c r="O814" s="13"/>
      <c r="P814" s="13"/>
    </row>
    <row r="815">
      <c r="C815" s="24"/>
      <c r="E815" s="13"/>
      <c r="F815" s="13"/>
      <c r="H815" s="24"/>
      <c r="J815" s="13"/>
      <c r="K815" s="13"/>
      <c r="M815" s="24"/>
      <c r="O815" s="13"/>
      <c r="P815" s="13"/>
    </row>
    <row r="816">
      <c r="C816" s="24"/>
      <c r="E816" s="13"/>
      <c r="F816" s="13"/>
      <c r="H816" s="24"/>
      <c r="J816" s="13"/>
      <c r="K816" s="13"/>
      <c r="M816" s="24"/>
      <c r="O816" s="13"/>
      <c r="P816" s="13"/>
    </row>
    <row r="817">
      <c r="C817" s="24"/>
      <c r="E817" s="13"/>
      <c r="F817" s="13"/>
      <c r="H817" s="24"/>
      <c r="J817" s="13"/>
      <c r="K817" s="13"/>
      <c r="M817" s="24"/>
      <c r="O817" s="13"/>
      <c r="P817" s="13"/>
    </row>
    <row r="818">
      <c r="C818" s="24"/>
      <c r="E818" s="13"/>
      <c r="F818" s="13"/>
      <c r="H818" s="24"/>
      <c r="J818" s="13"/>
      <c r="K818" s="13"/>
      <c r="M818" s="24"/>
      <c r="O818" s="13"/>
      <c r="P818" s="13"/>
    </row>
    <row r="819">
      <c r="C819" s="24"/>
      <c r="E819" s="13"/>
      <c r="F819" s="13"/>
      <c r="H819" s="24"/>
      <c r="J819" s="13"/>
      <c r="K819" s="13"/>
      <c r="M819" s="24"/>
      <c r="O819" s="13"/>
      <c r="P819" s="13"/>
    </row>
    <row r="820">
      <c r="C820" s="24"/>
      <c r="E820" s="13"/>
      <c r="F820" s="13"/>
      <c r="H820" s="24"/>
      <c r="J820" s="13"/>
      <c r="K820" s="13"/>
      <c r="M820" s="24"/>
      <c r="O820" s="13"/>
      <c r="P820" s="13"/>
    </row>
    <row r="821">
      <c r="C821" s="24"/>
      <c r="E821" s="13"/>
      <c r="F821" s="13"/>
      <c r="H821" s="24"/>
      <c r="J821" s="13"/>
      <c r="K821" s="13"/>
      <c r="M821" s="24"/>
      <c r="O821" s="13"/>
      <c r="P821" s="13"/>
    </row>
    <row r="822">
      <c r="C822" s="24"/>
      <c r="E822" s="13"/>
      <c r="F822" s="13"/>
      <c r="H822" s="24"/>
      <c r="J822" s="13"/>
      <c r="K822" s="13"/>
      <c r="M822" s="24"/>
      <c r="O822" s="13"/>
      <c r="P822" s="13"/>
    </row>
    <row r="823">
      <c r="C823" s="24"/>
      <c r="E823" s="13"/>
      <c r="F823" s="13"/>
      <c r="H823" s="24"/>
      <c r="J823" s="13"/>
      <c r="K823" s="13"/>
      <c r="M823" s="24"/>
      <c r="O823" s="13"/>
      <c r="P823" s="13"/>
    </row>
    <row r="824">
      <c r="C824" s="24"/>
      <c r="E824" s="13"/>
      <c r="F824" s="13"/>
      <c r="H824" s="24"/>
      <c r="J824" s="13"/>
      <c r="K824" s="13"/>
      <c r="M824" s="24"/>
      <c r="O824" s="13"/>
      <c r="P824" s="13"/>
    </row>
    <row r="825">
      <c r="C825" s="24"/>
      <c r="E825" s="13"/>
      <c r="F825" s="13"/>
      <c r="H825" s="24"/>
      <c r="J825" s="13"/>
      <c r="K825" s="13"/>
      <c r="M825" s="24"/>
      <c r="O825" s="13"/>
      <c r="P825" s="13"/>
    </row>
    <row r="826">
      <c r="C826" s="24"/>
      <c r="E826" s="13"/>
      <c r="F826" s="13"/>
      <c r="H826" s="24"/>
      <c r="J826" s="13"/>
      <c r="K826" s="13"/>
      <c r="M826" s="24"/>
      <c r="O826" s="13"/>
      <c r="P826" s="13"/>
    </row>
    <row r="827">
      <c r="C827" s="24"/>
      <c r="E827" s="13"/>
      <c r="F827" s="13"/>
      <c r="H827" s="24"/>
      <c r="J827" s="13"/>
      <c r="K827" s="13"/>
      <c r="M827" s="24"/>
      <c r="O827" s="13"/>
      <c r="P827" s="13"/>
    </row>
    <row r="828">
      <c r="C828" s="24"/>
      <c r="E828" s="13"/>
      <c r="F828" s="13"/>
      <c r="H828" s="24"/>
      <c r="J828" s="13"/>
      <c r="K828" s="13"/>
      <c r="M828" s="24"/>
      <c r="O828" s="13"/>
      <c r="P828" s="13"/>
    </row>
    <row r="829">
      <c r="C829" s="24"/>
      <c r="E829" s="13"/>
      <c r="F829" s="13"/>
      <c r="H829" s="24"/>
      <c r="J829" s="13"/>
      <c r="K829" s="13"/>
      <c r="M829" s="24"/>
      <c r="O829" s="13"/>
      <c r="P829" s="13"/>
    </row>
    <row r="830">
      <c r="C830" s="24"/>
      <c r="E830" s="13"/>
      <c r="F830" s="13"/>
      <c r="H830" s="24"/>
      <c r="J830" s="13"/>
      <c r="K830" s="13"/>
      <c r="M830" s="24"/>
      <c r="O830" s="13"/>
      <c r="P830" s="13"/>
    </row>
    <row r="831">
      <c r="C831" s="24"/>
      <c r="E831" s="13"/>
      <c r="F831" s="13"/>
      <c r="H831" s="24"/>
      <c r="J831" s="13"/>
      <c r="K831" s="13"/>
      <c r="M831" s="24"/>
      <c r="O831" s="13"/>
      <c r="P831" s="13"/>
    </row>
    <row r="832">
      <c r="C832" s="24"/>
      <c r="E832" s="13"/>
      <c r="F832" s="13"/>
      <c r="H832" s="24"/>
      <c r="J832" s="13"/>
      <c r="K832" s="13"/>
      <c r="M832" s="24"/>
      <c r="O832" s="13"/>
      <c r="P832" s="13"/>
    </row>
    <row r="833">
      <c r="C833" s="24"/>
      <c r="E833" s="13"/>
      <c r="F833" s="13"/>
      <c r="H833" s="24"/>
      <c r="J833" s="13"/>
      <c r="K833" s="13"/>
      <c r="M833" s="24"/>
      <c r="O833" s="13"/>
      <c r="P833" s="13"/>
    </row>
    <row r="834">
      <c r="C834" s="24"/>
      <c r="E834" s="13"/>
      <c r="F834" s="13"/>
      <c r="H834" s="24"/>
      <c r="J834" s="13"/>
      <c r="K834" s="13"/>
      <c r="M834" s="24"/>
      <c r="O834" s="13"/>
      <c r="P834" s="13"/>
    </row>
    <row r="835">
      <c r="C835" s="24"/>
      <c r="E835" s="13"/>
      <c r="F835" s="13"/>
      <c r="H835" s="24"/>
      <c r="J835" s="13"/>
      <c r="K835" s="13"/>
      <c r="M835" s="24"/>
      <c r="O835" s="13"/>
      <c r="P835" s="13"/>
    </row>
    <row r="836">
      <c r="C836" s="24"/>
      <c r="E836" s="13"/>
      <c r="F836" s="13"/>
      <c r="H836" s="24"/>
      <c r="J836" s="13"/>
      <c r="K836" s="13"/>
      <c r="M836" s="24"/>
      <c r="O836" s="13"/>
      <c r="P836" s="13"/>
    </row>
    <row r="837">
      <c r="C837" s="24"/>
      <c r="E837" s="13"/>
      <c r="F837" s="13"/>
      <c r="H837" s="24"/>
      <c r="J837" s="13"/>
      <c r="K837" s="13"/>
      <c r="M837" s="24"/>
      <c r="O837" s="13"/>
      <c r="P837" s="13"/>
    </row>
    <row r="838">
      <c r="C838" s="24"/>
      <c r="E838" s="13"/>
      <c r="F838" s="13"/>
      <c r="H838" s="24"/>
      <c r="J838" s="13"/>
      <c r="K838" s="13"/>
      <c r="M838" s="24"/>
      <c r="O838" s="13"/>
      <c r="P838" s="13"/>
    </row>
    <row r="839">
      <c r="C839" s="24"/>
      <c r="E839" s="13"/>
      <c r="F839" s="13"/>
      <c r="H839" s="24"/>
      <c r="J839" s="13"/>
      <c r="K839" s="13"/>
      <c r="M839" s="24"/>
      <c r="O839" s="13"/>
      <c r="P839" s="13"/>
    </row>
    <row r="840">
      <c r="C840" s="24"/>
      <c r="E840" s="13"/>
      <c r="F840" s="13"/>
      <c r="H840" s="24"/>
      <c r="J840" s="13"/>
      <c r="K840" s="13"/>
      <c r="M840" s="24"/>
      <c r="O840" s="13"/>
      <c r="P840" s="13"/>
    </row>
    <row r="841">
      <c r="C841" s="24"/>
      <c r="E841" s="13"/>
      <c r="F841" s="13"/>
      <c r="H841" s="24"/>
      <c r="J841" s="13"/>
      <c r="K841" s="13"/>
      <c r="M841" s="24"/>
      <c r="O841" s="13"/>
      <c r="P841" s="13"/>
    </row>
    <row r="842">
      <c r="C842" s="24"/>
      <c r="E842" s="13"/>
      <c r="F842" s="13"/>
      <c r="H842" s="24"/>
      <c r="J842" s="13"/>
      <c r="K842" s="13"/>
      <c r="M842" s="24"/>
      <c r="O842" s="13"/>
      <c r="P842" s="13"/>
    </row>
    <row r="843">
      <c r="C843" s="24"/>
      <c r="E843" s="13"/>
      <c r="F843" s="13"/>
      <c r="H843" s="24"/>
      <c r="J843" s="13"/>
      <c r="K843" s="13"/>
      <c r="M843" s="24"/>
      <c r="O843" s="13"/>
      <c r="P843" s="13"/>
    </row>
    <row r="844">
      <c r="C844" s="24"/>
      <c r="E844" s="13"/>
      <c r="F844" s="13"/>
      <c r="H844" s="24"/>
      <c r="J844" s="13"/>
      <c r="K844" s="13"/>
      <c r="M844" s="24"/>
      <c r="O844" s="13"/>
      <c r="P844" s="13"/>
    </row>
    <row r="845">
      <c r="C845" s="24"/>
      <c r="E845" s="13"/>
      <c r="F845" s="13"/>
      <c r="H845" s="24"/>
      <c r="J845" s="13"/>
      <c r="K845" s="13"/>
      <c r="M845" s="24"/>
      <c r="O845" s="13"/>
      <c r="P845" s="13"/>
    </row>
    <row r="846">
      <c r="C846" s="24"/>
      <c r="E846" s="13"/>
      <c r="F846" s="13"/>
      <c r="H846" s="24"/>
      <c r="J846" s="13"/>
      <c r="K846" s="13"/>
      <c r="M846" s="24"/>
      <c r="O846" s="13"/>
      <c r="P846" s="13"/>
    </row>
    <row r="847">
      <c r="C847" s="24"/>
      <c r="E847" s="13"/>
      <c r="F847" s="13"/>
      <c r="H847" s="24"/>
      <c r="J847" s="13"/>
      <c r="K847" s="13"/>
      <c r="M847" s="24"/>
      <c r="O847" s="13"/>
      <c r="P847" s="13"/>
    </row>
    <row r="848">
      <c r="C848" s="24"/>
      <c r="E848" s="13"/>
      <c r="F848" s="13"/>
      <c r="H848" s="24"/>
      <c r="J848" s="13"/>
      <c r="K848" s="13"/>
      <c r="M848" s="24"/>
      <c r="O848" s="13"/>
      <c r="P848" s="13"/>
    </row>
    <row r="849">
      <c r="C849" s="24"/>
      <c r="E849" s="13"/>
      <c r="F849" s="13"/>
      <c r="H849" s="24"/>
      <c r="J849" s="13"/>
      <c r="K849" s="13"/>
      <c r="M849" s="24"/>
      <c r="O849" s="13"/>
      <c r="P849" s="13"/>
    </row>
    <row r="850">
      <c r="C850" s="24"/>
      <c r="E850" s="13"/>
      <c r="F850" s="13"/>
      <c r="H850" s="24"/>
      <c r="J850" s="13"/>
      <c r="K850" s="13"/>
      <c r="M850" s="24"/>
      <c r="O850" s="13"/>
      <c r="P850" s="13"/>
    </row>
    <row r="851">
      <c r="C851" s="24"/>
      <c r="E851" s="13"/>
      <c r="F851" s="13"/>
      <c r="H851" s="24"/>
      <c r="J851" s="13"/>
      <c r="K851" s="13"/>
      <c r="M851" s="24"/>
      <c r="O851" s="13"/>
      <c r="P851" s="13"/>
    </row>
    <row r="852">
      <c r="C852" s="24"/>
      <c r="E852" s="13"/>
      <c r="F852" s="13"/>
      <c r="H852" s="24"/>
      <c r="J852" s="13"/>
      <c r="K852" s="13"/>
      <c r="M852" s="24"/>
      <c r="O852" s="13"/>
      <c r="P852" s="13"/>
    </row>
    <row r="853">
      <c r="C853" s="24"/>
      <c r="E853" s="13"/>
      <c r="F853" s="13"/>
      <c r="H853" s="24"/>
      <c r="J853" s="13"/>
      <c r="K853" s="13"/>
      <c r="M853" s="24"/>
      <c r="O853" s="13"/>
      <c r="P853" s="13"/>
    </row>
    <row r="854">
      <c r="C854" s="24"/>
      <c r="E854" s="13"/>
      <c r="F854" s="13"/>
      <c r="H854" s="24"/>
      <c r="J854" s="13"/>
      <c r="K854" s="13"/>
      <c r="M854" s="24"/>
      <c r="O854" s="13"/>
      <c r="P854" s="13"/>
    </row>
    <row r="855">
      <c r="C855" s="24"/>
      <c r="E855" s="13"/>
      <c r="F855" s="13"/>
      <c r="H855" s="24"/>
      <c r="J855" s="13"/>
      <c r="K855" s="13"/>
      <c r="M855" s="24"/>
      <c r="O855" s="13"/>
      <c r="P855" s="13"/>
    </row>
    <row r="856">
      <c r="C856" s="24"/>
      <c r="E856" s="13"/>
      <c r="F856" s="13"/>
      <c r="H856" s="24"/>
      <c r="J856" s="13"/>
      <c r="K856" s="13"/>
      <c r="M856" s="24"/>
      <c r="O856" s="13"/>
      <c r="P856" s="13"/>
    </row>
    <row r="857">
      <c r="C857" s="24"/>
      <c r="E857" s="13"/>
      <c r="F857" s="13"/>
      <c r="H857" s="24"/>
      <c r="J857" s="13"/>
      <c r="K857" s="13"/>
      <c r="M857" s="24"/>
      <c r="O857" s="13"/>
      <c r="P857" s="13"/>
    </row>
    <row r="858">
      <c r="C858" s="24"/>
      <c r="E858" s="13"/>
      <c r="F858" s="13"/>
      <c r="H858" s="24"/>
      <c r="J858" s="13"/>
      <c r="K858" s="13"/>
      <c r="M858" s="24"/>
      <c r="O858" s="13"/>
      <c r="P858" s="13"/>
    </row>
    <row r="859">
      <c r="C859" s="24"/>
      <c r="E859" s="13"/>
      <c r="F859" s="13"/>
      <c r="H859" s="24"/>
      <c r="J859" s="13"/>
      <c r="K859" s="13"/>
      <c r="M859" s="24"/>
      <c r="O859" s="13"/>
      <c r="P859" s="13"/>
    </row>
    <row r="860">
      <c r="C860" s="24"/>
      <c r="E860" s="13"/>
      <c r="F860" s="13"/>
      <c r="H860" s="24"/>
      <c r="J860" s="13"/>
      <c r="K860" s="13"/>
      <c r="M860" s="24"/>
      <c r="O860" s="13"/>
      <c r="P860" s="13"/>
    </row>
    <row r="861">
      <c r="C861" s="24"/>
      <c r="E861" s="13"/>
      <c r="F861" s="13"/>
      <c r="H861" s="24"/>
      <c r="J861" s="13"/>
      <c r="K861" s="13"/>
      <c r="M861" s="24"/>
      <c r="O861" s="13"/>
      <c r="P861" s="13"/>
    </row>
    <row r="862">
      <c r="C862" s="24"/>
      <c r="E862" s="13"/>
      <c r="F862" s="13"/>
      <c r="H862" s="24"/>
      <c r="J862" s="13"/>
      <c r="K862" s="13"/>
      <c r="M862" s="24"/>
      <c r="O862" s="13"/>
      <c r="P862" s="13"/>
    </row>
    <row r="863">
      <c r="C863" s="24"/>
      <c r="E863" s="13"/>
      <c r="F863" s="13"/>
      <c r="H863" s="24"/>
      <c r="J863" s="13"/>
      <c r="K863" s="13"/>
      <c r="M863" s="24"/>
      <c r="O863" s="13"/>
      <c r="P863" s="13"/>
    </row>
    <row r="864">
      <c r="C864" s="24"/>
      <c r="E864" s="13"/>
      <c r="F864" s="13"/>
      <c r="H864" s="24"/>
      <c r="J864" s="13"/>
      <c r="K864" s="13"/>
      <c r="M864" s="24"/>
      <c r="O864" s="13"/>
      <c r="P864" s="13"/>
    </row>
    <row r="865">
      <c r="C865" s="24"/>
      <c r="E865" s="13"/>
      <c r="F865" s="13"/>
      <c r="H865" s="24"/>
      <c r="J865" s="13"/>
      <c r="K865" s="13"/>
      <c r="M865" s="24"/>
      <c r="O865" s="13"/>
      <c r="P865" s="13"/>
    </row>
    <row r="866">
      <c r="C866" s="24"/>
      <c r="E866" s="13"/>
      <c r="F866" s="13"/>
      <c r="H866" s="24"/>
      <c r="J866" s="13"/>
      <c r="K866" s="13"/>
      <c r="M866" s="24"/>
      <c r="O866" s="13"/>
      <c r="P866" s="13"/>
    </row>
    <row r="867">
      <c r="C867" s="24"/>
      <c r="E867" s="13"/>
      <c r="F867" s="13"/>
      <c r="H867" s="24"/>
      <c r="J867" s="13"/>
      <c r="K867" s="13"/>
      <c r="M867" s="24"/>
      <c r="O867" s="13"/>
      <c r="P867" s="13"/>
    </row>
    <row r="868">
      <c r="C868" s="24"/>
      <c r="E868" s="13"/>
      <c r="F868" s="13"/>
      <c r="H868" s="24"/>
      <c r="J868" s="13"/>
      <c r="K868" s="13"/>
      <c r="M868" s="24"/>
      <c r="O868" s="13"/>
      <c r="P868" s="13"/>
    </row>
    <row r="869">
      <c r="C869" s="24"/>
      <c r="E869" s="13"/>
      <c r="F869" s="13"/>
      <c r="H869" s="24"/>
      <c r="J869" s="13"/>
      <c r="K869" s="13"/>
      <c r="M869" s="24"/>
      <c r="O869" s="13"/>
      <c r="P869" s="13"/>
    </row>
    <row r="870">
      <c r="C870" s="24"/>
      <c r="E870" s="13"/>
      <c r="F870" s="13"/>
      <c r="H870" s="24"/>
      <c r="J870" s="13"/>
      <c r="K870" s="13"/>
      <c r="M870" s="24"/>
      <c r="O870" s="13"/>
      <c r="P870" s="13"/>
    </row>
    <row r="871">
      <c r="C871" s="24"/>
      <c r="E871" s="13"/>
      <c r="F871" s="13"/>
      <c r="H871" s="24"/>
      <c r="J871" s="13"/>
      <c r="K871" s="13"/>
      <c r="M871" s="24"/>
      <c r="O871" s="13"/>
      <c r="P871" s="13"/>
    </row>
    <row r="872">
      <c r="C872" s="24"/>
      <c r="E872" s="13"/>
      <c r="F872" s="13"/>
      <c r="H872" s="24"/>
      <c r="J872" s="13"/>
      <c r="K872" s="13"/>
      <c r="M872" s="24"/>
      <c r="O872" s="13"/>
      <c r="P872" s="13"/>
    </row>
    <row r="873">
      <c r="C873" s="24"/>
      <c r="E873" s="13"/>
      <c r="F873" s="13"/>
      <c r="H873" s="24"/>
      <c r="J873" s="13"/>
      <c r="K873" s="13"/>
      <c r="M873" s="24"/>
      <c r="O873" s="13"/>
      <c r="P873" s="13"/>
    </row>
    <row r="874">
      <c r="C874" s="24"/>
      <c r="E874" s="13"/>
      <c r="F874" s="13"/>
      <c r="H874" s="24"/>
      <c r="J874" s="13"/>
      <c r="K874" s="13"/>
      <c r="M874" s="24"/>
      <c r="O874" s="13"/>
      <c r="P874" s="13"/>
    </row>
    <row r="875">
      <c r="C875" s="24"/>
      <c r="E875" s="13"/>
      <c r="F875" s="13"/>
      <c r="H875" s="24"/>
      <c r="J875" s="13"/>
      <c r="K875" s="13"/>
      <c r="M875" s="24"/>
      <c r="O875" s="13"/>
      <c r="P875" s="13"/>
    </row>
    <row r="876">
      <c r="C876" s="24"/>
      <c r="E876" s="13"/>
      <c r="F876" s="13"/>
      <c r="H876" s="24"/>
      <c r="J876" s="13"/>
      <c r="K876" s="13"/>
      <c r="M876" s="24"/>
      <c r="O876" s="13"/>
      <c r="P876" s="13"/>
    </row>
    <row r="877">
      <c r="C877" s="24"/>
      <c r="E877" s="13"/>
      <c r="F877" s="13"/>
      <c r="H877" s="24"/>
      <c r="J877" s="13"/>
      <c r="K877" s="13"/>
      <c r="M877" s="24"/>
      <c r="O877" s="13"/>
      <c r="P877" s="13"/>
    </row>
    <row r="878">
      <c r="C878" s="24"/>
      <c r="E878" s="13"/>
      <c r="F878" s="13"/>
      <c r="H878" s="24"/>
      <c r="J878" s="13"/>
      <c r="K878" s="13"/>
      <c r="M878" s="24"/>
      <c r="O878" s="13"/>
      <c r="P878" s="13"/>
    </row>
    <row r="879">
      <c r="C879" s="24"/>
      <c r="E879" s="13"/>
      <c r="F879" s="13"/>
      <c r="H879" s="24"/>
      <c r="J879" s="13"/>
      <c r="K879" s="13"/>
      <c r="M879" s="24"/>
      <c r="O879" s="13"/>
      <c r="P879" s="13"/>
    </row>
    <row r="880">
      <c r="C880" s="24"/>
      <c r="E880" s="13"/>
      <c r="F880" s="13"/>
      <c r="H880" s="24"/>
      <c r="J880" s="13"/>
      <c r="K880" s="13"/>
      <c r="M880" s="24"/>
      <c r="O880" s="13"/>
      <c r="P880" s="13"/>
    </row>
    <row r="881">
      <c r="C881" s="24"/>
      <c r="E881" s="13"/>
      <c r="F881" s="13"/>
      <c r="H881" s="24"/>
      <c r="J881" s="13"/>
      <c r="K881" s="13"/>
      <c r="M881" s="24"/>
      <c r="O881" s="13"/>
      <c r="P881" s="13"/>
    </row>
    <row r="882">
      <c r="C882" s="24"/>
      <c r="E882" s="13"/>
      <c r="F882" s="13"/>
      <c r="H882" s="24"/>
      <c r="J882" s="13"/>
      <c r="K882" s="13"/>
      <c r="M882" s="24"/>
      <c r="O882" s="13"/>
      <c r="P882" s="13"/>
    </row>
    <row r="883">
      <c r="C883" s="24"/>
      <c r="E883" s="13"/>
      <c r="F883" s="13"/>
      <c r="H883" s="24"/>
      <c r="J883" s="13"/>
      <c r="K883" s="13"/>
      <c r="M883" s="24"/>
      <c r="O883" s="13"/>
      <c r="P883" s="13"/>
    </row>
    <row r="884">
      <c r="C884" s="24"/>
      <c r="E884" s="13"/>
      <c r="F884" s="13"/>
      <c r="H884" s="24"/>
      <c r="J884" s="13"/>
      <c r="K884" s="13"/>
      <c r="M884" s="24"/>
      <c r="O884" s="13"/>
      <c r="P884" s="13"/>
    </row>
    <row r="885">
      <c r="C885" s="24"/>
      <c r="E885" s="13"/>
      <c r="F885" s="13"/>
      <c r="H885" s="24"/>
      <c r="J885" s="13"/>
      <c r="K885" s="13"/>
      <c r="M885" s="24"/>
      <c r="O885" s="13"/>
      <c r="P885" s="13"/>
    </row>
    <row r="886">
      <c r="C886" s="24"/>
      <c r="E886" s="13"/>
      <c r="F886" s="13"/>
      <c r="H886" s="24"/>
      <c r="J886" s="13"/>
      <c r="K886" s="13"/>
      <c r="M886" s="24"/>
      <c r="O886" s="13"/>
      <c r="P886" s="13"/>
    </row>
    <row r="887">
      <c r="C887" s="24"/>
      <c r="E887" s="13"/>
      <c r="F887" s="13"/>
      <c r="H887" s="24"/>
      <c r="J887" s="13"/>
      <c r="K887" s="13"/>
      <c r="M887" s="24"/>
      <c r="O887" s="13"/>
      <c r="P887" s="13"/>
    </row>
    <row r="888">
      <c r="C888" s="24"/>
      <c r="E888" s="13"/>
      <c r="F888" s="13"/>
      <c r="H888" s="24"/>
      <c r="J888" s="13"/>
      <c r="K888" s="13"/>
      <c r="M888" s="24"/>
      <c r="O888" s="13"/>
      <c r="P888" s="13"/>
    </row>
    <row r="889">
      <c r="C889" s="24"/>
      <c r="E889" s="13"/>
      <c r="F889" s="13"/>
      <c r="H889" s="24"/>
      <c r="J889" s="13"/>
      <c r="K889" s="13"/>
      <c r="M889" s="24"/>
      <c r="O889" s="13"/>
      <c r="P889" s="13"/>
    </row>
    <row r="890">
      <c r="C890" s="24"/>
      <c r="E890" s="13"/>
      <c r="F890" s="13"/>
      <c r="H890" s="24"/>
      <c r="J890" s="13"/>
      <c r="K890" s="13"/>
      <c r="M890" s="24"/>
      <c r="O890" s="13"/>
      <c r="P890" s="13"/>
    </row>
    <row r="891">
      <c r="C891" s="24"/>
      <c r="E891" s="13"/>
      <c r="F891" s="13"/>
      <c r="H891" s="24"/>
      <c r="J891" s="13"/>
      <c r="K891" s="13"/>
      <c r="M891" s="24"/>
      <c r="O891" s="13"/>
      <c r="P891" s="13"/>
    </row>
    <row r="892">
      <c r="C892" s="24"/>
      <c r="E892" s="13"/>
      <c r="F892" s="13"/>
      <c r="H892" s="24"/>
      <c r="J892" s="13"/>
      <c r="K892" s="13"/>
      <c r="M892" s="24"/>
      <c r="O892" s="13"/>
      <c r="P892" s="13"/>
    </row>
    <row r="893">
      <c r="C893" s="24"/>
      <c r="E893" s="13"/>
      <c r="F893" s="13"/>
      <c r="H893" s="24"/>
      <c r="J893" s="13"/>
      <c r="K893" s="13"/>
      <c r="M893" s="24"/>
      <c r="O893" s="13"/>
      <c r="P893" s="13"/>
    </row>
    <row r="894">
      <c r="C894" s="24"/>
      <c r="E894" s="13"/>
      <c r="F894" s="13"/>
      <c r="H894" s="24"/>
      <c r="J894" s="13"/>
      <c r="K894" s="13"/>
      <c r="M894" s="24"/>
      <c r="O894" s="13"/>
      <c r="P894" s="13"/>
    </row>
    <row r="895">
      <c r="C895" s="24"/>
      <c r="E895" s="13"/>
      <c r="F895" s="13"/>
      <c r="H895" s="24"/>
      <c r="J895" s="13"/>
      <c r="K895" s="13"/>
      <c r="M895" s="24"/>
      <c r="O895" s="13"/>
      <c r="P895" s="13"/>
    </row>
    <row r="896">
      <c r="C896" s="24"/>
      <c r="E896" s="13"/>
      <c r="F896" s="13"/>
      <c r="H896" s="24"/>
      <c r="J896" s="13"/>
      <c r="K896" s="13"/>
      <c r="M896" s="24"/>
      <c r="O896" s="13"/>
      <c r="P896" s="13"/>
    </row>
    <row r="897">
      <c r="C897" s="24"/>
      <c r="E897" s="13"/>
      <c r="F897" s="13"/>
      <c r="H897" s="24"/>
      <c r="J897" s="13"/>
      <c r="K897" s="13"/>
      <c r="M897" s="24"/>
      <c r="O897" s="13"/>
      <c r="P897" s="13"/>
    </row>
    <row r="898">
      <c r="C898" s="24"/>
      <c r="E898" s="13"/>
      <c r="F898" s="13"/>
      <c r="H898" s="24"/>
      <c r="J898" s="13"/>
      <c r="K898" s="13"/>
      <c r="M898" s="24"/>
      <c r="O898" s="13"/>
      <c r="P898" s="13"/>
    </row>
    <row r="899">
      <c r="C899" s="24"/>
      <c r="E899" s="13"/>
      <c r="F899" s="13"/>
      <c r="H899" s="24"/>
      <c r="J899" s="13"/>
      <c r="K899" s="13"/>
      <c r="M899" s="24"/>
      <c r="O899" s="13"/>
      <c r="P899" s="13"/>
    </row>
    <row r="900">
      <c r="C900" s="24"/>
      <c r="E900" s="13"/>
      <c r="F900" s="13"/>
      <c r="H900" s="24"/>
      <c r="J900" s="13"/>
      <c r="K900" s="13"/>
      <c r="M900" s="24"/>
      <c r="O900" s="13"/>
      <c r="P900" s="13"/>
    </row>
    <row r="901">
      <c r="C901" s="24"/>
      <c r="E901" s="13"/>
      <c r="F901" s="13"/>
      <c r="H901" s="24"/>
      <c r="J901" s="13"/>
      <c r="K901" s="13"/>
      <c r="M901" s="24"/>
      <c r="O901" s="13"/>
      <c r="P901" s="13"/>
    </row>
    <row r="902">
      <c r="C902" s="24"/>
      <c r="E902" s="13"/>
      <c r="F902" s="13"/>
      <c r="H902" s="24"/>
      <c r="J902" s="13"/>
      <c r="K902" s="13"/>
      <c r="M902" s="24"/>
      <c r="O902" s="13"/>
      <c r="P902" s="13"/>
    </row>
    <row r="903">
      <c r="C903" s="24"/>
      <c r="E903" s="13"/>
      <c r="F903" s="13"/>
      <c r="H903" s="24"/>
      <c r="J903" s="13"/>
      <c r="K903" s="13"/>
      <c r="M903" s="24"/>
      <c r="O903" s="13"/>
      <c r="P903" s="13"/>
    </row>
    <row r="904">
      <c r="C904" s="24"/>
      <c r="E904" s="13"/>
      <c r="F904" s="13"/>
      <c r="H904" s="24"/>
      <c r="J904" s="13"/>
      <c r="K904" s="13"/>
      <c r="M904" s="24"/>
      <c r="O904" s="13"/>
      <c r="P904" s="13"/>
    </row>
    <row r="905">
      <c r="C905" s="24"/>
      <c r="E905" s="13"/>
      <c r="F905" s="13"/>
      <c r="H905" s="24"/>
      <c r="J905" s="13"/>
      <c r="K905" s="13"/>
      <c r="M905" s="24"/>
      <c r="O905" s="13"/>
      <c r="P905" s="13"/>
    </row>
    <row r="906">
      <c r="C906" s="24"/>
      <c r="E906" s="13"/>
      <c r="F906" s="13"/>
      <c r="H906" s="24"/>
      <c r="J906" s="13"/>
      <c r="K906" s="13"/>
      <c r="M906" s="24"/>
      <c r="O906" s="13"/>
      <c r="P906" s="13"/>
    </row>
    <row r="907">
      <c r="C907" s="24"/>
      <c r="E907" s="13"/>
      <c r="F907" s="13"/>
      <c r="H907" s="24"/>
      <c r="J907" s="13"/>
      <c r="K907" s="13"/>
      <c r="M907" s="24"/>
      <c r="O907" s="13"/>
      <c r="P907" s="13"/>
    </row>
    <row r="908">
      <c r="C908" s="24"/>
      <c r="E908" s="13"/>
      <c r="F908" s="13"/>
      <c r="H908" s="24"/>
      <c r="J908" s="13"/>
      <c r="K908" s="13"/>
      <c r="M908" s="24"/>
      <c r="O908" s="13"/>
      <c r="P908" s="13"/>
    </row>
    <row r="909">
      <c r="C909" s="24"/>
      <c r="E909" s="13"/>
      <c r="F909" s="13"/>
      <c r="H909" s="24"/>
      <c r="J909" s="13"/>
      <c r="K909" s="13"/>
      <c r="M909" s="24"/>
      <c r="O909" s="13"/>
      <c r="P909" s="13"/>
    </row>
    <row r="910">
      <c r="C910" s="24"/>
      <c r="E910" s="13"/>
      <c r="F910" s="13"/>
      <c r="H910" s="24"/>
      <c r="J910" s="13"/>
      <c r="K910" s="13"/>
      <c r="M910" s="24"/>
      <c r="O910" s="13"/>
      <c r="P910" s="13"/>
    </row>
    <row r="911">
      <c r="C911" s="24"/>
      <c r="E911" s="13"/>
      <c r="F911" s="13"/>
      <c r="H911" s="24"/>
      <c r="J911" s="13"/>
      <c r="K911" s="13"/>
      <c r="M911" s="24"/>
      <c r="O911" s="13"/>
      <c r="P911" s="13"/>
    </row>
    <row r="912">
      <c r="C912" s="24"/>
      <c r="E912" s="13"/>
      <c r="F912" s="13"/>
      <c r="H912" s="24"/>
      <c r="J912" s="13"/>
      <c r="K912" s="13"/>
      <c r="M912" s="24"/>
      <c r="O912" s="13"/>
      <c r="P912" s="13"/>
    </row>
    <row r="913">
      <c r="C913" s="24"/>
      <c r="E913" s="13"/>
      <c r="F913" s="13"/>
      <c r="H913" s="24"/>
      <c r="J913" s="13"/>
      <c r="K913" s="13"/>
      <c r="M913" s="24"/>
      <c r="O913" s="13"/>
      <c r="P913" s="13"/>
    </row>
    <row r="914">
      <c r="C914" s="24"/>
      <c r="E914" s="13"/>
      <c r="F914" s="13"/>
      <c r="H914" s="24"/>
      <c r="J914" s="13"/>
      <c r="K914" s="13"/>
      <c r="M914" s="24"/>
      <c r="O914" s="13"/>
      <c r="P914" s="13"/>
    </row>
    <row r="915">
      <c r="C915" s="24"/>
      <c r="E915" s="13"/>
      <c r="F915" s="13"/>
      <c r="H915" s="24"/>
      <c r="J915" s="13"/>
      <c r="K915" s="13"/>
      <c r="M915" s="24"/>
      <c r="O915" s="13"/>
      <c r="P915" s="13"/>
    </row>
    <row r="916">
      <c r="C916" s="24"/>
      <c r="E916" s="13"/>
      <c r="F916" s="13"/>
      <c r="H916" s="24"/>
      <c r="J916" s="13"/>
      <c r="K916" s="13"/>
      <c r="M916" s="24"/>
      <c r="O916" s="13"/>
      <c r="P916" s="13"/>
    </row>
    <row r="917">
      <c r="C917" s="24"/>
      <c r="E917" s="13"/>
      <c r="F917" s="13"/>
      <c r="H917" s="24"/>
      <c r="J917" s="13"/>
      <c r="K917" s="13"/>
      <c r="M917" s="24"/>
      <c r="O917" s="13"/>
      <c r="P917" s="13"/>
    </row>
    <row r="918">
      <c r="C918" s="24"/>
      <c r="E918" s="13"/>
      <c r="F918" s="13"/>
      <c r="H918" s="24"/>
      <c r="J918" s="13"/>
      <c r="K918" s="13"/>
      <c r="M918" s="24"/>
      <c r="O918" s="13"/>
      <c r="P918" s="13"/>
    </row>
    <row r="919">
      <c r="C919" s="24"/>
      <c r="E919" s="13"/>
      <c r="F919" s="13"/>
      <c r="H919" s="24"/>
      <c r="J919" s="13"/>
      <c r="K919" s="13"/>
      <c r="M919" s="24"/>
      <c r="O919" s="13"/>
      <c r="P919" s="13"/>
    </row>
    <row r="920">
      <c r="C920" s="24"/>
      <c r="E920" s="13"/>
      <c r="F920" s="13"/>
      <c r="H920" s="24"/>
      <c r="J920" s="13"/>
      <c r="K920" s="13"/>
      <c r="M920" s="24"/>
      <c r="O920" s="13"/>
      <c r="P920" s="13"/>
    </row>
    <row r="921">
      <c r="C921" s="24"/>
      <c r="E921" s="13"/>
      <c r="F921" s="13"/>
      <c r="H921" s="24"/>
      <c r="J921" s="13"/>
      <c r="K921" s="13"/>
      <c r="M921" s="24"/>
      <c r="O921" s="13"/>
      <c r="P921" s="13"/>
    </row>
    <row r="922">
      <c r="C922" s="24"/>
      <c r="E922" s="13"/>
      <c r="F922" s="13"/>
      <c r="H922" s="24"/>
      <c r="J922" s="13"/>
      <c r="K922" s="13"/>
      <c r="M922" s="24"/>
      <c r="O922" s="13"/>
      <c r="P922" s="13"/>
    </row>
    <row r="923">
      <c r="C923" s="24"/>
      <c r="E923" s="13"/>
      <c r="F923" s="13"/>
      <c r="H923" s="24"/>
      <c r="J923" s="13"/>
      <c r="K923" s="13"/>
      <c r="M923" s="24"/>
      <c r="O923" s="13"/>
      <c r="P923" s="13"/>
    </row>
    <row r="924">
      <c r="C924" s="24"/>
      <c r="E924" s="13"/>
      <c r="F924" s="13"/>
      <c r="H924" s="24"/>
      <c r="J924" s="13"/>
      <c r="K924" s="13"/>
      <c r="M924" s="24"/>
      <c r="O924" s="13"/>
      <c r="P924" s="13"/>
    </row>
    <row r="925">
      <c r="C925" s="24"/>
      <c r="E925" s="13"/>
      <c r="F925" s="13"/>
      <c r="H925" s="24"/>
      <c r="J925" s="13"/>
      <c r="K925" s="13"/>
      <c r="M925" s="24"/>
      <c r="O925" s="13"/>
      <c r="P925" s="13"/>
    </row>
    <row r="926">
      <c r="C926" s="24"/>
      <c r="E926" s="13"/>
      <c r="F926" s="13"/>
      <c r="H926" s="24"/>
      <c r="J926" s="13"/>
      <c r="K926" s="13"/>
      <c r="M926" s="24"/>
      <c r="O926" s="13"/>
      <c r="P926" s="13"/>
    </row>
    <row r="927">
      <c r="C927" s="24"/>
      <c r="E927" s="13"/>
      <c r="F927" s="13"/>
      <c r="H927" s="24"/>
      <c r="J927" s="13"/>
      <c r="K927" s="13"/>
      <c r="M927" s="24"/>
      <c r="O927" s="13"/>
      <c r="P927" s="13"/>
    </row>
    <row r="928">
      <c r="C928" s="24"/>
      <c r="E928" s="13"/>
      <c r="F928" s="13"/>
      <c r="H928" s="24"/>
      <c r="J928" s="13"/>
      <c r="K928" s="13"/>
      <c r="M928" s="24"/>
      <c r="O928" s="13"/>
      <c r="P928" s="13"/>
    </row>
    <row r="929">
      <c r="C929" s="24"/>
      <c r="E929" s="13"/>
      <c r="F929" s="13"/>
      <c r="H929" s="24"/>
      <c r="J929" s="13"/>
      <c r="K929" s="13"/>
      <c r="M929" s="24"/>
      <c r="O929" s="13"/>
      <c r="P929" s="13"/>
    </row>
    <row r="930">
      <c r="C930" s="24"/>
      <c r="E930" s="13"/>
      <c r="F930" s="13"/>
      <c r="H930" s="24"/>
      <c r="J930" s="13"/>
      <c r="K930" s="13"/>
      <c r="M930" s="24"/>
      <c r="O930" s="13"/>
      <c r="P930" s="13"/>
    </row>
    <row r="931">
      <c r="C931" s="24"/>
      <c r="E931" s="13"/>
      <c r="F931" s="13"/>
      <c r="H931" s="24"/>
      <c r="J931" s="13"/>
      <c r="K931" s="13"/>
      <c r="M931" s="24"/>
      <c r="O931" s="13"/>
      <c r="P931" s="13"/>
    </row>
    <row r="932">
      <c r="C932" s="24"/>
      <c r="E932" s="13"/>
      <c r="F932" s="13"/>
      <c r="H932" s="24"/>
      <c r="J932" s="13"/>
      <c r="K932" s="13"/>
      <c r="M932" s="24"/>
      <c r="O932" s="13"/>
      <c r="P932" s="13"/>
    </row>
    <row r="933">
      <c r="C933" s="24"/>
      <c r="E933" s="13"/>
      <c r="F933" s="13"/>
      <c r="H933" s="24"/>
      <c r="J933" s="13"/>
      <c r="K933" s="13"/>
      <c r="M933" s="24"/>
      <c r="O933" s="13"/>
      <c r="P933" s="13"/>
    </row>
    <row r="934">
      <c r="C934" s="24"/>
      <c r="E934" s="13"/>
      <c r="F934" s="13"/>
      <c r="H934" s="24"/>
      <c r="J934" s="13"/>
      <c r="K934" s="13"/>
      <c r="M934" s="24"/>
      <c r="O934" s="13"/>
      <c r="P934" s="13"/>
    </row>
    <row r="935">
      <c r="C935" s="24"/>
      <c r="E935" s="13"/>
      <c r="F935" s="13"/>
      <c r="H935" s="24"/>
      <c r="J935" s="13"/>
      <c r="K935" s="13"/>
      <c r="M935" s="24"/>
      <c r="O935" s="13"/>
      <c r="P935" s="13"/>
    </row>
    <row r="936">
      <c r="C936" s="24"/>
      <c r="E936" s="13"/>
      <c r="F936" s="13"/>
      <c r="H936" s="24"/>
      <c r="J936" s="13"/>
      <c r="K936" s="13"/>
      <c r="M936" s="24"/>
      <c r="O936" s="13"/>
      <c r="P936" s="13"/>
    </row>
    <row r="937">
      <c r="C937" s="24"/>
      <c r="E937" s="13"/>
      <c r="F937" s="13"/>
      <c r="H937" s="24"/>
      <c r="J937" s="13"/>
      <c r="K937" s="13"/>
      <c r="M937" s="24"/>
      <c r="O937" s="13"/>
      <c r="P937" s="13"/>
    </row>
    <row r="938">
      <c r="C938" s="24"/>
      <c r="E938" s="13"/>
      <c r="F938" s="13"/>
      <c r="H938" s="24"/>
      <c r="J938" s="13"/>
      <c r="K938" s="13"/>
      <c r="M938" s="24"/>
      <c r="O938" s="13"/>
      <c r="P938" s="13"/>
    </row>
    <row r="939">
      <c r="C939" s="24"/>
      <c r="E939" s="13"/>
      <c r="F939" s="13"/>
      <c r="H939" s="24"/>
      <c r="J939" s="13"/>
      <c r="K939" s="13"/>
      <c r="M939" s="24"/>
      <c r="O939" s="13"/>
      <c r="P939" s="13"/>
    </row>
    <row r="940">
      <c r="C940" s="24"/>
      <c r="E940" s="13"/>
      <c r="F940" s="13"/>
      <c r="H940" s="24"/>
      <c r="J940" s="13"/>
      <c r="K940" s="13"/>
      <c r="M940" s="24"/>
      <c r="O940" s="13"/>
      <c r="P940" s="13"/>
    </row>
    <row r="941">
      <c r="C941" s="24"/>
      <c r="E941" s="13"/>
      <c r="F941" s="13"/>
      <c r="H941" s="24"/>
      <c r="J941" s="13"/>
      <c r="K941" s="13"/>
      <c r="M941" s="24"/>
      <c r="O941" s="13"/>
      <c r="P941" s="13"/>
    </row>
    <row r="942">
      <c r="C942" s="24"/>
      <c r="E942" s="13"/>
      <c r="F942" s="13"/>
      <c r="H942" s="24"/>
      <c r="J942" s="13"/>
      <c r="K942" s="13"/>
      <c r="M942" s="24"/>
      <c r="O942" s="13"/>
      <c r="P942" s="13"/>
    </row>
    <row r="943">
      <c r="C943" s="24"/>
      <c r="E943" s="13"/>
      <c r="F943" s="13"/>
      <c r="H943" s="24"/>
      <c r="J943" s="13"/>
      <c r="K943" s="13"/>
      <c r="M943" s="24"/>
      <c r="O943" s="13"/>
      <c r="P943" s="13"/>
    </row>
    <row r="944">
      <c r="C944" s="24"/>
      <c r="E944" s="13"/>
      <c r="F944" s="13"/>
      <c r="H944" s="24"/>
      <c r="J944" s="13"/>
      <c r="K944" s="13"/>
      <c r="M944" s="24"/>
      <c r="O944" s="13"/>
      <c r="P944" s="13"/>
    </row>
    <row r="945">
      <c r="C945" s="24"/>
      <c r="E945" s="13"/>
      <c r="F945" s="13"/>
      <c r="H945" s="24"/>
      <c r="J945" s="13"/>
      <c r="K945" s="13"/>
      <c r="M945" s="24"/>
      <c r="O945" s="13"/>
      <c r="P945" s="13"/>
    </row>
    <row r="946">
      <c r="C946" s="24"/>
      <c r="E946" s="13"/>
      <c r="F946" s="13"/>
      <c r="H946" s="24"/>
      <c r="J946" s="13"/>
      <c r="K946" s="13"/>
      <c r="M946" s="24"/>
      <c r="O946" s="13"/>
      <c r="P946" s="13"/>
    </row>
    <row r="947">
      <c r="C947" s="24"/>
      <c r="E947" s="13"/>
      <c r="F947" s="13"/>
      <c r="H947" s="24"/>
      <c r="J947" s="13"/>
      <c r="K947" s="13"/>
      <c r="M947" s="24"/>
      <c r="O947" s="13"/>
      <c r="P947" s="13"/>
    </row>
    <row r="948">
      <c r="C948" s="24"/>
      <c r="E948" s="13"/>
      <c r="F948" s="13"/>
      <c r="H948" s="24"/>
      <c r="J948" s="13"/>
      <c r="K948" s="13"/>
      <c r="M948" s="24"/>
      <c r="O948" s="13"/>
      <c r="P948" s="13"/>
    </row>
    <row r="949">
      <c r="C949" s="24"/>
      <c r="E949" s="13"/>
      <c r="F949" s="13"/>
      <c r="H949" s="24"/>
      <c r="J949" s="13"/>
      <c r="K949" s="13"/>
      <c r="M949" s="24"/>
      <c r="O949" s="13"/>
      <c r="P949" s="13"/>
    </row>
    <row r="950">
      <c r="C950" s="24"/>
      <c r="E950" s="13"/>
      <c r="F950" s="13"/>
      <c r="H950" s="24"/>
      <c r="J950" s="13"/>
      <c r="K950" s="13"/>
      <c r="M950" s="24"/>
      <c r="O950" s="13"/>
      <c r="P950" s="13"/>
    </row>
    <row r="951">
      <c r="C951" s="24"/>
      <c r="E951" s="13"/>
      <c r="F951" s="13"/>
      <c r="H951" s="24"/>
      <c r="J951" s="13"/>
      <c r="K951" s="13"/>
      <c r="M951" s="24"/>
      <c r="O951" s="13"/>
      <c r="P951" s="13"/>
    </row>
    <row r="952">
      <c r="C952" s="24"/>
      <c r="E952" s="13"/>
      <c r="F952" s="13"/>
      <c r="H952" s="24"/>
      <c r="J952" s="13"/>
      <c r="K952" s="13"/>
      <c r="M952" s="24"/>
      <c r="O952" s="13"/>
      <c r="P952" s="13"/>
    </row>
    <row r="953">
      <c r="C953" s="24"/>
      <c r="E953" s="13"/>
      <c r="F953" s="13"/>
      <c r="H953" s="24"/>
      <c r="J953" s="13"/>
      <c r="K953" s="13"/>
      <c r="M953" s="24"/>
      <c r="O953" s="13"/>
      <c r="P953" s="13"/>
    </row>
    <row r="954">
      <c r="C954" s="24"/>
      <c r="E954" s="13"/>
      <c r="F954" s="13"/>
      <c r="H954" s="24"/>
      <c r="J954" s="13"/>
      <c r="K954" s="13"/>
      <c r="M954" s="24"/>
      <c r="O954" s="13"/>
      <c r="P954" s="13"/>
    </row>
    <row r="955">
      <c r="C955" s="24"/>
      <c r="E955" s="13"/>
      <c r="F955" s="13"/>
      <c r="H955" s="24"/>
      <c r="J955" s="13"/>
      <c r="K955" s="13"/>
      <c r="M955" s="24"/>
      <c r="O955" s="13"/>
      <c r="P955" s="13"/>
    </row>
    <row r="956">
      <c r="C956" s="24"/>
      <c r="E956" s="13"/>
      <c r="F956" s="13"/>
      <c r="H956" s="24"/>
      <c r="J956" s="13"/>
      <c r="K956" s="13"/>
      <c r="M956" s="24"/>
      <c r="O956" s="13"/>
      <c r="P956" s="13"/>
    </row>
    <row r="957">
      <c r="C957" s="24"/>
      <c r="E957" s="13"/>
      <c r="F957" s="13"/>
      <c r="H957" s="24"/>
      <c r="J957" s="13"/>
      <c r="K957" s="13"/>
      <c r="M957" s="24"/>
      <c r="O957" s="13"/>
      <c r="P957" s="13"/>
    </row>
    <row r="958">
      <c r="C958" s="24"/>
      <c r="E958" s="13"/>
      <c r="F958" s="13"/>
      <c r="H958" s="24"/>
      <c r="J958" s="13"/>
      <c r="K958" s="13"/>
      <c r="M958" s="24"/>
      <c r="O958" s="13"/>
      <c r="P958" s="13"/>
    </row>
    <row r="959">
      <c r="C959" s="24"/>
      <c r="E959" s="13"/>
      <c r="F959" s="13"/>
      <c r="H959" s="24"/>
      <c r="J959" s="13"/>
      <c r="K959" s="13"/>
      <c r="M959" s="24"/>
      <c r="O959" s="13"/>
      <c r="P959" s="13"/>
    </row>
    <row r="960">
      <c r="C960" s="24"/>
      <c r="E960" s="13"/>
      <c r="F960" s="13"/>
      <c r="H960" s="24"/>
      <c r="J960" s="13"/>
      <c r="K960" s="13"/>
      <c r="M960" s="24"/>
      <c r="O960" s="13"/>
      <c r="P960" s="13"/>
    </row>
    <row r="961">
      <c r="C961" s="24"/>
      <c r="E961" s="13"/>
      <c r="F961" s="13"/>
      <c r="H961" s="24"/>
      <c r="J961" s="13"/>
      <c r="K961" s="13"/>
      <c r="M961" s="24"/>
      <c r="O961" s="13"/>
      <c r="P961" s="13"/>
    </row>
    <row r="962">
      <c r="C962" s="24"/>
      <c r="E962" s="13"/>
      <c r="F962" s="13"/>
      <c r="H962" s="24"/>
      <c r="J962" s="13"/>
      <c r="K962" s="13"/>
      <c r="M962" s="24"/>
      <c r="O962" s="13"/>
      <c r="P962" s="13"/>
    </row>
    <row r="963">
      <c r="C963" s="24"/>
      <c r="E963" s="13"/>
      <c r="F963" s="13"/>
      <c r="H963" s="24"/>
      <c r="J963" s="13"/>
      <c r="K963" s="13"/>
      <c r="M963" s="24"/>
      <c r="O963" s="13"/>
      <c r="P963" s="13"/>
    </row>
    <row r="964">
      <c r="C964" s="24"/>
      <c r="E964" s="13"/>
      <c r="F964" s="13"/>
      <c r="H964" s="24"/>
      <c r="J964" s="13"/>
      <c r="K964" s="13"/>
      <c r="M964" s="24"/>
      <c r="O964" s="13"/>
      <c r="P964" s="13"/>
    </row>
    <row r="965">
      <c r="C965" s="24"/>
      <c r="E965" s="13"/>
      <c r="F965" s="13"/>
      <c r="H965" s="24"/>
      <c r="J965" s="13"/>
      <c r="K965" s="13"/>
      <c r="M965" s="24"/>
      <c r="O965" s="13"/>
      <c r="P965" s="13"/>
    </row>
    <row r="966">
      <c r="C966" s="24"/>
      <c r="E966" s="13"/>
      <c r="F966" s="13"/>
      <c r="H966" s="24"/>
      <c r="J966" s="13"/>
      <c r="K966" s="13"/>
      <c r="M966" s="24"/>
      <c r="O966" s="13"/>
      <c r="P966" s="13"/>
    </row>
    <row r="967">
      <c r="C967" s="24"/>
      <c r="E967" s="13"/>
      <c r="F967" s="13"/>
      <c r="H967" s="24"/>
      <c r="J967" s="13"/>
      <c r="K967" s="13"/>
      <c r="M967" s="24"/>
      <c r="O967" s="13"/>
      <c r="P967" s="13"/>
    </row>
    <row r="968">
      <c r="C968" s="24"/>
      <c r="E968" s="13"/>
      <c r="F968" s="13"/>
      <c r="H968" s="24"/>
      <c r="J968" s="13"/>
      <c r="K968" s="13"/>
      <c r="M968" s="24"/>
      <c r="O968" s="13"/>
      <c r="P968" s="13"/>
    </row>
    <row r="969">
      <c r="C969" s="24"/>
      <c r="E969" s="13"/>
      <c r="F969" s="13"/>
      <c r="H969" s="24"/>
      <c r="J969" s="13"/>
      <c r="K969" s="13"/>
      <c r="M969" s="24"/>
      <c r="O969" s="13"/>
      <c r="P969" s="13"/>
    </row>
    <row r="970">
      <c r="C970" s="24"/>
      <c r="E970" s="13"/>
      <c r="F970" s="13"/>
      <c r="H970" s="24"/>
      <c r="J970" s="13"/>
      <c r="K970" s="13"/>
      <c r="M970" s="24"/>
      <c r="O970" s="13"/>
      <c r="P970" s="13"/>
    </row>
    <row r="971">
      <c r="C971" s="24"/>
      <c r="E971" s="13"/>
      <c r="F971" s="13"/>
      <c r="H971" s="24"/>
      <c r="J971" s="13"/>
      <c r="K971" s="13"/>
      <c r="M971" s="24"/>
      <c r="O971" s="13"/>
      <c r="P971" s="13"/>
    </row>
    <row r="972">
      <c r="C972" s="24"/>
      <c r="E972" s="13"/>
      <c r="F972" s="13"/>
      <c r="H972" s="24"/>
      <c r="J972" s="13"/>
      <c r="K972" s="13"/>
      <c r="M972" s="24"/>
      <c r="O972" s="13"/>
      <c r="P972" s="13"/>
    </row>
    <row r="973">
      <c r="C973" s="24"/>
      <c r="E973" s="13"/>
      <c r="F973" s="13"/>
      <c r="H973" s="24"/>
      <c r="J973" s="13"/>
      <c r="K973" s="13"/>
      <c r="M973" s="24"/>
      <c r="O973" s="13"/>
      <c r="P973" s="13"/>
    </row>
    <row r="974">
      <c r="C974" s="24"/>
      <c r="E974" s="13"/>
      <c r="F974" s="13"/>
      <c r="H974" s="24"/>
      <c r="J974" s="13"/>
      <c r="K974" s="13"/>
      <c r="M974" s="24"/>
      <c r="O974" s="13"/>
      <c r="P974" s="13"/>
    </row>
    <row r="975">
      <c r="C975" s="24"/>
      <c r="E975" s="13"/>
      <c r="F975" s="13"/>
      <c r="H975" s="24"/>
      <c r="J975" s="13"/>
      <c r="K975" s="13"/>
      <c r="M975" s="24"/>
      <c r="O975" s="13"/>
      <c r="P975" s="13"/>
    </row>
    <row r="976">
      <c r="C976" s="24"/>
      <c r="E976" s="13"/>
      <c r="F976" s="13"/>
      <c r="H976" s="24"/>
      <c r="J976" s="13"/>
      <c r="K976" s="13"/>
      <c r="M976" s="24"/>
      <c r="O976" s="13"/>
      <c r="P976" s="13"/>
    </row>
    <row r="977">
      <c r="C977" s="24"/>
      <c r="E977" s="13"/>
      <c r="F977" s="13"/>
      <c r="H977" s="24"/>
      <c r="J977" s="13"/>
      <c r="K977" s="13"/>
      <c r="M977" s="24"/>
      <c r="O977" s="13"/>
      <c r="P977" s="13"/>
    </row>
    <row r="978">
      <c r="C978" s="24"/>
      <c r="E978" s="13"/>
      <c r="F978" s="13"/>
      <c r="H978" s="24"/>
      <c r="J978" s="13"/>
      <c r="K978" s="13"/>
      <c r="M978" s="24"/>
      <c r="O978" s="13"/>
      <c r="P978" s="13"/>
    </row>
    <row r="979">
      <c r="C979" s="24"/>
      <c r="E979" s="13"/>
      <c r="F979" s="13"/>
      <c r="H979" s="24"/>
      <c r="J979" s="13"/>
      <c r="K979" s="13"/>
      <c r="M979" s="24"/>
      <c r="O979" s="13"/>
      <c r="P979" s="13"/>
    </row>
    <row r="980">
      <c r="C980" s="24"/>
      <c r="E980" s="13"/>
      <c r="F980" s="13"/>
      <c r="H980" s="24"/>
      <c r="J980" s="13"/>
      <c r="K980" s="13"/>
      <c r="M980" s="24"/>
      <c r="O980" s="13"/>
      <c r="P980" s="13"/>
    </row>
    <row r="981">
      <c r="C981" s="24"/>
      <c r="E981" s="13"/>
      <c r="F981" s="13"/>
      <c r="H981" s="24"/>
      <c r="J981" s="13"/>
      <c r="K981" s="13"/>
      <c r="M981" s="24"/>
      <c r="O981" s="13"/>
      <c r="P981" s="13"/>
    </row>
    <row r="982">
      <c r="C982" s="24"/>
      <c r="E982" s="13"/>
      <c r="F982" s="13"/>
      <c r="H982" s="24"/>
      <c r="J982" s="13"/>
      <c r="K982" s="13"/>
      <c r="M982" s="24"/>
      <c r="O982" s="13"/>
      <c r="P982" s="13"/>
    </row>
    <row r="983">
      <c r="C983" s="24"/>
      <c r="E983" s="13"/>
      <c r="F983" s="13"/>
      <c r="H983" s="24"/>
      <c r="J983" s="13"/>
      <c r="K983" s="13"/>
      <c r="M983" s="24"/>
      <c r="O983" s="13"/>
      <c r="P983" s="13"/>
    </row>
    <row r="984">
      <c r="C984" s="24"/>
      <c r="E984" s="13"/>
      <c r="F984" s="13"/>
      <c r="H984" s="24"/>
      <c r="J984" s="13"/>
      <c r="K984" s="13"/>
      <c r="M984" s="24"/>
      <c r="O984" s="13"/>
      <c r="P984" s="13"/>
    </row>
    <row r="985">
      <c r="C985" s="24"/>
      <c r="E985" s="13"/>
      <c r="F985" s="13"/>
      <c r="H985" s="24"/>
      <c r="J985" s="13"/>
      <c r="K985" s="13"/>
      <c r="M985" s="24"/>
      <c r="O985" s="13"/>
      <c r="P985" s="13"/>
    </row>
    <row r="986">
      <c r="C986" s="24"/>
      <c r="E986" s="13"/>
      <c r="F986" s="13"/>
      <c r="H986" s="24"/>
      <c r="J986" s="13"/>
      <c r="K986" s="13"/>
      <c r="M986" s="24"/>
      <c r="O986" s="13"/>
      <c r="P986" s="13"/>
    </row>
    <row r="987">
      <c r="C987" s="24"/>
      <c r="E987" s="13"/>
      <c r="F987" s="13"/>
      <c r="H987" s="24"/>
      <c r="J987" s="13"/>
      <c r="K987" s="13"/>
      <c r="M987" s="24"/>
      <c r="O987" s="13"/>
      <c r="P987" s="13"/>
    </row>
    <row r="988">
      <c r="C988" s="24"/>
      <c r="E988" s="13"/>
      <c r="F988" s="13"/>
      <c r="H988" s="24"/>
      <c r="J988" s="13"/>
      <c r="K988" s="13"/>
      <c r="M988" s="24"/>
      <c r="O988" s="13"/>
      <c r="P988" s="13"/>
    </row>
    <row r="989">
      <c r="C989" s="24"/>
      <c r="E989" s="13"/>
      <c r="F989" s="13"/>
      <c r="H989" s="24"/>
      <c r="J989" s="13"/>
      <c r="K989" s="13"/>
      <c r="M989" s="24"/>
      <c r="O989" s="13"/>
      <c r="P989" s="13"/>
    </row>
    <row r="990">
      <c r="C990" s="24"/>
      <c r="E990" s="13"/>
      <c r="F990" s="13"/>
      <c r="H990" s="24"/>
      <c r="J990" s="13"/>
      <c r="K990" s="13"/>
      <c r="M990" s="24"/>
      <c r="O990" s="13"/>
      <c r="P990" s="13"/>
    </row>
    <row r="991">
      <c r="C991" s="24"/>
      <c r="E991" s="13"/>
      <c r="F991" s="13"/>
      <c r="H991" s="24"/>
      <c r="J991" s="13"/>
      <c r="K991" s="13"/>
      <c r="M991" s="24"/>
      <c r="O991" s="13"/>
      <c r="P991" s="13"/>
    </row>
    <row r="992">
      <c r="C992" s="24"/>
      <c r="E992" s="13"/>
      <c r="F992" s="13"/>
      <c r="H992" s="24"/>
      <c r="J992" s="13"/>
      <c r="K992" s="13"/>
      <c r="M992" s="24"/>
      <c r="O992" s="13"/>
      <c r="P992" s="13"/>
    </row>
    <row r="993">
      <c r="C993" s="24"/>
      <c r="E993" s="13"/>
      <c r="F993" s="13"/>
      <c r="H993" s="24"/>
      <c r="J993" s="13"/>
      <c r="K993" s="13"/>
      <c r="M993" s="24"/>
      <c r="O993" s="13"/>
      <c r="P993" s="13"/>
    </row>
    <row r="994">
      <c r="C994" s="24"/>
      <c r="E994" s="13"/>
      <c r="F994" s="13"/>
      <c r="H994" s="24"/>
      <c r="J994" s="13"/>
      <c r="K994" s="13"/>
      <c r="M994" s="24"/>
      <c r="O994" s="13"/>
      <c r="P994" s="13"/>
    </row>
    <row r="995">
      <c r="C995" s="24"/>
      <c r="E995" s="13"/>
      <c r="F995" s="13"/>
      <c r="H995" s="24"/>
      <c r="J995" s="13"/>
      <c r="K995" s="13"/>
      <c r="M995" s="24"/>
      <c r="O995" s="13"/>
      <c r="P995" s="13"/>
    </row>
    <row r="996">
      <c r="C996" s="24"/>
      <c r="E996" s="13"/>
      <c r="F996" s="13"/>
      <c r="H996" s="24"/>
      <c r="J996" s="13"/>
      <c r="K996" s="13"/>
      <c r="M996" s="24"/>
      <c r="O996" s="13"/>
      <c r="P996" s="13"/>
    </row>
    <row r="997">
      <c r="C997" s="24"/>
      <c r="E997" s="13"/>
      <c r="F997" s="13"/>
      <c r="H997" s="24"/>
      <c r="J997" s="13"/>
      <c r="K997" s="13"/>
      <c r="M997" s="24"/>
      <c r="O997" s="13"/>
      <c r="P997" s="13"/>
    </row>
    <row r="998">
      <c r="C998" s="24"/>
      <c r="E998" s="13"/>
      <c r="F998" s="13"/>
      <c r="H998" s="24"/>
      <c r="J998" s="13"/>
      <c r="K998" s="13"/>
      <c r="M998" s="24"/>
      <c r="O998" s="13"/>
      <c r="P998" s="13"/>
    </row>
    <row r="999">
      <c r="C999" s="24"/>
      <c r="E999" s="13"/>
      <c r="F999" s="13"/>
      <c r="H999" s="24"/>
      <c r="J999" s="13"/>
      <c r="K999" s="13"/>
      <c r="M999" s="24"/>
      <c r="O999" s="13"/>
      <c r="P999" s="13"/>
    </row>
    <row r="1000">
      <c r="C1000" s="24"/>
      <c r="E1000" s="13"/>
      <c r="F1000" s="13"/>
      <c r="H1000" s="24"/>
      <c r="J1000" s="13"/>
      <c r="K1000" s="13"/>
      <c r="M1000" s="24"/>
      <c r="O1000" s="13"/>
      <c r="P1000" s="13"/>
    </row>
    <row r="1001">
      <c r="C1001" s="24"/>
      <c r="E1001" s="13"/>
      <c r="F1001" s="13"/>
      <c r="H1001" s="24"/>
      <c r="J1001" s="13"/>
      <c r="K1001" s="13"/>
      <c r="M1001" s="24"/>
      <c r="O1001" s="13"/>
      <c r="P1001" s="13"/>
    </row>
    <row r="1002">
      <c r="C1002" s="24"/>
      <c r="E1002" s="13"/>
      <c r="F1002" s="13"/>
      <c r="H1002" s="24"/>
      <c r="J1002" s="13"/>
      <c r="K1002" s="13"/>
      <c r="M1002" s="24"/>
      <c r="O1002" s="13"/>
      <c r="P1002" s="13"/>
    </row>
    <row r="1003">
      <c r="C1003" s="24"/>
      <c r="E1003" s="13"/>
      <c r="F1003" s="13"/>
      <c r="H1003" s="24"/>
      <c r="J1003" s="13"/>
      <c r="K1003" s="13"/>
      <c r="M1003" s="24"/>
      <c r="O1003" s="13"/>
      <c r="P1003" s="13"/>
    </row>
    <row r="1004">
      <c r="C1004" s="24"/>
      <c r="E1004" s="13"/>
      <c r="F1004" s="13"/>
      <c r="H1004" s="24"/>
      <c r="J1004" s="13"/>
      <c r="K1004" s="13"/>
      <c r="M1004" s="24"/>
      <c r="O1004" s="13"/>
      <c r="P1004" s="13"/>
    </row>
    <row r="1005">
      <c r="C1005" s="24"/>
      <c r="E1005" s="13"/>
      <c r="F1005" s="13"/>
      <c r="H1005" s="24"/>
      <c r="J1005" s="13"/>
      <c r="K1005" s="13"/>
      <c r="M1005" s="24"/>
      <c r="O1005" s="13"/>
      <c r="P1005" s="13"/>
    </row>
    <row r="1006">
      <c r="C1006" s="24"/>
      <c r="E1006" s="13"/>
      <c r="F1006" s="13"/>
      <c r="H1006" s="24"/>
      <c r="J1006" s="13"/>
      <c r="K1006" s="13"/>
      <c r="M1006" s="24"/>
      <c r="O1006" s="13"/>
      <c r="P1006" s="13"/>
    </row>
    <row r="1007">
      <c r="C1007" s="24"/>
      <c r="E1007" s="13"/>
      <c r="F1007" s="13"/>
      <c r="H1007" s="24"/>
      <c r="J1007" s="13"/>
      <c r="K1007" s="13"/>
      <c r="M1007" s="24"/>
      <c r="O1007" s="13"/>
      <c r="P1007" s="13"/>
    </row>
    <row r="1008">
      <c r="C1008" s="24"/>
      <c r="E1008" s="13"/>
      <c r="F1008" s="13"/>
      <c r="H1008" s="24"/>
      <c r="J1008" s="13"/>
      <c r="K1008" s="13"/>
      <c r="M1008" s="24"/>
      <c r="O1008" s="13"/>
      <c r="P1008" s="13"/>
    </row>
    <row r="1009">
      <c r="C1009" s="24"/>
      <c r="E1009" s="13"/>
      <c r="F1009" s="13"/>
      <c r="H1009" s="24"/>
      <c r="J1009" s="13"/>
      <c r="K1009" s="13"/>
      <c r="M1009" s="24"/>
      <c r="O1009" s="13"/>
      <c r="P1009" s="13"/>
    </row>
    <row r="1010">
      <c r="C1010" s="55"/>
      <c r="F1010" s="13"/>
      <c r="H1010" s="55"/>
      <c r="K1010" s="13"/>
      <c r="M1010" s="55"/>
      <c r="P1010" s="13"/>
    </row>
  </sheetData>
  <mergeCells count="9">
    <mergeCell ref="M2:O2"/>
    <mergeCell ref="M3:O3"/>
    <mergeCell ref="C1:E1"/>
    <mergeCell ref="H1:J1"/>
    <mergeCell ref="M1:O1"/>
    <mergeCell ref="C2:E2"/>
    <mergeCell ref="H2:J2"/>
    <mergeCell ref="C3:E3"/>
    <mergeCell ref="H3:J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.88"/>
    <col customWidth="1" min="2" max="2" width="23.5"/>
    <col customWidth="1" min="3" max="3" width="18.63"/>
    <col customWidth="1" min="4" max="4" width="9.88"/>
    <col customWidth="1" min="5" max="5" width="5.75"/>
    <col customWidth="1" min="6" max="6" width="6.13"/>
    <col customWidth="1" min="7" max="7" width="23.5"/>
    <col customWidth="1" min="8" max="8" width="18.63"/>
    <col customWidth="1" min="9" max="9" width="9.88"/>
    <col customWidth="1" min="10" max="10" width="5.75"/>
    <col customWidth="1" min="11" max="11" width="6.13"/>
    <col customWidth="1" min="12" max="12" width="23.5"/>
    <col customWidth="1" min="13" max="13" width="18.63"/>
    <col customWidth="1" min="14" max="14" width="9.88"/>
    <col customWidth="1" min="15" max="15" width="8.88"/>
    <col customWidth="1" min="16" max="16" width="4.25"/>
    <col customWidth="1" min="17" max="17" width="9.38"/>
  </cols>
  <sheetData>
    <row r="1">
      <c r="A1" s="1"/>
      <c r="B1" s="2" t="s">
        <v>0</v>
      </c>
      <c r="C1" s="3"/>
      <c r="F1" s="4"/>
      <c r="G1" s="2" t="s">
        <v>0</v>
      </c>
      <c r="H1" s="3"/>
      <c r="K1" s="4"/>
      <c r="L1" s="2" t="s">
        <v>0</v>
      </c>
      <c r="M1" s="3" t="s">
        <v>1</v>
      </c>
      <c r="P1" s="4"/>
    </row>
    <row r="2">
      <c r="A2" s="5"/>
      <c r="B2" s="6" t="s">
        <v>2</v>
      </c>
      <c r="C2" s="7" t="s">
        <v>66</v>
      </c>
      <c r="D2" s="8"/>
      <c r="E2" s="9"/>
      <c r="F2" s="4"/>
      <c r="G2" s="6" t="s">
        <v>2</v>
      </c>
      <c r="H2" s="7" t="s">
        <v>67</v>
      </c>
      <c r="I2" s="8"/>
      <c r="J2" s="9"/>
      <c r="K2" s="4"/>
      <c r="L2" s="6" t="s">
        <v>2</v>
      </c>
      <c r="M2" s="7" t="s">
        <v>68</v>
      </c>
      <c r="N2" s="8"/>
      <c r="O2" s="9"/>
      <c r="P2" s="4"/>
    </row>
    <row r="3">
      <c r="A3" s="5"/>
      <c r="B3" s="6" t="s">
        <v>6</v>
      </c>
      <c r="C3" s="10" t="s">
        <v>7</v>
      </c>
      <c r="D3" s="11"/>
      <c r="E3" s="12"/>
      <c r="F3" s="13"/>
      <c r="G3" s="6" t="s">
        <v>6</v>
      </c>
      <c r="H3" s="10" t="s">
        <v>8</v>
      </c>
      <c r="I3" s="11"/>
      <c r="J3" s="12"/>
      <c r="K3" s="13"/>
      <c r="L3" s="6" t="s">
        <v>6</v>
      </c>
      <c r="M3" s="10" t="s">
        <v>69</v>
      </c>
      <c r="N3" s="11"/>
      <c r="O3" s="12"/>
      <c r="P3" s="13"/>
    </row>
    <row r="4">
      <c r="A4" s="5"/>
      <c r="B4" s="6"/>
      <c r="C4" s="14" t="s">
        <v>10</v>
      </c>
      <c r="D4" s="15" t="s">
        <v>11</v>
      </c>
      <c r="E4" s="15" t="s">
        <v>12</v>
      </c>
      <c r="F4" s="16"/>
      <c r="G4" s="6"/>
      <c r="H4" s="14" t="s">
        <v>10</v>
      </c>
      <c r="I4" s="15" t="s">
        <v>11</v>
      </c>
      <c r="J4" s="15" t="s">
        <v>12</v>
      </c>
      <c r="K4" s="16"/>
      <c r="L4" s="6"/>
      <c r="M4" s="14" t="s">
        <v>10</v>
      </c>
      <c r="N4" s="15" t="s">
        <v>11</v>
      </c>
      <c r="O4" s="15" t="s">
        <v>12</v>
      </c>
      <c r="P4" s="16"/>
    </row>
    <row r="5">
      <c r="A5" s="5"/>
      <c r="B5" s="6" t="s">
        <v>13</v>
      </c>
      <c r="C5" s="17"/>
      <c r="D5" s="18"/>
      <c r="E5" s="19"/>
      <c r="F5" s="13"/>
      <c r="G5" s="6" t="s">
        <v>13</v>
      </c>
      <c r="H5" s="17"/>
      <c r="I5" s="18"/>
      <c r="J5" s="19"/>
      <c r="K5" s="13"/>
      <c r="L5" s="6" t="s">
        <v>13</v>
      </c>
      <c r="M5" s="17"/>
      <c r="N5" s="18"/>
      <c r="O5" s="19"/>
      <c r="P5" s="13"/>
    </row>
    <row r="6">
      <c r="B6" s="6" t="s">
        <v>14</v>
      </c>
      <c r="C6" s="20">
        <v>45629.0</v>
      </c>
      <c r="D6" s="20"/>
      <c r="E6" s="19"/>
      <c r="F6" s="13"/>
      <c r="G6" s="6" t="s">
        <v>14</v>
      </c>
      <c r="H6" s="20">
        <v>45629.0</v>
      </c>
      <c r="I6" s="20"/>
      <c r="J6" s="19"/>
      <c r="K6" s="13"/>
      <c r="L6" s="6" t="s">
        <v>14</v>
      </c>
      <c r="M6" s="20">
        <v>45629.0</v>
      </c>
      <c r="N6" s="20"/>
      <c r="O6" s="19"/>
      <c r="P6" s="13"/>
    </row>
    <row r="7">
      <c r="B7" s="6" t="s">
        <v>15</v>
      </c>
      <c r="C7" s="17" t="s">
        <v>16</v>
      </c>
      <c r="D7" s="18"/>
      <c r="E7" s="19"/>
      <c r="F7" s="13"/>
      <c r="G7" s="6" t="s">
        <v>15</v>
      </c>
      <c r="H7" s="17" t="s">
        <v>16</v>
      </c>
      <c r="I7" s="18"/>
      <c r="J7" s="19"/>
      <c r="K7" s="13"/>
      <c r="L7" s="6" t="s">
        <v>15</v>
      </c>
      <c r="M7" s="17" t="s">
        <v>16</v>
      </c>
      <c r="N7" s="18"/>
      <c r="O7" s="19"/>
      <c r="P7" s="13"/>
    </row>
    <row r="8">
      <c r="B8" s="6" t="s">
        <v>17</v>
      </c>
      <c r="C8" s="17" t="s">
        <v>18</v>
      </c>
      <c r="D8" s="18"/>
      <c r="E8" s="19"/>
      <c r="F8" s="13"/>
      <c r="G8" s="6" t="s">
        <v>17</v>
      </c>
      <c r="H8" s="17" t="s">
        <v>18</v>
      </c>
      <c r="I8" s="18"/>
      <c r="J8" s="19"/>
      <c r="K8" s="13"/>
      <c r="L8" s="6" t="s">
        <v>17</v>
      </c>
      <c r="M8" s="17" t="s">
        <v>18</v>
      </c>
      <c r="N8" s="18"/>
      <c r="O8" s="19"/>
      <c r="P8" s="13"/>
    </row>
    <row r="9">
      <c r="B9" s="21" t="s">
        <v>19</v>
      </c>
      <c r="C9" s="22">
        <f t="shared" ref="C9:D9" si="1">C21+C31+C38</f>
        <v>2.141645556</v>
      </c>
      <c r="D9" s="22">
        <f t="shared" si="1"/>
        <v>2.21664</v>
      </c>
      <c r="E9" s="23">
        <f>D9-C9</f>
        <v>0.07499444444</v>
      </c>
      <c r="F9" s="13"/>
      <c r="G9" s="21" t="s">
        <v>19</v>
      </c>
      <c r="H9" s="22">
        <f t="shared" ref="H9:I9" si="2">H21+H31+H38</f>
        <v>0.4338070053</v>
      </c>
      <c r="I9" s="22">
        <f t="shared" si="2"/>
        <v>0.452792422</v>
      </c>
      <c r="J9" s="23">
        <f>I9-H9</f>
        <v>0.01898541667</v>
      </c>
      <c r="K9" s="13"/>
      <c r="L9" s="21" t="s">
        <v>19</v>
      </c>
      <c r="M9" s="22">
        <f t="shared" ref="M9:N9" si="3">M21+M31+M38</f>
        <v>5.434188451</v>
      </c>
      <c r="N9" s="22">
        <f t="shared" si="3"/>
        <v>5.551232422</v>
      </c>
      <c r="O9" s="23">
        <f>N9-M9</f>
        <v>0.1170439713</v>
      </c>
      <c r="P9" s="13"/>
    </row>
    <row r="10">
      <c r="C10" s="24"/>
      <c r="D10" s="13"/>
      <c r="E10" s="13"/>
      <c r="F10" s="13"/>
      <c r="H10" s="24"/>
      <c r="I10" s="13"/>
      <c r="J10" s="13"/>
      <c r="K10" s="13"/>
      <c r="M10" s="24">
        <f>sum(M9,O14:O15)</f>
        <v>5.463510451</v>
      </c>
      <c r="N10" s="13"/>
      <c r="O10" s="25">
        <f>M10-N9</f>
        <v>-0.08772197126</v>
      </c>
      <c r="P10" s="13"/>
    </row>
    <row r="11">
      <c r="B11" s="2" t="s">
        <v>20</v>
      </c>
      <c r="C11" s="14" t="s">
        <v>10</v>
      </c>
      <c r="D11" s="15" t="s">
        <v>11</v>
      </c>
      <c r="E11" s="15" t="s">
        <v>12</v>
      </c>
      <c r="F11" s="13"/>
      <c r="G11" s="2" t="s">
        <v>20</v>
      </c>
      <c r="H11" s="14" t="s">
        <v>10</v>
      </c>
      <c r="I11" s="15" t="s">
        <v>11</v>
      </c>
      <c r="J11" s="15" t="s">
        <v>12</v>
      </c>
      <c r="K11" s="13"/>
      <c r="L11" s="2" t="s">
        <v>21</v>
      </c>
      <c r="M11" s="14" t="s">
        <v>10</v>
      </c>
      <c r="N11" s="15" t="s">
        <v>11</v>
      </c>
      <c r="O11" s="15" t="s">
        <v>12</v>
      </c>
      <c r="P11" s="13"/>
    </row>
    <row r="12">
      <c r="B12" s="26" t="s">
        <v>22</v>
      </c>
      <c r="C12" s="27" t="s">
        <v>23</v>
      </c>
      <c r="D12" s="27" t="s">
        <v>23</v>
      </c>
      <c r="E12" s="19"/>
      <c r="F12" s="13"/>
      <c r="G12" s="26" t="s">
        <v>22</v>
      </c>
      <c r="H12" s="17" t="s">
        <v>24</v>
      </c>
      <c r="I12" s="27" t="s">
        <v>24</v>
      </c>
      <c r="J12" s="19"/>
      <c r="K12" s="13"/>
      <c r="L12" s="28" t="str">
        <f>C2</f>
        <v>W11796805</v>
      </c>
      <c r="M12" s="17">
        <f t="shared" ref="M12:N12" si="4">C9</f>
        <v>2.141645556</v>
      </c>
      <c r="N12" s="17">
        <f t="shared" si="4"/>
        <v>2.21664</v>
      </c>
      <c r="O12" s="37">
        <f t="shared" ref="O12:O16" si="6">N12-M12</f>
        <v>0.07499444444</v>
      </c>
      <c r="P12" s="13"/>
    </row>
    <row r="13">
      <c r="B13" s="30" t="s">
        <v>25</v>
      </c>
      <c r="C13" s="17" t="s">
        <v>26</v>
      </c>
      <c r="D13" s="17" t="s">
        <v>26</v>
      </c>
      <c r="E13" s="19"/>
      <c r="F13" s="13"/>
      <c r="G13" s="30" t="s">
        <v>25</v>
      </c>
      <c r="H13" s="17" t="s">
        <v>26</v>
      </c>
      <c r="I13" s="17" t="s">
        <v>26</v>
      </c>
      <c r="J13" s="19"/>
      <c r="K13" s="13"/>
      <c r="L13" s="31" t="str">
        <f>H2</f>
        <v>W11242124</v>
      </c>
      <c r="M13" s="17">
        <f t="shared" ref="M13:N13" si="5">H9</f>
        <v>0.4338070053</v>
      </c>
      <c r="N13" s="17">
        <f t="shared" si="5"/>
        <v>0.452792422</v>
      </c>
      <c r="O13" s="37">
        <f t="shared" si="6"/>
        <v>0.01898541667</v>
      </c>
      <c r="P13" s="13"/>
    </row>
    <row r="14">
      <c r="B14" s="30" t="s">
        <v>27</v>
      </c>
      <c r="C14" s="32">
        <f>D14</f>
        <v>2.4</v>
      </c>
      <c r="D14" s="33">
        <v>2.4</v>
      </c>
      <c r="E14" s="34"/>
      <c r="F14" s="13"/>
      <c r="G14" s="30" t="s">
        <v>27</v>
      </c>
      <c r="H14" s="32">
        <f t="shared" ref="H14:H16" si="7">I14</f>
        <v>1.5099</v>
      </c>
      <c r="I14" s="33">
        <v>1.5099</v>
      </c>
      <c r="J14" s="34"/>
      <c r="K14" s="13"/>
      <c r="L14" s="35" t="s">
        <v>28</v>
      </c>
      <c r="M14" s="36">
        <f>(0.6868*2)*1.03</f>
        <v>1.414808</v>
      </c>
      <c r="N14" s="36">
        <v>1.4431</v>
      </c>
      <c r="O14" s="37">
        <f t="shared" si="6"/>
        <v>0.028292</v>
      </c>
      <c r="P14" s="13"/>
    </row>
    <row r="15">
      <c r="B15" s="30" t="s">
        <v>29</v>
      </c>
      <c r="C15" s="17">
        <v>0.5788</v>
      </c>
      <c r="D15" s="17">
        <v>0.5788</v>
      </c>
      <c r="E15" s="38">
        <f t="shared" ref="E15:E16" si="8">D15-C15</f>
        <v>0</v>
      </c>
      <c r="F15" s="13"/>
      <c r="G15" s="30" t="s">
        <v>29</v>
      </c>
      <c r="H15" s="17">
        <f t="shared" si="7"/>
        <v>0.1493</v>
      </c>
      <c r="I15" s="17">
        <v>0.1493</v>
      </c>
      <c r="J15" s="38">
        <f t="shared" ref="J15:J16" si="9">I15-H15</f>
        <v>0</v>
      </c>
      <c r="K15" s="13"/>
      <c r="L15" s="35" t="s">
        <v>30</v>
      </c>
      <c r="M15" s="36">
        <f>0.0245*2*1.03</f>
        <v>0.05047</v>
      </c>
      <c r="N15" s="36">
        <v>0.0515</v>
      </c>
      <c r="O15" s="37">
        <f t="shared" si="6"/>
        <v>0.00103</v>
      </c>
      <c r="P15" s="13"/>
    </row>
    <row r="16">
      <c r="B16" s="30" t="s">
        <v>31</v>
      </c>
      <c r="C16" s="17">
        <v>0.6366</v>
      </c>
      <c r="D16" s="17">
        <v>0.6366</v>
      </c>
      <c r="E16" s="38">
        <f t="shared" si="8"/>
        <v>0</v>
      </c>
      <c r="F16" s="13"/>
      <c r="G16" s="30" t="s">
        <v>31</v>
      </c>
      <c r="H16" s="17">
        <f t="shared" si="7"/>
        <v>0.15378</v>
      </c>
      <c r="I16" s="17">
        <v>0.15378</v>
      </c>
      <c r="J16" s="38">
        <f t="shared" si="9"/>
        <v>0</v>
      </c>
      <c r="K16" s="13"/>
      <c r="L16" s="30"/>
      <c r="M16" s="17"/>
      <c r="N16" s="39"/>
      <c r="O16" s="57">
        <f t="shared" si="6"/>
        <v>0</v>
      </c>
      <c r="P16" s="13"/>
    </row>
    <row r="17">
      <c r="B17" s="30" t="s">
        <v>32</v>
      </c>
      <c r="C17" s="17"/>
      <c r="D17" s="18"/>
      <c r="E17" s="19"/>
      <c r="F17" s="13"/>
      <c r="G17" s="30" t="s">
        <v>32</v>
      </c>
      <c r="H17" s="17"/>
      <c r="I17" s="18"/>
      <c r="J17" s="19"/>
      <c r="K17" s="13"/>
      <c r="L17" s="30"/>
      <c r="M17" s="17"/>
      <c r="N17" s="18"/>
      <c r="O17" s="19"/>
      <c r="P17" s="13"/>
    </row>
    <row r="18">
      <c r="B18" s="30" t="s">
        <v>33</v>
      </c>
      <c r="C18" s="17">
        <v>0.0</v>
      </c>
      <c r="D18" s="40"/>
      <c r="E18" s="34"/>
      <c r="F18" s="13"/>
      <c r="G18" s="30" t="s">
        <v>33</v>
      </c>
      <c r="H18" s="17">
        <v>0.0</v>
      </c>
      <c r="I18" s="40"/>
      <c r="J18" s="34"/>
      <c r="K18" s="13"/>
      <c r="L18" s="30"/>
      <c r="M18" s="17"/>
      <c r="N18" s="40"/>
      <c r="O18" s="34"/>
      <c r="P18" s="13"/>
    </row>
    <row r="19">
      <c r="B19" s="30" t="s">
        <v>34</v>
      </c>
      <c r="C19" s="17">
        <v>0.0</v>
      </c>
      <c r="D19" s="17"/>
      <c r="E19" s="19"/>
      <c r="F19" s="13"/>
      <c r="G19" s="30" t="s">
        <v>34</v>
      </c>
      <c r="H19" s="17">
        <v>0.0</v>
      </c>
      <c r="I19" s="17"/>
      <c r="J19" s="19"/>
      <c r="K19" s="13"/>
      <c r="L19" s="30"/>
      <c r="M19" s="17"/>
      <c r="N19" s="17"/>
      <c r="O19" s="19"/>
      <c r="P19" s="13"/>
    </row>
    <row r="20">
      <c r="B20" s="30" t="s">
        <v>35</v>
      </c>
      <c r="C20" s="17">
        <v>0.0</v>
      </c>
      <c r="D20" s="17"/>
      <c r="E20" s="19"/>
      <c r="F20" s="13"/>
      <c r="G20" s="30" t="s">
        <v>35</v>
      </c>
      <c r="H20" s="17">
        <f>H19</f>
        <v>0</v>
      </c>
      <c r="I20" s="17"/>
      <c r="J20" s="19"/>
      <c r="K20" s="13"/>
      <c r="L20" s="30"/>
      <c r="M20" s="17"/>
      <c r="N20" s="17"/>
      <c r="O20" s="19"/>
      <c r="P20" s="13"/>
    </row>
    <row r="21">
      <c r="B21" s="21" t="s">
        <v>36</v>
      </c>
      <c r="C21" s="22">
        <f t="shared" ref="C21:D21" si="10">((C14*C16)+(C18*C20))</f>
        <v>1.52784</v>
      </c>
      <c r="D21" s="22">
        <f t="shared" si="10"/>
        <v>1.52784</v>
      </c>
      <c r="E21" s="23">
        <f>D21-C21</f>
        <v>0</v>
      </c>
      <c r="F21" s="13"/>
      <c r="G21" s="21" t="s">
        <v>36</v>
      </c>
      <c r="H21" s="22">
        <f t="shared" ref="H21:I21" si="11">((H14*H16)+(H18*H20))</f>
        <v>0.232192422</v>
      </c>
      <c r="I21" s="22">
        <f t="shared" si="11"/>
        <v>0.232192422</v>
      </c>
      <c r="J21" s="23">
        <f>I21-H21</f>
        <v>0</v>
      </c>
      <c r="K21" s="13"/>
      <c r="L21" s="21" t="s">
        <v>37</v>
      </c>
      <c r="M21" s="22">
        <f t="shared" ref="M21:N21" si="12">M12+M13+M14+M15</f>
        <v>4.040730561</v>
      </c>
      <c r="N21" s="22">
        <f t="shared" si="12"/>
        <v>4.164032422</v>
      </c>
      <c r="O21" s="23">
        <f>M21-N21</f>
        <v>-0.1233018611</v>
      </c>
      <c r="P21" s="13"/>
    </row>
    <row r="22">
      <c r="C22" s="24"/>
      <c r="D22" s="13"/>
      <c r="E22" s="13"/>
      <c r="F22" s="13"/>
      <c r="H22" s="24"/>
      <c r="I22" s="13"/>
      <c r="J22" s="13"/>
      <c r="K22" s="13"/>
      <c r="M22" s="24"/>
      <c r="N22" s="13"/>
      <c r="O22" s="13"/>
      <c r="P22" s="13"/>
    </row>
    <row r="23">
      <c r="B23" s="2" t="s">
        <v>38</v>
      </c>
      <c r="C23" s="14" t="s">
        <v>10</v>
      </c>
      <c r="D23" s="15" t="s">
        <v>11</v>
      </c>
      <c r="E23" s="15" t="s">
        <v>12</v>
      </c>
      <c r="F23" s="13"/>
      <c r="G23" s="2" t="s">
        <v>38</v>
      </c>
      <c r="H23" s="14" t="s">
        <v>10</v>
      </c>
      <c r="I23" s="15" t="s">
        <v>11</v>
      </c>
      <c r="J23" s="15" t="s">
        <v>12</v>
      </c>
      <c r="K23" s="13"/>
      <c r="L23" s="2" t="s">
        <v>39</v>
      </c>
      <c r="M23" s="14" t="s">
        <v>10</v>
      </c>
      <c r="N23" s="15" t="s">
        <v>11</v>
      </c>
      <c r="O23" s="15" t="s">
        <v>12</v>
      </c>
      <c r="P23" s="13"/>
    </row>
    <row r="24">
      <c r="B24" s="41" t="s">
        <v>40</v>
      </c>
      <c r="C24" s="17">
        <v>2.0</v>
      </c>
      <c r="D24" s="20">
        <v>2.0</v>
      </c>
      <c r="E24" s="19"/>
      <c r="F24" s="13"/>
      <c r="G24" s="41" t="s">
        <v>40</v>
      </c>
      <c r="H24" s="17">
        <v>2.0</v>
      </c>
      <c r="I24" s="20">
        <v>2.0</v>
      </c>
      <c r="J24" s="19"/>
      <c r="K24" s="13"/>
      <c r="L24" s="41"/>
      <c r="M24" s="17"/>
      <c r="N24" s="20"/>
      <c r="O24" s="19"/>
      <c r="P24" s="13"/>
    </row>
    <row r="25">
      <c r="B25" s="41" t="s">
        <v>41</v>
      </c>
      <c r="C25" s="17" t="s">
        <v>42</v>
      </c>
      <c r="D25" s="42">
        <v>610.0</v>
      </c>
      <c r="E25" s="18"/>
      <c r="G25" s="41" t="s">
        <v>41</v>
      </c>
      <c r="H25" s="17" t="s">
        <v>43</v>
      </c>
      <c r="I25" s="42" t="s">
        <v>44</v>
      </c>
      <c r="J25" s="18"/>
      <c r="L25" s="41"/>
      <c r="M25" s="17"/>
      <c r="N25" s="42"/>
      <c r="O25" s="18"/>
    </row>
    <row r="26">
      <c r="B26" s="41" t="s">
        <v>45</v>
      </c>
      <c r="C26" s="17">
        <v>50.0</v>
      </c>
      <c r="D26" s="20">
        <v>50.0</v>
      </c>
      <c r="E26" s="43">
        <v>1.0</v>
      </c>
      <c r="F26" s="44" t="s">
        <v>46</v>
      </c>
      <c r="G26" s="41" t="s">
        <v>45</v>
      </c>
      <c r="H26" s="17">
        <v>35.0</v>
      </c>
      <c r="I26" s="20">
        <v>32.0</v>
      </c>
      <c r="J26" s="43">
        <v>1.0</v>
      </c>
      <c r="K26" s="44" t="s">
        <v>46</v>
      </c>
      <c r="L26" s="41" t="s">
        <v>45</v>
      </c>
      <c r="M26" s="17">
        <v>55.0</v>
      </c>
      <c r="N26" s="20">
        <v>60.0</v>
      </c>
      <c r="O26" s="43">
        <v>1.0</v>
      </c>
      <c r="P26" s="44" t="s">
        <v>46</v>
      </c>
    </row>
    <row r="27">
      <c r="B27" s="41" t="s">
        <v>47</v>
      </c>
      <c r="C27" s="17">
        <v>0.5</v>
      </c>
      <c r="D27" s="45">
        <v>0.5</v>
      </c>
      <c r="E27" s="46"/>
      <c r="F27" s="13"/>
      <c r="G27" s="41" t="s">
        <v>47</v>
      </c>
      <c r="H27" s="17">
        <v>0.25</v>
      </c>
      <c r="I27" s="45">
        <v>0.25</v>
      </c>
      <c r="J27" s="46"/>
      <c r="K27" s="13"/>
      <c r="L27" s="41" t="s">
        <v>47</v>
      </c>
      <c r="M27" s="17">
        <v>1.0</v>
      </c>
      <c r="N27" s="45">
        <v>1.0</v>
      </c>
      <c r="O27" s="46"/>
      <c r="P27" s="13"/>
      <c r="Q27" s="47" t="s">
        <v>48</v>
      </c>
    </row>
    <row r="28">
      <c r="B28" s="41" t="s">
        <v>49</v>
      </c>
      <c r="C28" s="17">
        <f>(F28/F30)*C27</f>
        <v>0.078125</v>
      </c>
      <c r="D28" s="17">
        <v>0.0781</v>
      </c>
      <c r="E28" s="48">
        <f>C28-D28</f>
        <v>0.000025</v>
      </c>
      <c r="F28" s="44">
        <v>22.5</v>
      </c>
      <c r="G28" s="41" t="s">
        <v>49</v>
      </c>
      <c r="H28" s="17">
        <f>(K28/K30)*H27</f>
        <v>0.02734375</v>
      </c>
      <c r="I28" s="17">
        <v>0.025</v>
      </c>
      <c r="J28" s="48">
        <f>H28-I28</f>
        <v>0.00234375</v>
      </c>
      <c r="K28" s="44">
        <v>22.5</v>
      </c>
      <c r="L28" s="41" t="s">
        <v>49</v>
      </c>
      <c r="M28" s="17">
        <f>(P28/P30)*M27</f>
        <v>0.3895833333</v>
      </c>
      <c r="N28" s="17">
        <v>0.4583</v>
      </c>
      <c r="O28" s="58">
        <f t="shared" ref="O28:O30" si="13">N28-M28</f>
        <v>0.06871666667</v>
      </c>
      <c r="P28" s="44">
        <v>25.5</v>
      </c>
      <c r="Q28" s="47" t="s">
        <v>50</v>
      </c>
    </row>
    <row r="29">
      <c r="B29" s="41" t="s">
        <v>51</v>
      </c>
      <c r="C29" s="17">
        <f>(F29/F30)</f>
        <v>0.5356805556</v>
      </c>
      <c r="D29" s="17">
        <v>0.6107</v>
      </c>
      <c r="E29" s="23">
        <f>D29-C29</f>
        <v>0.07501944444</v>
      </c>
      <c r="F29" s="44">
        <v>77.138</v>
      </c>
      <c r="G29" s="41" t="s">
        <v>51</v>
      </c>
      <c r="H29" s="17">
        <f>(K29/K30)</f>
        <v>0.1742708333</v>
      </c>
      <c r="I29" s="17">
        <v>0.1956</v>
      </c>
      <c r="J29" s="23">
        <f>I29-H29</f>
        <v>0.02132916667</v>
      </c>
      <c r="K29" s="44">
        <v>35.85</v>
      </c>
      <c r="L29" s="41" t="s">
        <v>51</v>
      </c>
      <c r="M29" s="17">
        <f>(P29/P30)</f>
        <v>0.1749305556</v>
      </c>
      <c r="N29" s="17">
        <v>0.1146</v>
      </c>
      <c r="O29" s="48">
        <f t="shared" si="13"/>
        <v>-0.06033055556</v>
      </c>
      <c r="P29" s="44">
        <v>11.45</v>
      </c>
      <c r="Q29" s="47" t="s">
        <v>52</v>
      </c>
    </row>
    <row r="30">
      <c r="B30" s="41" t="s">
        <v>53</v>
      </c>
      <c r="C30" s="17">
        <v>0.0</v>
      </c>
      <c r="D30" s="17">
        <v>0.0</v>
      </c>
      <c r="E30" s="34">
        <f>C30-D30</f>
        <v>0</v>
      </c>
      <c r="F30" s="49">
        <f>((3600/C26)*C24)</f>
        <v>144</v>
      </c>
      <c r="G30" s="41" t="s">
        <v>53</v>
      </c>
      <c r="H30" s="17">
        <v>0.0</v>
      </c>
      <c r="I30" s="17">
        <v>0.0</v>
      </c>
      <c r="J30" s="34">
        <f>H30-I30</f>
        <v>0</v>
      </c>
      <c r="K30" s="49">
        <f>((3600/H26)*H24)</f>
        <v>205.7142857</v>
      </c>
      <c r="L30" s="41" t="s">
        <v>53</v>
      </c>
      <c r="M30" s="17">
        <v>0.0</v>
      </c>
      <c r="N30" s="17">
        <v>0.0</v>
      </c>
      <c r="O30" s="34">
        <f t="shared" si="13"/>
        <v>0</v>
      </c>
      <c r="P30" s="49">
        <f>(3600/M26)</f>
        <v>65.45454545</v>
      </c>
      <c r="Q30" s="50">
        <v>27.5</v>
      </c>
    </row>
    <row r="31">
      <c r="B31" s="21" t="s">
        <v>54</v>
      </c>
      <c r="C31" s="22">
        <f t="shared" ref="C31:D31" si="14">SUM(C28:C30)</f>
        <v>0.6138055556</v>
      </c>
      <c r="D31" s="22">
        <f t="shared" si="14"/>
        <v>0.6888</v>
      </c>
      <c r="E31" s="23">
        <f>D31-C31</f>
        <v>0.07499444444</v>
      </c>
      <c r="F31" s="13"/>
      <c r="G31" s="21" t="s">
        <v>54</v>
      </c>
      <c r="H31" s="22">
        <f t="shared" ref="H31:I31" si="15">SUM(H28:H30)</f>
        <v>0.2016145833</v>
      </c>
      <c r="I31" s="22">
        <f t="shared" si="15"/>
        <v>0.2206</v>
      </c>
      <c r="J31" s="23">
        <f>I31-H31</f>
        <v>0.01898541667</v>
      </c>
      <c r="K31" s="13"/>
      <c r="L31" s="21" t="s">
        <v>54</v>
      </c>
      <c r="M31" s="22">
        <f t="shared" ref="M31:N31" si="16">SUM(M28:M30)</f>
        <v>0.5645138889</v>
      </c>
      <c r="N31" s="22">
        <f t="shared" si="16"/>
        <v>0.5729</v>
      </c>
      <c r="O31" s="23">
        <f>M31-N31</f>
        <v>-0.008386111111</v>
      </c>
      <c r="P31" s="13"/>
    </row>
    <row r="32">
      <c r="C32" s="24"/>
      <c r="D32" s="13"/>
      <c r="E32" s="13"/>
      <c r="F32" s="13"/>
      <c r="H32" s="24"/>
      <c r="I32" s="13"/>
      <c r="J32" s="13"/>
      <c r="K32" s="13"/>
      <c r="M32" s="24"/>
      <c r="N32" s="13"/>
      <c r="O32" s="13"/>
      <c r="P32" s="13"/>
    </row>
    <row r="33">
      <c r="B33" s="2" t="s">
        <v>55</v>
      </c>
      <c r="C33" s="14" t="s">
        <v>10</v>
      </c>
      <c r="D33" s="15" t="s">
        <v>11</v>
      </c>
      <c r="E33" s="15" t="s">
        <v>12</v>
      </c>
      <c r="F33" s="13"/>
      <c r="G33" s="2" t="s">
        <v>55</v>
      </c>
      <c r="H33" s="14" t="s">
        <v>10</v>
      </c>
      <c r="I33" s="15" t="s">
        <v>11</v>
      </c>
      <c r="J33" s="15" t="s">
        <v>12</v>
      </c>
      <c r="K33" s="13"/>
      <c r="L33" s="2" t="s">
        <v>55</v>
      </c>
      <c r="M33" s="14" t="s">
        <v>10</v>
      </c>
      <c r="N33" s="15" t="s">
        <v>11</v>
      </c>
      <c r="O33" s="15" t="s">
        <v>12</v>
      </c>
      <c r="P33" s="13"/>
    </row>
    <row r="34">
      <c r="B34" s="41" t="s">
        <v>56</v>
      </c>
      <c r="C34" s="17">
        <v>0.0</v>
      </c>
      <c r="D34" s="51"/>
      <c r="E34" s="19"/>
      <c r="F34" s="13"/>
      <c r="G34" s="41" t="s">
        <v>56</v>
      </c>
      <c r="H34" s="17">
        <v>0.0</v>
      </c>
      <c r="I34" s="51"/>
      <c r="J34" s="19"/>
      <c r="K34" s="13"/>
      <c r="L34" s="41" t="s">
        <v>56</v>
      </c>
      <c r="M34" s="17">
        <v>0.16</v>
      </c>
      <c r="N34" s="51"/>
      <c r="O34" s="19"/>
      <c r="P34" s="13"/>
    </row>
    <row r="35">
      <c r="B35" s="41" t="s">
        <v>58</v>
      </c>
      <c r="C35" s="17">
        <f>(C21+C31)*C34</f>
        <v>0</v>
      </c>
      <c r="D35" s="52"/>
      <c r="E35" s="34">
        <f t="shared" ref="E35:E38" si="17">D35-C35</f>
        <v>0</v>
      </c>
      <c r="F35" s="13"/>
      <c r="G35" s="41" t="s">
        <v>58</v>
      </c>
      <c r="H35" s="17">
        <f>(H21+H31)*H34</f>
        <v>0</v>
      </c>
      <c r="I35" s="52"/>
      <c r="J35" s="34">
        <f t="shared" ref="J35:J38" si="18">I35-H35</f>
        <v>0</v>
      </c>
      <c r="K35" s="13"/>
      <c r="L35" s="41" t="s">
        <v>58</v>
      </c>
      <c r="M35" s="17">
        <f>(M21+M31)*M34</f>
        <v>0.736839112</v>
      </c>
      <c r="N35" s="17">
        <v>0.7262</v>
      </c>
      <c r="O35" s="34">
        <f t="shared" ref="O35:O37" si="19">N35-M35</f>
        <v>-0.01063911196</v>
      </c>
      <c r="P35" s="13"/>
    </row>
    <row r="36">
      <c r="B36" s="41" t="s">
        <v>59</v>
      </c>
      <c r="C36" s="17">
        <v>0.0</v>
      </c>
      <c r="D36" s="52"/>
      <c r="E36" s="34">
        <f t="shared" si="17"/>
        <v>0</v>
      </c>
      <c r="F36" s="13"/>
      <c r="G36" s="41" t="s">
        <v>59</v>
      </c>
      <c r="H36" s="17">
        <v>0.0</v>
      </c>
      <c r="I36" s="52"/>
      <c r="J36" s="34">
        <f t="shared" si="18"/>
        <v>0</v>
      </c>
      <c r="K36" s="13"/>
      <c r="L36" s="41" t="s">
        <v>59</v>
      </c>
      <c r="M36" s="17">
        <f>(M21+M31)*0.02</f>
        <v>0.092104889</v>
      </c>
      <c r="N36" s="17">
        <v>0.0881</v>
      </c>
      <c r="O36" s="34">
        <f t="shared" si="19"/>
        <v>-0.004004888996</v>
      </c>
      <c r="P36" s="13"/>
    </row>
    <row r="37">
      <c r="B37" s="41" t="s">
        <v>60</v>
      </c>
      <c r="C37" s="17"/>
      <c r="D37" s="40"/>
      <c r="E37" s="34">
        <f t="shared" si="17"/>
        <v>0</v>
      </c>
      <c r="F37" s="13"/>
      <c r="G37" s="41" t="s">
        <v>60</v>
      </c>
      <c r="H37" s="17"/>
      <c r="I37" s="40"/>
      <c r="J37" s="34">
        <f t="shared" si="18"/>
        <v>0</v>
      </c>
      <c r="K37" s="13"/>
      <c r="L37" s="41" t="s">
        <v>60</v>
      </c>
      <c r="M37" s="17"/>
      <c r="N37" s="40"/>
      <c r="O37" s="34">
        <f t="shared" si="19"/>
        <v>0</v>
      </c>
      <c r="P37" s="13"/>
    </row>
    <row r="38">
      <c r="B38" s="21" t="s">
        <v>61</v>
      </c>
      <c r="C38" s="22">
        <f>SUM(C35:C37)</f>
        <v>0</v>
      </c>
      <c r="D38" s="53"/>
      <c r="E38" s="54">
        <f t="shared" si="17"/>
        <v>0</v>
      </c>
      <c r="F38" s="13"/>
      <c r="G38" s="21" t="s">
        <v>61</v>
      </c>
      <c r="H38" s="22">
        <f>SUM(H35:H37)</f>
        <v>0</v>
      </c>
      <c r="I38" s="53"/>
      <c r="J38" s="54">
        <f t="shared" si="18"/>
        <v>0</v>
      </c>
      <c r="K38" s="13"/>
      <c r="L38" s="21" t="s">
        <v>61</v>
      </c>
      <c r="M38" s="22">
        <f t="shared" ref="M38:N38" si="20">SUM(M35:M37)</f>
        <v>0.828944001</v>
      </c>
      <c r="N38" s="22">
        <f t="shared" si="20"/>
        <v>0.8143</v>
      </c>
      <c r="O38" s="54">
        <f>M38-N38</f>
        <v>0.01464400096</v>
      </c>
      <c r="P38" s="13"/>
    </row>
    <row r="39">
      <c r="C39" s="24"/>
      <c r="E39" s="13"/>
      <c r="F39" s="13"/>
      <c r="H39" s="24"/>
      <c r="J39" s="13"/>
      <c r="K39" s="13"/>
      <c r="M39" s="24"/>
      <c r="O39" s="13"/>
      <c r="P39" s="13"/>
    </row>
    <row r="40">
      <c r="E40" s="13"/>
      <c r="F40" s="13"/>
      <c r="G40" s="13"/>
      <c r="H40" s="13"/>
      <c r="I40" s="13"/>
      <c r="J40" s="13"/>
      <c r="K40" s="13"/>
      <c r="L40" s="13"/>
      <c r="M40" s="13"/>
      <c r="O40" s="13"/>
      <c r="P40" s="13"/>
    </row>
    <row r="41">
      <c r="E41" s="13"/>
      <c r="F41" s="13"/>
      <c r="G41" s="13"/>
      <c r="H41" s="13"/>
      <c r="I41" s="13"/>
      <c r="J41" s="13"/>
      <c r="K41" s="13"/>
      <c r="L41" s="13"/>
      <c r="M41" s="13"/>
      <c r="O41" s="13"/>
      <c r="P41" s="13"/>
    </row>
    <row r="42">
      <c r="E42" s="13"/>
      <c r="F42" s="13"/>
      <c r="G42" s="13"/>
      <c r="H42" s="13"/>
      <c r="I42" s="13"/>
      <c r="J42" s="13"/>
      <c r="K42" s="13"/>
      <c r="L42" s="13"/>
      <c r="M42" s="13"/>
      <c r="O42" s="13"/>
      <c r="P42" s="13"/>
    </row>
    <row r="43">
      <c r="E43" s="13"/>
      <c r="F43" s="13"/>
      <c r="G43" s="13"/>
      <c r="H43" s="13"/>
      <c r="I43" s="13"/>
      <c r="J43" s="13"/>
      <c r="K43" s="13"/>
      <c r="L43" s="13"/>
      <c r="M43" s="13"/>
      <c r="O43" s="13"/>
      <c r="P43" s="13"/>
    </row>
    <row r="44">
      <c r="E44" s="13"/>
      <c r="F44" s="13"/>
      <c r="G44" s="13"/>
      <c r="H44" s="13"/>
      <c r="I44" s="13"/>
      <c r="J44" s="13"/>
      <c r="K44" s="13"/>
      <c r="M44" s="24"/>
      <c r="O44" s="13"/>
      <c r="P44" s="13"/>
    </row>
    <row r="45">
      <c r="C45" s="24"/>
      <c r="E45" s="13"/>
      <c r="F45" s="13"/>
      <c r="G45" s="13"/>
      <c r="H45" s="13"/>
      <c r="I45" s="13"/>
      <c r="J45" s="13"/>
      <c r="K45" s="13"/>
      <c r="M45" s="24"/>
      <c r="O45" s="13"/>
      <c r="P45" s="13"/>
    </row>
    <row r="46">
      <c r="C46" s="24"/>
      <c r="E46" s="13"/>
      <c r="F46" s="13"/>
      <c r="G46" s="13"/>
      <c r="H46" s="13"/>
      <c r="I46" s="13"/>
      <c r="J46" s="13"/>
      <c r="K46" s="13"/>
      <c r="M46" s="24"/>
      <c r="O46" s="13"/>
      <c r="P46" s="13"/>
    </row>
    <row r="47">
      <c r="C47" s="24"/>
      <c r="E47" s="13"/>
      <c r="F47" s="13"/>
      <c r="H47" s="24"/>
      <c r="J47" s="13"/>
      <c r="K47" s="13"/>
      <c r="M47" s="24"/>
      <c r="O47" s="13"/>
      <c r="P47" s="13"/>
    </row>
    <row r="48">
      <c r="C48" s="24"/>
      <c r="E48" s="13"/>
      <c r="F48" s="13"/>
      <c r="H48" s="24"/>
      <c r="J48" s="13"/>
      <c r="K48" s="13"/>
      <c r="M48" s="24"/>
      <c r="O48" s="13"/>
      <c r="P48" s="13"/>
    </row>
    <row r="49">
      <c r="C49" s="24"/>
      <c r="E49" s="13"/>
      <c r="F49" s="13"/>
      <c r="H49" s="24"/>
      <c r="J49" s="13"/>
      <c r="K49" s="13"/>
      <c r="M49" s="24"/>
      <c r="O49" s="13"/>
      <c r="P49" s="13"/>
    </row>
    <row r="50">
      <c r="C50" s="24"/>
      <c r="E50" s="13"/>
      <c r="F50" s="13"/>
      <c r="H50" s="24"/>
      <c r="J50" s="13"/>
      <c r="K50" s="13"/>
      <c r="M50" s="24"/>
      <c r="O50" s="13"/>
      <c r="P50" s="13"/>
    </row>
    <row r="51">
      <c r="C51" s="24"/>
      <c r="E51" s="13"/>
      <c r="F51" s="13"/>
      <c r="H51" s="24"/>
      <c r="J51" s="13"/>
      <c r="K51" s="13"/>
      <c r="M51" s="24"/>
      <c r="O51" s="13"/>
      <c r="P51" s="13"/>
    </row>
    <row r="52">
      <c r="C52" s="24"/>
      <c r="E52" s="13"/>
      <c r="F52" s="13"/>
      <c r="H52" s="24"/>
      <c r="J52" s="13"/>
      <c r="K52" s="13"/>
      <c r="M52" s="24"/>
      <c r="O52" s="13"/>
      <c r="P52" s="13"/>
    </row>
    <row r="53">
      <c r="C53" s="24"/>
      <c r="E53" s="13"/>
      <c r="F53" s="13"/>
      <c r="H53" s="24"/>
      <c r="J53" s="13"/>
      <c r="K53" s="13"/>
      <c r="M53" s="24"/>
      <c r="O53" s="13"/>
      <c r="P53" s="13"/>
    </row>
    <row r="54">
      <c r="C54" s="24"/>
      <c r="E54" s="13"/>
      <c r="F54" s="13"/>
      <c r="H54" s="24"/>
      <c r="J54" s="13"/>
      <c r="K54" s="13"/>
      <c r="M54" s="24"/>
      <c r="O54" s="13"/>
      <c r="P54" s="13"/>
    </row>
    <row r="55">
      <c r="C55" s="24"/>
      <c r="E55" s="13"/>
      <c r="F55" s="13"/>
      <c r="H55" s="24"/>
      <c r="J55" s="13"/>
      <c r="K55" s="13"/>
      <c r="M55" s="24"/>
      <c r="O55" s="13"/>
      <c r="P55" s="13"/>
    </row>
    <row r="56">
      <c r="C56" s="24"/>
      <c r="E56" s="13"/>
      <c r="F56" s="13"/>
      <c r="H56" s="24"/>
      <c r="J56" s="13"/>
      <c r="K56" s="13"/>
      <c r="M56" s="24"/>
      <c r="O56" s="13"/>
      <c r="P56" s="13"/>
    </row>
    <row r="57">
      <c r="C57" s="24"/>
      <c r="E57" s="13"/>
      <c r="F57" s="13"/>
      <c r="H57" s="24"/>
      <c r="J57" s="13"/>
      <c r="K57" s="13"/>
      <c r="M57" s="24"/>
      <c r="O57" s="13"/>
      <c r="P57" s="13"/>
    </row>
    <row r="58">
      <c r="C58" s="24"/>
      <c r="E58" s="13"/>
      <c r="F58" s="13"/>
      <c r="H58" s="24"/>
      <c r="J58" s="13"/>
      <c r="K58" s="13"/>
      <c r="M58" s="24"/>
      <c r="O58" s="13"/>
      <c r="P58" s="13"/>
    </row>
    <row r="59">
      <c r="C59" s="24"/>
      <c r="E59" s="13"/>
      <c r="F59" s="13"/>
      <c r="H59" s="24"/>
      <c r="J59" s="13"/>
      <c r="K59" s="13"/>
      <c r="M59" s="24"/>
      <c r="O59" s="13"/>
      <c r="P59" s="13"/>
    </row>
    <row r="60">
      <c r="C60" s="24"/>
      <c r="E60" s="13"/>
      <c r="F60" s="13"/>
      <c r="H60" s="24"/>
      <c r="J60" s="13"/>
      <c r="K60" s="13"/>
      <c r="M60" s="24"/>
      <c r="O60" s="13"/>
      <c r="P60" s="13"/>
    </row>
    <row r="61">
      <c r="C61" s="24"/>
      <c r="E61" s="13"/>
      <c r="F61" s="13"/>
      <c r="H61" s="24"/>
      <c r="J61" s="13"/>
      <c r="K61" s="13"/>
      <c r="M61" s="24"/>
      <c r="O61" s="13"/>
      <c r="P61" s="13"/>
    </row>
    <row r="62">
      <c r="C62" s="24"/>
      <c r="E62" s="13"/>
      <c r="F62" s="13"/>
      <c r="H62" s="24"/>
      <c r="J62" s="13"/>
      <c r="K62" s="13"/>
      <c r="M62" s="24"/>
      <c r="O62" s="13"/>
      <c r="P62" s="13"/>
    </row>
    <row r="63">
      <c r="C63" s="24"/>
      <c r="E63" s="13"/>
      <c r="F63" s="13"/>
      <c r="H63" s="24"/>
      <c r="J63" s="13"/>
      <c r="K63" s="13"/>
      <c r="M63" s="24"/>
      <c r="O63" s="13"/>
      <c r="P63" s="13"/>
    </row>
    <row r="64">
      <c r="C64" s="24"/>
      <c r="E64" s="13"/>
      <c r="F64" s="13"/>
      <c r="H64" s="24"/>
      <c r="J64" s="13"/>
      <c r="K64" s="13"/>
      <c r="M64" s="24"/>
      <c r="O64" s="13"/>
      <c r="P64" s="13"/>
    </row>
    <row r="65">
      <c r="C65" s="24"/>
      <c r="E65" s="13"/>
      <c r="F65" s="13"/>
      <c r="H65" s="24"/>
      <c r="J65" s="13"/>
      <c r="K65" s="13"/>
      <c r="M65" s="24"/>
      <c r="O65" s="13"/>
      <c r="P65" s="13"/>
    </row>
    <row r="66">
      <c r="C66" s="24"/>
      <c r="E66" s="13"/>
      <c r="F66" s="13"/>
      <c r="H66" s="24"/>
      <c r="J66" s="13"/>
      <c r="K66" s="13"/>
      <c r="M66" s="24"/>
      <c r="O66" s="13"/>
      <c r="P66" s="13"/>
    </row>
    <row r="67">
      <c r="C67" s="24"/>
      <c r="E67" s="13"/>
      <c r="F67" s="13"/>
      <c r="H67" s="24"/>
      <c r="J67" s="13"/>
      <c r="K67" s="13"/>
      <c r="M67" s="24"/>
      <c r="O67" s="13"/>
      <c r="P67" s="13"/>
    </row>
    <row r="68">
      <c r="C68" s="24"/>
      <c r="E68" s="13"/>
      <c r="F68" s="13"/>
      <c r="H68" s="24"/>
      <c r="J68" s="13"/>
      <c r="K68" s="13"/>
      <c r="M68" s="24"/>
      <c r="O68" s="13"/>
      <c r="P68" s="13"/>
    </row>
    <row r="69">
      <c r="C69" s="24"/>
      <c r="E69" s="13"/>
      <c r="F69" s="13"/>
      <c r="H69" s="24"/>
      <c r="J69" s="13"/>
      <c r="K69" s="13"/>
      <c r="M69" s="24"/>
      <c r="O69" s="13"/>
      <c r="P69" s="13"/>
    </row>
    <row r="70">
      <c r="C70" s="24"/>
      <c r="E70" s="13"/>
      <c r="F70" s="13"/>
      <c r="H70" s="24"/>
      <c r="J70" s="13"/>
      <c r="K70" s="13"/>
      <c r="M70" s="24"/>
      <c r="O70" s="13"/>
      <c r="P70" s="13"/>
    </row>
    <row r="71">
      <c r="C71" s="24"/>
      <c r="E71" s="13"/>
      <c r="F71" s="13"/>
      <c r="H71" s="24"/>
      <c r="J71" s="13"/>
      <c r="K71" s="13"/>
      <c r="M71" s="24"/>
      <c r="O71" s="13"/>
      <c r="P71" s="13"/>
    </row>
    <row r="72">
      <c r="C72" s="24"/>
      <c r="E72" s="13"/>
      <c r="F72" s="13"/>
      <c r="H72" s="24"/>
      <c r="J72" s="13"/>
      <c r="K72" s="13"/>
      <c r="M72" s="24"/>
      <c r="O72" s="13"/>
      <c r="P72" s="13"/>
    </row>
    <row r="73">
      <c r="C73" s="24"/>
      <c r="E73" s="13"/>
      <c r="F73" s="13"/>
      <c r="H73" s="24"/>
      <c r="J73" s="13"/>
      <c r="K73" s="13"/>
      <c r="M73" s="24"/>
      <c r="O73" s="13"/>
      <c r="P73" s="13"/>
    </row>
    <row r="74">
      <c r="C74" s="24"/>
      <c r="E74" s="13"/>
      <c r="F74" s="13"/>
      <c r="H74" s="24"/>
      <c r="J74" s="13"/>
      <c r="K74" s="13"/>
      <c r="M74" s="24"/>
      <c r="O74" s="13"/>
      <c r="P74" s="13"/>
    </row>
    <row r="75">
      <c r="C75" s="24"/>
      <c r="E75" s="13"/>
      <c r="F75" s="13"/>
      <c r="H75" s="24"/>
      <c r="J75" s="13"/>
      <c r="K75" s="13"/>
      <c r="M75" s="24"/>
      <c r="O75" s="13"/>
      <c r="P75" s="13"/>
    </row>
    <row r="76">
      <c r="C76" s="24"/>
      <c r="E76" s="13"/>
      <c r="F76" s="13"/>
      <c r="H76" s="24"/>
      <c r="J76" s="13"/>
      <c r="K76" s="13"/>
      <c r="M76" s="24"/>
      <c r="O76" s="13"/>
      <c r="P76" s="13"/>
    </row>
    <row r="77">
      <c r="C77" s="24"/>
      <c r="E77" s="13"/>
      <c r="F77" s="13"/>
      <c r="H77" s="24"/>
      <c r="J77" s="13"/>
      <c r="K77" s="13"/>
      <c r="M77" s="24"/>
      <c r="O77" s="13"/>
      <c r="P77" s="13"/>
    </row>
    <row r="78">
      <c r="C78" s="24"/>
      <c r="E78" s="13"/>
      <c r="F78" s="13"/>
      <c r="H78" s="24"/>
      <c r="J78" s="13"/>
      <c r="K78" s="13"/>
      <c r="M78" s="24"/>
      <c r="O78" s="13"/>
      <c r="P78" s="13"/>
    </row>
    <row r="79">
      <c r="C79" s="24"/>
      <c r="E79" s="13"/>
      <c r="F79" s="13"/>
      <c r="H79" s="24"/>
      <c r="J79" s="13"/>
      <c r="K79" s="13"/>
      <c r="M79" s="24"/>
      <c r="O79" s="13"/>
      <c r="P79" s="13"/>
    </row>
    <row r="80">
      <c r="C80" s="24"/>
      <c r="E80" s="13"/>
      <c r="F80" s="13"/>
      <c r="H80" s="24"/>
      <c r="J80" s="13"/>
      <c r="K80" s="13"/>
      <c r="M80" s="24"/>
      <c r="O80" s="13"/>
      <c r="P80" s="13"/>
    </row>
    <row r="81">
      <c r="C81" s="24"/>
      <c r="E81" s="13"/>
      <c r="F81" s="13"/>
      <c r="H81" s="24"/>
      <c r="J81" s="13"/>
      <c r="K81" s="13"/>
      <c r="M81" s="24"/>
      <c r="O81" s="13"/>
      <c r="P81" s="13"/>
    </row>
    <row r="82">
      <c r="C82" s="24"/>
      <c r="E82" s="13"/>
      <c r="F82" s="13"/>
      <c r="H82" s="24"/>
      <c r="J82" s="13"/>
      <c r="K82" s="13"/>
      <c r="M82" s="24"/>
      <c r="O82" s="13"/>
      <c r="P82" s="13"/>
    </row>
    <row r="83">
      <c r="C83" s="24"/>
      <c r="E83" s="13"/>
      <c r="F83" s="13"/>
      <c r="H83" s="24"/>
      <c r="J83" s="13"/>
      <c r="K83" s="13"/>
      <c r="M83" s="24"/>
      <c r="O83" s="13"/>
      <c r="P83" s="13"/>
    </row>
    <row r="84">
      <c r="C84" s="24"/>
      <c r="E84" s="13"/>
      <c r="F84" s="13"/>
      <c r="H84" s="24"/>
      <c r="J84" s="13"/>
      <c r="K84" s="13"/>
      <c r="M84" s="24"/>
      <c r="O84" s="13"/>
      <c r="P84" s="13"/>
    </row>
    <row r="85">
      <c r="C85" s="24"/>
      <c r="E85" s="13"/>
      <c r="F85" s="13"/>
      <c r="H85" s="24"/>
      <c r="J85" s="13"/>
      <c r="K85" s="13"/>
      <c r="M85" s="24"/>
      <c r="O85" s="13"/>
      <c r="P85" s="13"/>
    </row>
    <row r="86">
      <c r="C86" s="24"/>
      <c r="E86" s="13"/>
      <c r="F86" s="13"/>
      <c r="H86" s="24"/>
      <c r="J86" s="13"/>
      <c r="K86" s="13"/>
      <c r="M86" s="24"/>
      <c r="O86" s="13"/>
      <c r="P86" s="13"/>
    </row>
    <row r="87">
      <c r="C87" s="24"/>
      <c r="E87" s="13"/>
      <c r="F87" s="13"/>
      <c r="H87" s="24"/>
      <c r="J87" s="13"/>
      <c r="K87" s="13"/>
      <c r="M87" s="24"/>
      <c r="O87" s="13"/>
      <c r="P87" s="13"/>
    </row>
    <row r="88">
      <c r="C88" s="24"/>
      <c r="E88" s="13"/>
      <c r="F88" s="13"/>
      <c r="H88" s="24"/>
      <c r="J88" s="13"/>
      <c r="K88" s="13"/>
      <c r="M88" s="24"/>
      <c r="O88" s="13"/>
      <c r="P88" s="13"/>
    </row>
    <row r="89">
      <c r="C89" s="24"/>
      <c r="E89" s="13"/>
      <c r="F89" s="13"/>
      <c r="H89" s="24"/>
      <c r="J89" s="13"/>
      <c r="K89" s="13"/>
      <c r="M89" s="24"/>
      <c r="O89" s="13"/>
      <c r="P89" s="13"/>
    </row>
    <row r="90">
      <c r="C90" s="24"/>
      <c r="E90" s="13"/>
      <c r="F90" s="13"/>
      <c r="H90" s="24"/>
      <c r="J90" s="13"/>
      <c r="K90" s="13"/>
      <c r="M90" s="24"/>
      <c r="O90" s="13"/>
      <c r="P90" s="13"/>
    </row>
    <row r="91">
      <c r="C91" s="24"/>
      <c r="E91" s="13"/>
      <c r="F91" s="13"/>
      <c r="H91" s="24"/>
      <c r="J91" s="13"/>
      <c r="K91" s="13"/>
      <c r="M91" s="24"/>
      <c r="O91" s="13"/>
      <c r="P91" s="13"/>
    </row>
    <row r="92">
      <c r="C92" s="24"/>
      <c r="E92" s="13"/>
      <c r="F92" s="13"/>
      <c r="H92" s="24"/>
      <c r="J92" s="13"/>
      <c r="K92" s="13"/>
      <c r="M92" s="24"/>
      <c r="O92" s="13"/>
      <c r="P92" s="13"/>
    </row>
    <row r="93">
      <c r="C93" s="24"/>
      <c r="E93" s="13"/>
      <c r="F93" s="13"/>
      <c r="H93" s="24"/>
      <c r="J93" s="13"/>
      <c r="K93" s="13"/>
      <c r="M93" s="24"/>
      <c r="O93" s="13"/>
      <c r="P93" s="13"/>
    </row>
    <row r="94">
      <c r="C94" s="24"/>
      <c r="E94" s="13"/>
      <c r="F94" s="13"/>
      <c r="H94" s="24"/>
      <c r="J94" s="13"/>
      <c r="K94" s="13"/>
      <c r="M94" s="24"/>
      <c r="O94" s="13"/>
      <c r="P94" s="13"/>
    </row>
    <row r="95">
      <c r="C95" s="24"/>
      <c r="E95" s="13"/>
      <c r="F95" s="13"/>
      <c r="H95" s="24"/>
      <c r="J95" s="13"/>
      <c r="K95" s="13"/>
      <c r="M95" s="24"/>
      <c r="O95" s="13"/>
      <c r="P95" s="13"/>
    </row>
    <row r="96">
      <c r="C96" s="24"/>
      <c r="E96" s="13"/>
      <c r="F96" s="13"/>
      <c r="H96" s="24"/>
      <c r="J96" s="13"/>
      <c r="K96" s="13"/>
      <c r="M96" s="24"/>
      <c r="O96" s="13"/>
      <c r="P96" s="13"/>
    </row>
    <row r="97">
      <c r="C97" s="24"/>
      <c r="E97" s="13"/>
      <c r="F97" s="13"/>
      <c r="H97" s="24"/>
      <c r="J97" s="13"/>
      <c r="K97" s="13"/>
      <c r="M97" s="24"/>
      <c r="O97" s="13"/>
      <c r="P97" s="13"/>
    </row>
    <row r="98">
      <c r="C98" s="24"/>
      <c r="E98" s="13"/>
      <c r="F98" s="13"/>
      <c r="H98" s="24"/>
      <c r="J98" s="13"/>
      <c r="K98" s="13"/>
      <c r="M98" s="24"/>
      <c r="O98" s="13"/>
      <c r="P98" s="13"/>
    </row>
    <row r="99">
      <c r="C99" s="24"/>
      <c r="E99" s="13"/>
      <c r="F99" s="13"/>
      <c r="H99" s="24"/>
      <c r="J99" s="13"/>
      <c r="K99" s="13"/>
      <c r="M99" s="24"/>
      <c r="O99" s="13"/>
      <c r="P99" s="13"/>
    </row>
    <row r="100">
      <c r="C100" s="24"/>
      <c r="E100" s="13"/>
      <c r="F100" s="13"/>
      <c r="H100" s="24"/>
      <c r="J100" s="13"/>
      <c r="K100" s="13"/>
      <c r="M100" s="24"/>
      <c r="O100" s="13"/>
      <c r="P100" s="13"/>
    </row>
    <row r="101">
      <c r="C101" s="24"/>
      <c r="E101" s="13"/>
      <c r="F101" s="13"/>
      <c r="H101" s="24"/>
      <c r="J101" s="13"/>
      <c r="K101" s="13"/>
      <c r="M101" s="24"/>
      <c r="O101" s="13"/>
      <c r="P101" s="13"/>
    </row>
    <row r="102">
      <c r="C102" s="24"/>
      <c r="E102" s="13"/>
      <c r="F102" s="13"/>
      <c r="H102" s="24"/>
      <c r="J102" s="13"/>
      <c r="K102" s="13"/>
      <c r="M102" s="24"/>
      <c r="O102" s="13"/>
      <c r="P102" s="13"/>
    </row>
    <row r="103">
      <c r="C103" s="24"/>
      <c r="E103" s="13"/>
      <c r="F103" s="13"/>
      <c r="H103" s="24"/>
      <c r="J103" s="13"/>
      <c r="K103" s="13"/>
      <c r="M103" s="24"/>
      <c r="O103" s="13"/>
      <c r="P103" s="13"/>
    </row>
    <row r="104">
      <c r="C104" s="24"/>
      <c r="E104" s="13"/>
      <c r="F104" s="13"/>
      <c r="H104" s="24"/>
      <c r="J104" s="13"/>
      <c r="K104" s="13"/>
      <c r="M104" s="24"/>
      <c r="O104" s="13"/>
      <c r="P104" s="13"/>
    </row>
    <row r="105">
      <c r="C105" s="24"/>
      <c r="E105" s="13"/>
      <c r="F105" s="13"/>
      <c r="H105" s="24"/>
      <c r="J105" s="13"/>
      <c r="K105" s="13"/>
      <c r="M105" s="24"/>
      <c r="O105" s="13"/>
      <c r="P105" s="13"/>
    </row>
    <row r="106">
      <c r="C106" s="24"/>
      <c r="E106" s="13"/>
      <c r="F106" s="13"/>
      <c r="H106" s="24"/>
      <c r="J106" s="13"/>
      <c r="K106" s="13"/>
      <c r="M106" s="24"/>
      <c r="O106" s="13"/>
      <c r="P106" s="13"/>
    </row>
    <row r="107">
      <c r="C107" s="24"/>
      <c r="E107" s="13"/>
      <c r="F107" s="13"/>
      <c r="H107" s="24"/>
      <c r="J107" s="13"/>
      <c r="K107" s="13"/>
      <c r="M107" s="24"/>
      <c r="O107" s="13"/>
      <c r="P107" s="13"/>
    </row>
    <row r="108">
      <c r="C108" s="24"/>
      <c r="E108" s="13"/>
      <c r="F108" s="13"/>
      <c r="H108" s="24"/>
      <c r="J108" s="13"/>
      <c r="K108" s="13"/>
      <c r="M108" s="24"/>
      <c r="O108" s="13"/>
      <c r="P108" s="13"/>
    </row>
    <row r="109">
      <c r="C109" s="24"/>
      <c r="E109" s="13"/>
      <c r="F109" s="13"/>
      <c r="H109" s="24"/>
      <c r="J109" s="13"/>
      <c r="K109" s="13"/>
      <c r="M109" s="24"/>
      <c r="O109" s="13"/>
      <c r="P109" s="13"/>
    </row>
    <row r="110">
      <c r="C110" s="24"/>
      <c r="E110" s="13"/>
      <c r="F110" s="13"/>
      <c r="H110" s="24"/>
      <c r="J110" s="13"/>
      <c r="K110" s="13"/>
      <c r="M110" s="24"/>
      <c r="O110" s="13"/>
      <c r="P110" s="13"/>
    </row>
    <row r="111">
      <c r="C111" s="24"/>
      <c r="E111" s="13"/>
      <c r="F111" s="13"/>
      <c r="H111" s="24"/>
      <c r="J111" s="13"/>
      <c r="K111" s="13"/>
      <c r="M111" s="24"/>
      <c r="O111" s="13"/>
      <c r="P111" s="13"/>
    </row>
    <row r="112">
      <c r="C112" s="24"/>
      <c r="E112" s="13"/>
      <c r="F112" s="13"/>
      <c r="H112" s="24"/>
      <c r="J112" s="13"/>
      <c r="K112" s="13"/>
      <c r="M112" s="24"/>
      <c r="O112" s="13"/>
      <c r="P112" s="13"/>
    </row>
    <row r="113">
      <c r="C113" s="24"/>
      <c r="E113" s="13"/>
      <c r="F113" s="13"/>
      <c r="H113" s="24"/>
      <c r="J113" s="13"/>
      <c r="K113" s="13"/>
      <c r="M113" s="24"/>
      <c r="O113" s="13"/>
      <c r="P113" s="13"/>
    </row>
    <row r="114">
      <c r="C114" s="24"/>
      <c r="E114" s="13"/>
      <c r="F114" s="13"/>
      <c r="H114" s="24"/>
      <c r="J114" s="13"/>
      <c r="K114" s="13"/>
      <c r="M114" s="24"/>
      <c r="O114" s="13"/>
      <c r="P114" s="13"/>
    </row>
    <row r="115">
      <c r="C115" s="24"/>
      <c r="E115" s="13"/>
      <c r="F115" s="13"/>
      <c r="H115" s="24"/>
      <c r="J115" s="13"/>
      <c r="K115" s="13"/>
      <c r="M115" s="24"/>
      <c r="O115" s="13"/>
      <c r="P115" s="13"/>
    </row>
    <row r="116">
      <c r="C116" s="24"/>
      <c r="E116" s="13"/>
      <c r="F116" s="13"/>
      <c r="H116" s="24"/>
      <c r="J116" s="13"/>
      <c r="K116" s="13"/>
      <c r="M116" s="24"/>
      <c r="O116" s="13"/>
      <c r="P116" s="13"/>
    </row>
    <row r="117">
      <c r="C117" s="24"/>
      <c r="E117" s="13"/>
      <c r="F117" s="13"/>
      <c r="H117" s="24"/>
      <c r="J117" s="13"/>
      <c r="K117" s="13"/>
      <c r="M117" s="24"/>
      <c r="O117" s="13"/>
      <c r="P117" s="13"/>
    </row>
    <row r="118">
      <c r="C118" s="24"/>
      <c r="E118" s="13"/>
      <c r="F118" s="13"/>
      <c r="H118" s="24"/>
      <c r="J118" s="13"/>
      <c r="K118" s="13"/>
      <c r="M118" s="24"/>
      <c r="O118" s="13"/>
      <c r="P118" s="13"/>
    </row>
    <row r="119">
      <c r="C119" s="24"/>
      <c r="E119" s="13"/>
      <c r="F119" s="13"/>
      <c r="H119" s="24"/>
      <c r="J119" s="13"/>
      <c r="K119" s="13"/>
      <c r="M119" s="24"/>
      <c r="O119" s="13"/>
      <c r="P119" s="13"/>
    </row>
    <row r="120">
      <c r="C120" s="24"/>
      <c r="E120" s="13"/>
      <c r="F120" s="13"/>
      <c r="H120" s="24"/>
      <c r="J120" s="13"/>
      <c r="K120" s="13"/>
      <c r="M120" s="24"/>
      <c r="O120" s="13"/>
      <c r="P120" s="13"/>
    </row>
    <row r="121">
      <c r="C121" s="24"/>
      <c r="E121" s="13"/>
      <c r="F121" s="13"/>
      <c r="H121" s="24"/>
      <c r="J121" s="13"/>
      <c r="K121" s="13"/>
      <c r="M121" s="24"/>
      <c r="O121" s="13"/>
      <c r="P121" s="13"/>
    </row>
    <row r="122">
      <c r="C122" s="24"/>
      <c r="E122" s="13"/>
      <c r="F122" s="13"/>
      <c r="H122" s="24"/>
      <c r="J122" s="13"/>
      <c r="K122" s="13"/>
      <c r="M122" s="24"/>
      <c r="O122" s="13"/>
      <c r="P122" s="13"/>
    </row>
    <row r="123">
      <c r="C123" s="24"/>
      <c r="E123" s="13"/>
      <c r="F123" s="13"/>
      <c r="H123" s="24"/>
      <c r="J123" s="13"/>
      <c r="K123" s="13"/>
      <c r="M123" s="24"/>
      <c r="O123" s="13"/>
      <c r="P123" s="13"/>
    </row>
    <row r="124">
      <c r="C124" s="24"/>
      <c r="E124" s="13"/>
      <c r="F124" s="13"/>
      <c r="H124" s="24"/>
      <c r="J124" s="13"/>
      <c r="K124" s="13"/>
      <c r="M124" s="24"/>
      <c r="O124" s="13"/>
      <c r="P124" s="13"/>
    </row>
    <row r="125">
      <c r="C125" s="24"/>
      <c r="E125" s="13"/>
      <c r="F125" s="13"/>
      <c r="H125" s="24"/>
      <c r="J125" s="13"/>
      <c r="K125" s="13"/>
      <c r="M125" s="24"/>
      <c r="O125" s="13"/>
      <c r="P125" s="13"/>
    </row>
    <row r="126">
      <c r="C126" s="24"/>
      <c r="E126" s="13"/>
      <c r="F126" s="13"/>
      <c r="H126" s="24"/>
      <c r="J126" s="13"/>
      <c r="K126" s="13"/>
      <c r="M126" s="24"/>
      <c r="O126" s="13"/>
      <c r="P126" s="13"/>
    </row>
    <row r="127">
      <c r="C127" s="24"/>
      <c r="E127" s="13"/>
      <c r="F127" s="13"/>
      <c r="H127" s="24"/>
      <c r="J127" s="13"/>
      <c r="K127" s="13"/>
      <c r="M127" s="24"/>
      <c r="O127" s="13"/>
      <c r="P127" s="13"/>
    </row>
    <row r="128">
      <c r="C128" s="24"/>
      <c r="E128" s="13"/>
      <c r="F128" s="13"/>
      <c r="H128" s="24"/>
      <c r="J128" s="13"/>
      <c r="K128" s="13"/>
      <c r="M128" s="24"/>
      <c r="O128" s="13"/>
      <c r="P128" s="13"/>
    </row>
    <row r="129">
      <c r="C129" s="24"/>
      <c r="E129" s="13"/>
      <c r="F129" s="13"/>
      <c r="H129" s="24"/>
      <c r="J129" s="13"/>
      <c r="K129" s="13"/>
      <c r="M129" s="24"/>
      <c r="O129" s="13"/>
      <c r="P129" s="13"/>
    </row>
    <row r="130">
      <c r="C130" s="24"/>
      <c r="E130" s="13"/>
      <c r="F130" s="13"/>
      <c r="H130" s="24"/>
      <c r="J130" s="13"/>
      <c r="K130" s="13"/>
      <c r="M130" s="24"/>
      <c r="O130" s="13"/>
      <c r="P130" s="13"/>
    </row>
    <row r="131">
      <c r="C131" s="24"/>
      <c r="E131" s="13"/>
      <c r="F131" s="13"/>
      <c r="H131" s="24"/>
      <c r="J131" s="13"/>
      <c r="K131" s="13"/>
      <c r="M131" s="24"/>
      <c r="O131" s="13"/>
      <c r="P131" s="13"/>
    </row>
    <row r="132">
      <c r="C132" s="24"/>
      <c r="E132" s="13"/>
      <c r="F132" s="13"/>
      <c r="H132" s="24"/>
      <c r="J132" s="13"/>
      <c r="K132" s="13"/>
      <c r="M132" s="24"/>
      <c r="O132" s="13"/>
      <c r="P132" s="13"/>
    </row>
    <row r="133">
      <c r="C133" s="24"/>
      <c r="E133" s="13"/>
      <c r="F133" s="13"/>
      <c r="H133" s="24"/>
      <c r="J133" s="13"/>
      <c r="K133" s="13"/>
      <c r="M133" s="24"/>
      <c r="O133" s="13"/>
      <c r="P133" s="13"/>
    </row>
    <row r="134">
      <c r="C134" s="24"/>
      <c r="E134" s="13"/>
      <c r="F134" s="13"/>
      <c r="H134" s="24"/>
      <c r="J134" s="13"/>
      <c r="K134" s="13"/>
      <c r="M134" s="24"/>
      <c r="O134" s="13"/>
      <c r="P134" s="13"/>
    </row>
    <row r="135">
      <c r="C135" s="24"/>
      <c r="E135" s="13"/>
      <c r="F135" s="13"/>
      <c r="H135" s="24"/>
      <c r="J135" s="13"/>
      <c r="K135" s="13"/>
      <c r="M135" s="24"/>
      <c r="O135" s="13"/>
      <c r="P135" s="13"/>
    </row>
    <row r="136">
      <c r="C136" s="24"/>
      <c r="E136" s="13"/>
      <c r="F136" s="13"/>
      <c r="H136" s="24"/>
      <c r="J136" s="13"/>
      <c r="K136" s="13"/>
      <c r="M136" s="24"/>
      <c r="O136" s="13"/>
      <c r="P136" s="13"/>
    </row>
    <row r="137">
      <c r="C137" s="24"/>
      <c r="E137" s="13"/>
      <c r="F137" s="13"/>
      <c r="H137" s="24"/>
      <c r="J137" s="13"/>
      <c r="K137" s="13"/>
      <c r="M137" s="24"/>
      <c r="O137" s="13"/>
      <c r="P137" s="13"/>
    </row>
    <row r="138">
      <c r="C138" s="24"/>
      <c r="E138" s="13"/>
      <c r="F138" s="13"/>
      <c r="H138" s="24"/>
      <c r="J138" s="13"/>
      <c r="K138" s="13"/>
      <c r="M138" s="24"/>
      <c r="O138" s="13"/>
      <c r="P138" s="13"/>
    </row>
    <row r="139">
      <c r="C139" s="24"/>
      <c r="E139" s="13"/>
      <c r="F139" s="13"/>
      <c r="H139" s="24"/>
      <c r="J139" s="13"/>
      <c r="K139" s="13"/>
      <c r="M139" s="24"/>
      <c r="O139" s="13"/>
      <c r="P139" s="13"/>
    </row>
    <row r="140">
      <c r="C140" s="24"/>
      <c r="E140" s="13"/>
      <c r="F140" s="13"/>
      <c r="H140" s="24"/>
      <c r="J140" s="13"/>
      <c r="K140" s="13"/>
      <c r="M140" s="24"/>
      <c r="O140" s="13"/>
      <c r="P140" s="13"/>
    </row>
    <row r="141">
      <c r="C141" s="24"/>
      <c r="E141" s="13"/>
      <c r="F141" s="13"/>
      <c r="H141" s="24"/>
      <c r="J141" s="13"/>
      <c r="K141" s="13"/>
      <c r="M141" s="24"/>
      <c r="O141" s="13"/>
      <c r="P141" s="13"/>
    </row>
    <row r="142">
      <c r="C142" s="24"/>
      <c r="E142" s="13"/>
      <c r="F142" s="13"/>
      <c r="H142" s="24"/>
      <c r="J142" s="13"/>
      <c r="K142" s="13"/>
      <c r="M142" s="24"/>
      <c r="O142" s="13"/>
      <c r="P142" s="13"/>
    </row>
    <row r="143">
      <c r="C143" s="24"/>
      <c r="E143" s="13"/>
      <c r="F143" s="13"/>
      <c r="H143" s="24"/>
      <c r="J143" s="13"/>
      <c r="K143" s="13"/>
      <c r="M143" s="24"/>
      <c r="O143" s="13"/>
      <c r="P143" s="13"/>
    </row>
    <row r="144">
      <c r="C144" s="24"/>
      <c r="E144" s="13"/>
      <c r="F144" s="13"/>
      <c r="H144" s="24"/>
      <c r="J144" s="13"/>
      <c r="K144" s="13"/>
      <c r="M144" s="24"/>
      <c r="O144" s="13"/>
      <c r="P144" s="13"/>
    </row>
    <row r="145">
      <c r="C145" s="24"/>
      <c r="E145" s="13"/>
      <c r="F145" s="13"/>
      <c r="H145" s="24"/>
      <c r="J145" s="13"/>
      <c r="K145" s="13"/>
      <c r="M145" s="24"/>
      <c r="O145" s="13"/>
      <c r="P145" s="13"/>
    </row>
    <row r="146">
      <c r="C146" s="24"/>
      <c r="E146" s="13"/>
      <c r="F146" s="13"/>
      <c r="H146" s="24"/>
      <c r="J146" s="13"/>
      <c r="K146" s="13"/>
      <c r="M146" s="24"/>
      <c r="O146" s="13"/>
      <c r="P146" s="13"/>
    </row>
    <row r="147">
      <c r="C147" s="24"/>
      <c r="E147" s="13"/>
      <c r="F147" s="13"/>
      <c r="H147" s="24"/>
      <c r="J147" s="13"/>
      <c r="K147" s="13"/>
      <c r="M147" s="24"/>
      <c r="O147" s="13"/>
      <c r="P147" s="13"/>
    </row>
    <row r="148">
      <c r="C148" s="24"/>
      <c r="E148" s="13"/>
      <c r="F148" s="13"/>
      <c r="H148" s="24"/>
      <c r="J148" s="13"/>
      <c r="K148" s="13"/>
      <c r="M148" s="24"/>
      <c r="O148" s="13"/>
      <c r="P148" s="13"/>
    </row>
    <row r="149">
      <c r="C149" s="24"/>
      <c r="E149" s="13"/>
      <c r="F149" s="13"/>
      <c r="H149" s="24"/>
      <c r="J149" s="13"/>
      <c r="K149" s="13"/>
      <c r="M149" s="24"/>
      <c r="O149" s="13"/>
      <c r="P149" s="13"/>
    </row>
    <row r="150">
      <c r="C150" s="24"/>
      <c r="E150" s="13"/>
      <c r="F150" s="13"/>
      <c r="H150" s="24"/>
      <c r="J150" s="13"/>
      <c r="K150" s="13"/>
      <c r="M150" s="24"/>
      <c r="O150" s="13"/>
      <c r="P150" s="13"/>
    </row>
    <row r="151">
      <c r="C151" s="24"/>
      <c r="E151" s="13"/>
      <c r="F151" s="13"/>
      <c r="H151" s="24"/>
      <c r="J151" s="13"/>
      <c r="K151" s="13"/>
      <c r="M151" s="24"/>
      <c r="O151" s="13"/>
      <c r="P151" s="13"/>
    </row>
    <row r="152">
      <c r="C152" s="24"/>
      <c r="E152" s="13"/>
      <c r="F152" s="13"/>
      <c r="H152" s="24"/>
      <c r="J152" s="13"/>
      <c r="K152" s="13"/>
      <c r="M152" s="24"/>
      <c r="O152" s="13"/>
      <c r="P152" s="13"/>
    </row>
    <row r="153">
      <c r="C153" s="24"/>
      <c r="E153" s="13"/>
      <c r="F153" s="13"/>
      <c r="H153" s="24"/>
      <c r="J153" s="13"/>
      <c r="K153" s="13"/>
      <c r="M153" s="24"/>
      <c r="O153" s="13"/>
      <c r="P153" s="13"/>
    </row>
    <row r="154">
      <c r="C154" s="24"/>
      <c r="E154" s="13"/>
      <c r="F154" s="13"/>
      <c r="H154" s="24"/>
      <c r="J154" s="13"/>
      <c r="K154" s="13"/>
      <c r="M154" s="24"/>
      <c r="O154" s="13"/>
      <c r="P154" s="13"/>
    </row>
    <row r="155">
      <c r="C155" s="24"/>
      <c r="E155" s="13"/>
      <c r="F155" s="13"/>
      <c r="H155" s="24"/>
      <c r="J155" s="13"/>
      <c r="K155" s="13"/>
      <c r="M155" s="24"/>
      <c r="O155" s="13"/>
      <c r="P155" s="13"/>
    </row>
    <row r="156">
      <c r="C156" s="24"/>
      <c r="E156" s="13"/>
      <c r="F156" s="13"/>
      <c r="H156" s="24"/>
      <c r="J156" s="13"/>
      <c r="K156" s="13"/>
      <c r="M156" s="24"/>
      <c r="O156" s="13"/>
      <c r="P156" s="13"/>
    </row>
    <row r="157">
      <c r="C157" s="24"/>
      <c r="E157" s="13"/>
      <c r="F157" s="13"/>
      <c r="H157" s="24"/>
      <c r="J157" s="13"/>
      <c r="K157" s="13"/>
      <c r="M157" s="24"/>
      <c r="O157" s="13"/>
      <c r="P157" s="13"/>
    </row>
    <row r="158">
      <c r="C158" s="24"/>
      <c r="E158" s="13"/>
      <c r="F158" s="13"/>
      <c r="H158" s="24"/>
      <c r="J158" s="13"/>
      <c r="K158" s="13"/>
      <c r="M158" s="24"/>
      <c r="O158" s="13"/>
      <c r="P158" s="13"/>
    </row>
    <row r="159">
      <c r="C159" s="24"/>
      <c r="E159" s="13"/>
      <c r="F159" s="13"/>
      <c r="H159" s="24"/>
      <c r="J159" s="13"/>
      <c r="K159" s="13"/>
      <c r="M159" s="24"/>
      <c r="O159" s="13"/>
      <c r="P159" s="13"/>
    </row>
    <row r="160">
      <c r="C160" s="24"/>
      <c r="E160" s="13"/>
      <c r="F160" s="13"/>
      <c r="H160" s="24"/>
      <c r="J160" s="13"/>
      <c r="K160" s="13"/>
      <c r="M160" s="24"/>
      <c r="O160" s="13"/>
      <c r="P160" s="13"/>
    </row>
    <row r="161">
      <c r="C161" s="24"/>
      <c r="E161" s="13"/>
      <c r="F161" s="13"/>
      <c r="H161" s="24"/>
      <c r="J161" s="13"/>
      <c r="K161" s="13"/>
      <c r="M161" s="24"/>
      <c r="O161" s="13"/>
      <c r="P161" s="13"/>
    </row>
    <row r="162">
      <c r="C162" s="24"/>
      <c r="E162" s="13"/>
      <c r="F162" s="13"/>
      <c r="H162" s="24"/>
      <c r="J162" s="13"/>
      <c r="K162" s="13"/>
      <c r="M162" s="24"/>
      <c r="O162" s="13"/>
      <c r="P162" s="13"/>
    </row>
    <row r="163">
      <c r="C163" s="24"/>
      <c r="E163" s="13"/>
      <c r="F163" s="13"/>
      <c r="H163" s="24"/>
      <c r="J163" s="13"/>
      <c r="K163" s="13"/>
      <c r="M163" s="24"/>
      <c r="O163" s="13"/>
      <c r="P163" s="13"/>
    </row>
    <row r="164">
      <c r="C164" s="24"/>
      <c r="E164" s="13"/>
      <c r="F164" s="13"/>
      <c r="H164" s="24"/>
      <c r="J164" s="13"/>
      <c r="K164" s="13"/>
      <c r="M164" s="24"/>
      <c r="O164" s="13"/>
      <c r="P164" s="13"/>
    </row>
    <row r="165">
      <c r="C165" s="24"/>
      <c r="E165" s="13"/>
      <c r="F165" s="13"/>
      <c r="H165" s="24"/>
      <c r="J165" s="13"/>
      <c r="K165" s="13"/>
      <c r="M165" s="24"/>
      <c r="O165" s="13"/>
      <c r="P165" s="13"/>
    </row>
    <row r="166">
      <c r="C166" s="24"/>
      <c r="E166" s="13"/>
      <c r="F166" s="13"/>
      <c r="H166" s="24"/>
      <c r="J166" s="13"/>
      <c r="K166" s="13"/>
      <c r="M166" s="24"/>
      <c r="O166" s="13"/>
      <c r="P166" s="13"/>
    </row>
    <row r="167">
      <c r="C167" s="24"/>
      <c r="E167" s="13"/>
      <c r="F167" s="13"/>
      <c r="H167" s="24"/>
      <c r="J167" s="13"/>
      <c r="K167" s="13"/>
      <c r="M167" s="24"/>
      <c r="O167" s="13"/>
      <c r="P167" s="13"/>
    </row>
    <row r="168">
      <c r="C168" s="24"/>
      <c r="E168" s="13"/>
      <c r="F168" s="13"/>
      <c r="H168" s="24"/>
      <c r="J168" s="13"/>
      <c r="K168" s="13"/>
      <c r="M168" s="24"/>
      <c r="O168" s="13"/>
      <c r="P168" s="13"/>
    </row>
    <row r="169">
      <c r="C169" s="24"/>
      <c r="E169" s="13"/>
      <c r="F169" s="13"/>
      <c r="H169" s="24"/>
      <c r="J169" s="13"/>
      <c r="K169" s="13"/>
      <c r="M169" s="24"/>
      <c r="O169" s="13"/>
      <c r="P169" s="13"/>
    </row>
    <row r="170">
      <c r="C170" s="24"/>
      <c r="E170" s="13"/>
      <c r="F170" s="13"/>
      <c r="H170" s="24"/>
      <c r="J170" s="13"/>
      <c r="K170" s="13"/>
      <c r="M170" s="24"/>
      <c r="O170" s="13"/>
      <c r="P170" s="13"/>
    </row>
    <row r="171">
      <c r="C171" s="24"/>
      <c r="E171" s="13"/>
      <c r="F171" s="13"/>
      <c r="H171" s="24"/>
      <c r="J171" s="13"/>
      <c r="K171" s="13"/>
      <c r="M171" s="24"/>
      <c r="O171" s="13"/>
      <c r="P171" s="13"/>
    </row>
    <row r="172">
      <c r="C172" s="24"/>
      <c r="E172" s="13"/>
      <c r="F172" s="13"/>
      <c r="H172" s="24"/>
      <c r="J172" s="13"/>
      <c r="K172" s="13"/>
      <c r="M172" s="24"/>
      <c r="O172" s="13"/>
      <c r="P172" s="13"/>
    </row>
    <row r="173">
      <c r="C173" s="24"/>
      <c r="E173" s="13"/>
      <c r="F173" s="13"/>
      <c r="H173" s="24"/>
      <c r="J173" s="13"/>
      <c r="K173" s="13"/>
      <c r="M173" s="24"/>
      <c r="O173" s="13"/>
      <c r="P173" s="13"/>
    </row>
    <row r="174">
      <c r="C174" s="24"/>
      <c r="E174" s="13"/>
      <c r="F174" s="13"/>
      <c r="H174" s="24"/>
      <c r="J174" s="13"/>
      <c r="K174" s="13"/>
      <c r="M174" s="24"/>
      <c r="O174" s="13"/>
      <c r="P174" s="13"/>
    </row>
    <row r="175">
      <c r="C175" s="24"/>
      <c r="E175" s="13"/>
      <c r="F175" s="13"/>
      <c r="H175" s="24"/>
      <c r="J175" s="13"/>
      <c r="K175" s="13"/>
      <c r="M175" s="24"/>
      <c r="O175" s="13"/>
      <c r="P175" s="13"/>
    </row>
    <row r="176">
      <c r="C176" s="24"/>
      <c r="E176" s="13"/>
      <c r="F176" s="13"/>
      <c r="H176" s="24"/>
      <c r="J176" s="13"/>
      <c r="K176" s="13"/>
      <c r="M176" s="24"/>
      <c r="O176" s="13"/>
      <c r="P176" s="13"/>
    </row>
    <row r="177">
      <c r="C177" s="24"/>
      <c r="E177" s="13"/>
      <c r="F177" s="13"/>
      <c r="H177" s="24"/>
      <c r="J177" s="13"/>
      <c r="K177" s="13"/>
      <c r="M177" s="24"/>
      <c r="O177" s="13"/>
      <c r="P177" s="13"/>
    </row>
    <row r="178">
      <c r="C178" s="24"/>
      <c r="E178" s="13"/>
      <c r="F178" s="13"/>
      <c r="H178" s="24"/>
      <c r="J178" s="13"/>
      <c r="K178" s="13"/>
      <c r="M178" s="24"/>
      <c r="O178" s="13"/>
      <c r="P178" s="13"/>
    </row>
    <row r="179">
      <c r="C179" s="24"/>
      <c r="E179" s="13"/>
      <c r="F179" s="13"/>
      <c r="H179" s="24"/>
      <c r="J179" s="13"/>
      <c r="K179" s="13"/>
      <c r="M179" s="24"/>
      <c r="O179" s="13"/>
      <c r="P179" s="13"/>
    </row>
    <row r="180">
      <c r="C180" s="24"/>
      <c r="E180" s="13"/>
      <c r="F180" s="13"/>
      <c r="H180" s="24"/>
      <c r="J180" s="13"/>
      <c r="K180" s="13"/>
      <c r="M180" s="24"/>
      <c r="O180" s="13"/>
      <c r="P180" s="13"/>
    </row>
    <row r="181">
      <c r="C181" s="24"/>
      <c r="E181" s="13"/>
      <c r="F181" s="13"/>
      <c r="H181" s="24"/>
      <c r="J181" s="13"/>
      <c r="K181" s="13"/>
      <c r="M181" s="24"/>
      <c r="O181" s="13"/>
      <c r="P181" s="13"/>
    </row>
    <row r="182">
      <c r="C182" s="24"/>
      <c r="E182" s="13"/>
      <c r="F182" s="13"/>
      <c r="H182" s="24"/>
      <c r="J182" s="13"/>
      <c r="K182" s="13"/>
      <c r="M182" s="24"/>
      <c r="O182" s="13"/>
      <c r="P182" s="13"/>
    </row>
    <row r="183">
      <c r="C183" s="24"/>
      <c r="E183" s="13"/>
      <c r="F183" s="13"/>
      <c r="H183" s="24"/>
      <c r="J183" s="13"/>
      <c r="K183" s="13"/>
      <c r="M183" s="24"/>
      <c r="O183" s="13"/>
      <c r="P183" s="13"/>
    </row>
    <row r="184">
      <c r="C184" s="24"/>
      <c r="E184" s="13"/>
      <c r="F184" s="13"/>
      <c r="H184" s="24"/>
      <c r="J184" s="13"/>
      <c r="K184" s="13"/>
      <c r="M184" s="24"/>
      <c r="O184" s="13"/>
      <c r="P184" s="13"/>
    </row>
    <row r="185">
      <c r="C185" s="24"/>
      <c r="E185" s="13"/>
      <c r="F185" s="13"/>
      <c r="H185" s="24"/>
      <c r="J185" s="13"/>
      <c r="K185" s="13"/>
      <c r="M185" s="24"/>
      <c r="O185" s="13"/>
      <c r="P185" s="13"/>
    </row>
    <row r="186">
      <c r="C186" s="24"/>
      <c r="E186" s="13"/>
      <c r="F186" s="13"/>
      <c r="H186" s="24"/>
      <c r="J186" s="13"/>
      <c r="K186" s="13"/>
      <c r="M186" s="24"/>
      <c r="O186" s="13"/>
      <c r="P186" s="13"/>
    </row>
    <row r="187">
      <c r="C187" s="24"/>
      <c r="E187" s="13"/>
      <c r="F187" s="13"/>
      <c r="H187" s="24"/>
      <c r="J187" s="13"/>
      <c r="K187" s="13"/>
      <c r="M187" s="24"/>
      <c r="O187" s="13"/>
      <c r="P187" s="13"/>
    </row>
    <row r="188">
      <c r="C188" s="24"/>
      <c r="E188" s="13"/>
      <c r="F188" s="13"/>
      <c r="H188" s="24"/>
      <c r="J188" s="13"/>
      <c r="K188" s="13"/>
      <c r="M188" s="24"/>
      <c r="O188" s="13"/>
      <c r="P188" s="13"/>
    </row>
    <row r="189">
      <c r="C189" s="24"/>
      <c r="E189" s="13"/>
      <c r="F189" s="13"/>
      <c r="H189" s="24"/>
      <c r="J189" s="13"/>
      <c r="K189" s="13"/>
      <c r="M189" s="24"/>
      <c r="O189" s="13"/>
      <c r="P189" s="13"/>
    </row>
    <row r="190">
      <c r="C190" s="24"/>
      <c r="E190" s="13"/>
      <c r="F190" s="13"/>
      <c r="H190" s="24"/>
      <c r="J190" s="13"/>
      <c r="K190" s="13"/>
      <c r="M190" s="24"/>
      <c r="O190" s="13"/>
      <c r="P190" s="13"/>
    </row>
    <row r="191">
      <c r="C191" s="24"/>
      <c r="E191" s="13"/>
      <c r="F191" s="13"/>
      <c r="H191" s="24"/>
      <c r="J191" s="13"/>
      <c r="K191" s="13"/>
      <c r="M191" s="24"/>
      <c r="O191" s="13"/>
      <c r="P191" s="13"/>
    </row>
    <row r="192">
      <c r="C192" s="24"/>
      <c r="E192" s="13"/>
      <c r="F192" s="13"/>
      <c r="H192" s="24"/>
      <c r="J192" s="13"/>
      <c r="K192" s="13"/>
      <c r="M192" s="24"/>
      <c r="O192" s="13"/>
      <c r="P192" s="13"/>
    </row>
    <row r="193">
      <c r="C193" s="24"/>
      <c r="E193" s="13"/>
      <c r="F193" s="13"/>
      <c r="H193" s="24"/>
      <c r="J193" s="13"/>
      <c r="K193" s="13"/>
      <c r="M193" s="24"/>
      <c r="O193" s="13"/>
      <c r="P193" s="13"/>
    </row>
    <row r="194">
      <c r="C194" s="24"/>
      <c r="E194" s="13"/>
      <c r="F194" s="13"/>
      <c r="H194" s="24"/>
      <c r="J194" s="13"/>
      <c r="K194" s="13"/>
      <c r="M194" s="24"/>
      <c r="O194" s="13"/>
      <c r="P194" s="13"/>
    </row>
    <row r="195">
      <c r="C195" s="24"/>
      <c r="E195" s="13"/>
      <c r="F195" s="13"/>
      <c r="H195" s="24"/>
      <c r="J195" s="13"/>
      <c r="K195" s="13"/>
      <c r="M195" s="24"/>
      <c r="O195" s="13"/>
      <c r="P195" s="13"/>
    </row>
    <row r="196">
      <c r="C196" s="24"/>
      <c r="E196" s="13"/>
      <c r="F196" s="13"/>
      <c r="H196" s="24"/>
      <c r="J196" s="13"/>
      <c r="K196" s="13"/>
      <c r="M196" s="24"/>
      <c r="O196" s="13"/>
      <c r="P196" s="13"/>
    </row>
    <row r="197">
      <c r="C197" s="24"/>
      <c r="E197" s="13"/>
      <c r="F197" s="13"/>
      <c r="H197" s="24"/>
      <c r="J197" s="13"/>
      <c r="K197" s="13"/>
      <c r="M197" s="24"/>
      <c r="O197" s="13"/>
      <c r="P197" s="13"/>
    </row>
    <row r="198">
      <c r="C198" s="24"/>
      <c r="E198" s="13"/>
      <c r="F198" s="13"/>
      <c r="H198" s="24"/>
      <c r="J198" s="13"/>
      <c r="K198" s="13"/>
      <c r="M198" s="24"/>
      <c r="O198" s="13"/>
      <c r="P198" s="13"/>
    </row>
    <row r="199">
      <c r="C199" s="24"/>
      <c r="E199" s="13"/>
      <c r="F199" s="13"/>
      <c r="H199" s="24"/>
      <c r="J199" s="13"/>
      <c r="K199" s="13"/>
      <c r="M199" s="24"/>
      <c r="O199" s="13"/>
      <c r="P199" s="13"/>
    </row>
    <row r="200">
      <c r="C200" s="24"/>
      <c r="E200" s="13"/>
      <c r="F200" s="13"/>
      <c r="H200" s="24"/>
      <c r="J200" s="13"/>
      <c r="K200" s="13"/>
      <c r="M200" s="24"/>
      <c r="O200" s="13"/>
      <c r="P200" s="13"/>
    </row>
    <row r="201">
      <c r="C201" s="24"/>
      <c r="E201" s="13"/>
      <c r="F201" s="13"/>
      <c r="H201" s="24"/>
      <c r="J201" s="13"/>
      <c r="K201" s="13"/>
      <c r="M201" s="24"/>
      <c r="O201" s="13"/>
      <c r="P201" s="13"/>
    </row>
    <row r="202">
      <c r="C202" s="24"/>
      <c r="E202" s="13"/>
      <c r="F202" s="13"/>
      <c r="H202" s="24"/>
      <c r="J202" s="13"/>
      <c r="K202" s="13"/>
      <c r="M202" s="24"/>
      <c r="O202" s="13"/>
      <c r="P202" s="13"/>
    </row>
    <row r="203">
      <c r="C203" s="24"/>
      <c r="E203" s="13"/>
      <c r="F203" s="13"/>
      <c r="H203" s="24"/>
      <c r="J203" s="13"/>
      <c r="K203" s="13"/>
      <c r="M203" s="24"/>
      <c r="O203" s="13"/>
      <c r="P203" s="13"/>
    </row>
    <row r="204">
      <c r="C204" s="24"/>
      <c r="E204" s="13"/>
      <c r="F204" s="13"/>
      <c r="H204" s="24"/>
      <c r="J204" s="13"/>
      <c r="K204" s="13"/>
      <c r="M204" s="24"/>
      <c r="O204" s="13"/>
      <c r="P204" s="13"/>
    </row>
    <row r="205">
      <c r="C205" s="24"/>
      <c r="E205" s="13"/>
      <c r="F205" s="13"/>
      <c r="H205" s="24"/>
      <c r="J205" s="13"/>
      <c r="K205" s="13"/>
      <c r="M205" s="24"/>
      <c r="O205" s="13"/>
      <c r="P205" s="13"/>
    </row>
    <row r="206">
      <c r="C206" s="24"/>
      <c r="E206" s="13"/>
      <c r="F206" s="13"/>
      <c r="H206" s="24"/>
      <c r="J206" s="13"/>
      <c r="K206" s="13"/>
      <c r="M206" s="24"/>
      <c r="O206" s="13"/>
      <c r="P206" s="13"/>
    </row>
    <row r="207">
      <c r="C207" s="24"/>
      <c r="E207" s="13"/>
      <c r="F207" s="13"/>
      <c r="H207" s="24"/>
      <c r="J207" s="13"/>
      <c r="K207" s="13"/>
      <c r="M207" s="24"/>
      <c r="O207" s="13"/>
      <c r="P207" s="13"/>
    </row>
    <row r="208">
      <c r="C208" s="24"/>
      <c r="E208" s="13"/>
      <c r="F208" s="13"/>
      <c r="H208" s="24"/>
      <c r="J208" s="13"/>
      <c r="K208" s="13"/>
      <c r="M208" s="24"/>
      <c r="O208" s="13"/>
      <c r="P208" s="13"/>
    </row>
    <row r="209">
      <c r="C209" s="24"/>
      <c r="E209" s="13"/>
      <c r="F209" s="13"/>
      <c r="H209" s="24"/>
      <c r="J209" s="13"/>
      <c r="K209" s="13"/>
      <c r="M209" s="24"/>
      <c r="O209" s="13"/>
      <c r="P209" s="13"/>
    </row>
    <row r="210">
      <c r="C210" s="24"/>
      <c r="E210" s="13"/>
      <c r="F210" s="13"/>
      <c r="H210" s="24"/>
      <c r="J210" s="13"/>
      <c r="K210" s="13"/>
      <c r="M210" s="24"/>
      <c r="O210" s="13"/>
      <c r="P210" s="13"/>
    </row>
    <row r="211">
      <c r="C211" s="24"/>
      <c r="E211" s="13"/>
      <c r="F211" s="13"/>
      <c r="H211" s="24"/>
      <c r="J211" s="13"/>
      <c r="K211" s="13"/>
      <c r="M211" s="24"/>
      <c r="O211" s="13"/>
      <c r="P211" s="13"/>
    </row>
    <row r="212">
      <c r="C212" s="24"/>
      <c r="E212" s="13"/>
      <c r="F212" s="13"/>
      <c r="H212" s="24"/>
      <c r="J212" s="13"/>
      <c r="K212" s="13"/>
      <c r="M212" s="24"/>
      <c r="O212" s="13"/>
      <c r="P212" s="13"/>
    </row>
    <row r="213">
      <c r="C213" s="24"/>
      <c r="E213" s="13"/>
      <c r="F213" s="13"/>
      <c r="H213" s="24"/>
      <c r="J213" s="13"/>
      <c r="K213" s="13"/>
      <c r="M213" s="24"/>
      <c r="O213" s="13"/>
      <c r="P213" s="13"/>
    </row>
    <row r="214">
      <c r="C214" s="24"/>
      <c r="E214" s="13"/>
      <c r="F214" s="13"/>
      <c r="H214" s="24"/>
      <c r="J214" s="13"/>
      <c r="K214" s="13"/>
      <c r="M214" s="24"/>
      <c r="O214" s="13"/>
      <c r="P214" s="13"/>
    </row>
    <row r="215">
      <c r="C215" s="24"/>
      <c r="E215" s="13"/>
      <c r="F215" s="13"/>
      <c r="H215" s="24"/>
      <c r="J215" s="13"/>
      <c r="K215" s="13"/>
      <c r="M215" s="24"/>
      <c r="O215" s="13"/>
      <c r="P215" s="13"/>
    </row>
    <row r="216">
      <c r="C216" s="24"/>
      <c r="E216" s="13"/>
      <c r="F216" s="13"/>
      <c r="H216" s="24"/>
      <c r="J216" s="13"/>
      <c r="K216" s="13"/>
      <c r="M216" s="24"/>
      <c r="O216" s="13"/>
      <c r="P216" s="13"/>
    </row>
    <row r="217">
      <c r="C217" s="24"/>
      <c r="E217" s="13"/>
      <c r="F217" s="13"/>
      <c r="H217" s="24"/>
      <c r="J217" s="13"/>
      <c r="K217" s="13"/>
      <c r="M217" s="24"/>
      <c r="O217" s="13"/>
      <c r="P217" s="13"/>
    </row>
    <row r="218">
      <c r="C218" s="24"/>
      <c r="E218" s="13"/>
      <c r="F218" s="13"/>
      <c r="H218" s="24"/>
      <c r="J218" s="13"/>
      <c r="K218" s="13"/>
      <c r="M218" s="24"/>
      <c r="O218" s="13"/>
      <c r="P218" s="13"/>
    </row>
    <row r="219">
      <c r="C219" s="24"/>
      <c r="E219" s="13"/>
      <c r="F219" s="13"/>
      <c r="H219" s="24"/>
      <c r="J219" s="13"/>
      <c r="K219" s="13"/>
      <c r="M219" s="24"/>
      <c r="O219" s="13"/>
      <c r="P219" s="13"/>
    </row>
    <row r="220">
      <c r="C220" s="24"/>
      <c r="E220" s="13"/>
      <c r="F220" s="13"/>
      <c r="H220" s="24"/>
      <c r="J220" s="13"/>
      <c r="K220" s="13"/>
      <c r="M220" s="24"/>
      <c r="O220" s="13"/>
      <c r="P220" s="13"/>
    </row>
    <row r="221">
      <c r="C221" s="24"/>
      <c r="E221" s="13"/>
      <c r="F221" s="13"/>
      <c r="H221" s="24"/>
      <c r="J221" s="13"/>
      <c r="K221" s="13"/>
      <c r="M221" s="24"/>
      <c r="O221" s="13"/>
      <c r="P221" s="13"/>
    </row>
    <row r="222">
      <c r="C222" s="24"/>
      <c r="E222" s="13"/>
      <c r="F222" s="13"/>
      <c r="H222" s="24"/>
      <c r="J222" s="13"/>
      <c r="K222" s="13"/>
      <c r="M222" s="24"/>
      <c r="O222" s="13"/>
      <c r="P222" s="13"/>
    </row>
    <row r="223">
      <c r="C223" s="24"/>
      <c r="E223" s="13"/>
      <c r="F223" s="13"/>
      <c r="H223" s="24"/>
      <c r="J223" s="13"/>
      <c r="K223" s="13"/>
      <c r="M223" s="24"/>
      <c r="O223" s="13"/>
      <c r="P223" s="13"/>
    </row>
    <row r="224">
      <c r="C224" s="24"/>
      <c r="E224" s="13"/>
      <c r="F224" s="13"/>
      <c r="H224" s="24"/>
      <c r="J224" s="13"/>
      <c r="K224" s="13"/>
      <c r="M224" s="24"/>
      <c r="O224" s="13"/>
      <c r="P224" s="13"/>
    </row>
    <row r="225">
      <c r="C225" s="24"/>
      <c r="E225" s="13"/>
      <c r="F225" s="13"/>
      <c r="H225" s="24"/>
      <c r="J225" s="13"/>
      <c r="K225" s="13"/>
      <c r="M225" s="24"/>
      <c r="O225" s="13"/>
      <c r="P225" s="13"/>
    </row>
    <row r="226">
      <c r="C226" s="24"/>
      <c r="E226" s="13"/>
      <c r="F226" s="13"/>
      <c r="H226" s="24"/>
      <c r="J226" s="13"/>
      <c r="K226" s="13"/>
      <c r="M226" s="24"/>
      <c r="O226" s="13"/>
      <c r="P226" s="13"/>
    </row>
    <row r="227">
      <c r="C227" s="24"/>
      <c r="E227" s="13"/>
      <c r="F227" s="13"/>
      <c r="H227" s="24"/>
      <c r="J227" s="13"/>
      <c r="K227" s="13"/>
      <c r="M227" s="24"/>
      <c r="O227" s="13"/>
      <c r="P227" s="13"/>
    </row>
    <row r="228">
      <c r="C228" s="24"/>
      <c r="E228" s="13"/>
      <c r="F228" s="13"/>
      <c r="H228" s="24"/>
      <c r="J228" s="13"/>
      <c r="K228" s="13"/>
      <c r="M228" s="24"/>
      <c r="O228" s="13"/>
      <c r="P228" s="13"/>
    </row>
    <row r="229">
      <c r="C229" s="24"/>
      <c r="E229" s="13"/>
      <c r="F229" s="13"/>
      <c r="H229" s="24"/>
      <c r="J229" s="13"/>
      <c r="K229" s="13"/>
      <c r="M229" s="24"/>
      <c r="O229" s="13"/>
      <c r="P229" s="13"/>
    </row>
    <row r="230">
      <c r="C230" s="24"/>
      <c r="E230" s="13"/>
      <c r="F230" s="13"/>
      <c r="H230" s="24"/>
      <c r="J230" s="13"/>
      <c r="K230" s="13"/>
      <c r="M230" s="24"/>
      <c r="O230" s="13"/>
      <c r="P230" s="13"/>
    </row>
    <row r="231">
      <c r="C231" s="24"/>
      <c r="E231" s="13"/>
      <c r="F231" s="13"/>
      <c r="H231" s="24"/>
      <c r="J231" s="13"/>
      <c r="K231" s="13"/>
      <c r="M231" s="24"/>
      <c r="O231" s="13"/>
      <c r="P231" s="13"/>
    </row>
    <row r="232">
      <c r="C232" s="24"/>
      <c r="E232" s="13"/>
      <c r="F232" s="13"/>
      <c r="H232" s="24"/>
      <c r="J232" s="13"/>
      <c r="K232" s="13"/>
      <c r="M232" s="24"/>
      <c r="O232" s="13"/>
      <c r="P232" s="13"/>
    </row>
    <row r="233">
      <c r="C233" s="24"/>
      <c r="E233" s="13"/>
      <c r="F233" s="13"/>
      <c r="H233" s="24"/>
      <c r="J233" s="13"/>
      <c r="K233" s="13"/>
      <c r="M233" s="24"/>
      <c r="O233" s="13"/>
      <c r="P233" s="13"/>
    </row>
    <row r="234">
      <c r="C234" s="24"/>
      <c r="E234" s="13"/>
      <c r="F234" s="13"/>
      <c r="H234" s="24"/>
      <c r="J234" s="13"/>
      <c r="K234" s="13"/>
      <c r="M234" s="24"/>
      <c r="O234" s="13"/>
      <c r="P234" s="13"/>
    </row>
    <row r="235">
      <c r="C235" s="24"/>
      <c r="E235" s="13"/>
      <c r="F235" s="13"/>
      <c r="H235" s="24"/>
      <c r="J235" s="13"/>
      <c r="K235" s="13"/>
      <c r="M235" s="24"/>
      <c r="O235" s="13"/>
      <c r="P235" s="13"/>
    </row>
    <row r="236">
      <c r="C236" s="24"/>
      <c r="E236" s="13"/>
      <c r="F236" s="13"/>
      <c r="H236" s="24"/>
      <c r="J236" s="13"/>
      <c r="K236" s="13"/>
      <c r="M236" s="24"/>
      <c r="O236" s="13"/>
      <c r="P236" s="13"/>
    </row>
    <row r="237">
      <c r="C237" s="24"/>
      <c r="E237" s="13"/>
      <c r="F237" s="13"/>
      <c r="H237" s="24"/>
      <c r="J237" s="13"/>
      <c r="K237" s="13"/>
      <c r="M237" s="24"/>
      <c r="O237" s="13"/>
      <c r="P237" s="13"/>
    </row>
    <row r="238">
      <c r="C238" s="24"/>
      <c r="E238" s="13"/>
      <c r="F238" s="13"/>
      <c r="H238" s="24"/>
      <c r="J238" s="13"/>
      <c r="K238" s="13"/>
      <c r="M238" s="24"/>
      <c r="O238" s="13"/>
      <c r="P238" s="13"/>
    </row>
    <row r="239">
      <c r="C239" s="24"/>
      <c r="E239" s="13"/>
      <c r="F239" s="13"/>
      <c r="H239" s="24"/>
      <c r="J239" s="13"/>
      <c r="K239" s="13"/>
      <c r="M239" s="24"/>
      <c r="O239" s="13"/>
      <c r="P239" s="13"/>
    </row>
    <row r="240">
      <c r="C240" s="24"/>
      <c r="E240" s="13"/>
      <c r="F240" s="13"/>
      <c r="H240" s="24"/>
      <c r="J240" s="13"/>
      <c r="K240" s="13"/>
      <c r="M240" s="24"/>
      <c r="O240" s="13"/>
      <c r="P240" s="13"/>
    </row>
    <row r="241">
      <c r="C241" s="24"/>
      <c r="E241" s="13"/>
      <c r="F241" s="13"/>
      <c r="H241" s="24"/>
      <c r="J241" s="13"/>
      <c r="K241" s="13"/>
      <c r="M241" s="24"/>
      <c r="O241" s="13"/>
      <c r="P241" s="13"/>
    </row>
    <row r="242">
      <c r="C242" s="24"/>
      <c r="E242" s="13"/>
      <c r="F242" s="13"/>
      <c r="H242" s="24"/>
      <c r="J242" s="13"/>
      <c r="K242" s="13"/>
      <c r="M242" s="24"/>
      <c r="O242" s="13"/>
      <c r="P242" s="13"/>
    </row>
    <row r="243">
      <c r="C243" s="24"/>
      <c r="E243" s="13"/>
      <c r="F243" s="13"/>
      <c r="H243" s="24"/>
      <c r="J243" s="13"/>
      <c r="K243" s="13"/>
      <c r="M243" s="24"/>
      <c r="O243" s="13"/>
      <c r="P243" s="13"/>
    </row>
    <row r="244">
      <c r="C244" s="24"/>
      <c r="E244" s="13"/>
      <c r="F244" s="13"/>
      <c r="H244" s="24"/>
      <c r="J244" s="13"/>
      <c r="K244" s="13"/>
      <c r="M244" s="24"/>
      <c r="O244" s="13"/>
      <c r="P244" s="13"/>
    </row>
    <row r="245">
      <c r="C245" s="24"/>
      <c r="E245" s="13"/>
      <c r="F245" s="13"/>
      <c r="H245" s="24"/>
      <c r="J245" s="13"/>
      <c r="K245" s="13"/>
      <c r="M245" s="24"/>
      <c r="O245" s="13"/>
      <c r="P245" s="13"/>
    </row>
    <row r="246">
      <c r="C246" s="24"/>
      <c r="E246" s="13"/>
      <c r="F246" s="13"/>
      <c r="H246" s="24"/>
      <c r="J246" s="13"/>
      <c r="K246" s="13"/>
      <c r="M246" s="24"/>
      <c r="O246" s="13"/>
      <c r="P246" s="13"/>
    </row>
    <row r="247">
      <c r="C247" s="24"/>
      <c r="E247" s="13"/>
      <c r="F247" s="13"/>
      <c r="H247" s="24"/>
      <c r="J247" s="13"/>
      <c r="K247" s="13"/>
      <c r="M247" s="24"/>
      <c r="O247" s="13"/>
      <c r="P247" s="13"/>
    </row>
    <row r="248">
      <c r="C248" s="24"/>
      <c r="E248" s="13"/>
      <c r="F248" s="13"/>
      <c r="H248" s="24"/>
      <c r="J248" s="13"/>
      <c r="K248" s="13"/>
      <c r="M248" s="24"/>
      <c r="O248" s="13"/>
      <c r="P248" s="13"/>
    </row>
    <row r="249">
      <c r="C249" s="24"/>
      <c r="E249" s="13"/>
      <c r="F249" s="13"/>
      <c r="H249" s="24"/>
      <c r="J249" s="13"/>
      <c r="K249" s="13"/>
      <c r="M249" s="24"/>
      <c r="O249" s="13"/>
      <c r="P249" s="13"/>
    </row>
    <row r="250">
      <c r="C250" s="24"/>
      <c r="E250" s="13"/>
      <c r="F250" s="13"/>
      <c r="H250" s="24"/>
      <c r="J250" s="13"/>
      <c r="K250" s="13"/>
      <c r="M250" s="24"/>
      <c r="O250" s="13"/>
      <c r="P250" s="13"/>
    </row>
    <row r="251">
      <c r="C251" s="24"/>
      <c r="E251" s="13"/>
      <c r="F251" s="13"/>
      <c r="H251" s="24"/>
      <c r="J251" s="13"/>
      <c r="K251" s="13"/>
      <c r="M251" s="24"/>
      <c r="O251" s="13"/>
      <c r="P251" s="13"/>
    </row>
    <row r="252">
      <c r="C252" s="24"/>
      <c r="E252" s="13"/>
      <c r="F252" s="13"/>
      <c r="H252" s="24"/>
      <c r="J252" s="13"/>
      <c r="K252" s="13"/>
      <c r="M252" s="24"/>
      <c r="O252" s="13"/>
      <c r="P252" s="13"/>
    </row>
    <row r="253">
      <c r="C253" s="24"/>
      <c r="E253" s="13"/>
      <c r="F253" s="13"/>
      <c r="H253" s="24"/>
      <c r="J253" s="13"/>
      <c r="K253" s="13"/>
      <c r="M253" s="24"/>
      <c r="O253" s="13"/>
      <c r="P253" s="13"/>
    </row>
    <row r="254">
      <c r="C254" s="24"/>
      <c r="E254" s="13"/>
      <c r="F254" s="13"/>
      <c r="H254" s="24"/>
      <c r="J254" s="13"/>
      <c r="K254" s="13"/>
      <c r="M254" s="24"/>
      <c r="O254" s="13"/>
      <c r="P254" s="13"/>
    </row>
    <row r="255">
      <c r="C255" s="24"/>
      <c r="E255" s="13"/>
      <c r="F255" s="13"/>
      <c r="H255" s="24"/>
      <c r="J255" s="13"/>
      <c r="K255" s="13"/>
      <c r="M255" s="24"/>
      <c r="O255" s="13"/>
      <c r="P255" s="13"/>
    </row>
    <row r="256">
      <c r="C256" s="24"/>
      <c r="E256" s="13"/>
      <c r="F256" s="13"/>
      <c r="H256" s="24"/>
      <c r="J256" s="13"/>
      <c r="K256" s="13"/>
      <c r="M256" s="24"/>
      <c r="O256" s="13"/>
      <c r="P256" s="13"/>
    </row>
    <row r="257">
      <c r="C257" s="24"/>
      <c r="E257" s="13"/>
      <c r="F257" s="13"/>
      <c r="H257" s="24"/>
      <c r="J257" s="13"/>
      <c r="K257" s="13"/>
      <c r="M257" s="24"/>
      <c r="O257" s="13"/>
      <c r="P257" s="13"/>
    </row>
    <row r="258">
      <c r="C258" s="24"/>
      <c r="E258" s="13"/>
      <c r="F258" s="13"/>
      <c r="H258" s="24"/>
      <c r="J258" s="13"/>
      <c r="K258" s="13"/>
      <c r="M258" s="24"/>
      <c r="O258" s="13"/>
      <c r="P258" s="13"/>
    </row>
    <row r="259">
      <c r="C259" s="24"/>
      <c r="E259" s="13"/>
      <c r="F259" s="13"/>
      <c r="H259" s="24"/>
      <c r="J259" s="13"/>
      <c r="K259" s="13"/>
      <c r="M259" s="24"/>
      <c r="O259" s="13"/>
      <c r="P259" s="13"/>
    </row>
    <row r="260">
      <c r="C260" s="24"/>
      <c r="E260" s="13"/>
      <c r="F260" s="13"/>
      <c r="H260" s="24"/>
      <c r="J260" s="13"/>
      <c r="K260" s="13"/>
      <c r="M260" s="24"/>
      <c r="O260" s="13"/>
      <c r="P260" s="13"/>
    </row>
    <row r="261">
      <c r="C261" s="24"/>
      <c r="E261" s="13"/>
      <c r="F261" s="13"/>
      <c r="H261" s="24"/>
      <c r="J261" s="13"/>
      <c r="K261" s="13"/>
      <c r="M261" s="24"/>
      <c r="O261" s="13"/>
      <c r="P261" s="13"/>
    </row>
    <row r="262">
      <c r="C262" s="24"/>
      <c r="E262" s="13"/>
      <c r="F262" s="13"/>
      <c r="H262" s="24"/>
      <c r="J262" s="13"/>
      <c r="K262" s="13"/>
      <c r="M262" s="24"/>
      <c r="O262" s="13"/>
      <c r="P262" s="13"/>
    </row>
    <row r="263">
      <c r="C263" s="24"/>
      <c r="E263" s="13"/>
      <c r="F263" s="13"/>
      <c r="H263" s="24"/>
      <c r="J263" s="13"/>
      <c r="K263" s="13"/>
      <c r="M263" s="24"/>
      <c r="O263" s="13"/>
      <c r="P263" s="13"/>
    </row>
    <row r="264">
      <c r="C264" s="24"/>
      <c r="E264" s="13"/>
      <c r="F264" s="13"/>
      <c r="H264" s="24"/>
      <c r="J264" s="13"/>
      <c r="K264" s="13"/>
      <c r="M264" s="24"/>
      <c r="O264" s="13"/>
      <c r="P264" s="13"/>
    </row>
    <row r="265">
      <c r="C265" s="24"/>
      <c r="E265" s="13"/>
      <c r="F265" s="13"/>
      <c r="H265" s="24"/>
      <c r="J265" s="13"/>
      <c r="K265" s="13"/>
      <c r="M265" s="24"/>
      <c r="O265" s="13"/>
      <c r="P265" s="13"/>
    </row>
    <row r="266">
      <c r="C266" s="24"/>
      <c r="E266" s="13"/>
      <c r="F266" s="13"/>
      <c r="H266" s="24"/>
      <c r="J266" s="13"/>
      <c r="K266" s="13"/>
      <c r="M266" s="24"/>
      <c r="O266" s="13"/>
      <c r="P266" s="13"/>
    </row>
    <row r="267">
      <c r="C267" s="24"/>
      <c r="E267" s="13"/>
      <c r="F267" s="13"/>
      <c r="H267" s="24"/>
      <c r="J267" s="13"/>
      <c r="K267" s="13"/>
      <c r="M267" s="24"/>
      <c r="O267" s="13"/>
      <c r="P267" s="13"/>
    </row>
    <row r="268">
      <c r="C268" s="24"/>
      <c r="E268" s="13"/>
      <c r="F268" s="13"/>
      <c r="H268" s="24"/>
      <c r="J268" s="13"/>
      <c r="K268" s="13"/>
      <c r="M268" s="24"/>
      <c r="O268" s="13"/>
      <c r="P268" s="13"/>
    </row>
    <row r="269">
      <c r="C269" s="24"/>
      <c r="E269" s="13"/>
      <c r="F269" s="13"/>
      <c r="H269" s="24"/>
      <c r="J269" s="13"/>
      <c r="K269" s="13"/>
      <c r="M269" s="24"/>
      <c r="O269" s="13"/>
      <c r="P269" s="13"/>
    </row>
    <row r="270">
      <c r="C270" s="24"/>
      <c r="E270" s="13"/>
      <c r="F270" s="13"/>
      <c r="H270" s="24"/>
      <c r="J270" s="13"/>
      <c r="K270" s="13"/>
      <c r="M270" s="24"/>
      <c r="O270" s="13"/>
      <c r="P270" s="13"/>
    </row>
    <row r="271">
      <c r="C271" s="24"/>
      <c r="E271" s="13"/>
      <c r="F271" s="13"/>
      <c r="H271" s="24"/>
      <c r="J271" s="13"/>
      <c r="K271" s="13"/>
      <c r="M271" s="24"/>
      <c r="O271" s="13"/>
      <c r="P271" s="13"/>
    </row>
    <row r="272">
      <c r="C272" s="24"/>
      <c r="E272" s="13"/>
      <c r="F272" s="13"/>
      <c r="H272" s="24"/>
      <c r="J272" s="13"/>
      <c r="K272" s="13"/>
      <c r="M272" s="24"/>
      <c r="O272" s="13"/>
      <c r="P272" s="13"/>
    </row>
    <row r="273">
      <c r="C273" s="24"/>
      <c r="E273" s="13"/>
      <c r="F273" s="13"/>
      <c r="H273" s="24"/>
      <c r="J273" s="13"/>
      <c r="K273" s="13"/>
      <c r="M273" s="24"/>
      <c r="O273" s="13"/>
      <c r="P273" s="13"/>
    </row>
    <row r="274">
      <c r="C274" s="24"/>
      <c r="E274" s="13"/>
      <c r="F274" s="13"/>
      <c r="H274" s="24"/>
      <c r="J274" s="13"/>
      <c r="K274" s="13"/>
      <c r="M274" s="24"/>
      <c r="O274" s="13"/>
      <c r="P274" s="13"/>
    </row>
    <row r="275">
      <c r="C275" s="24"/>
      <c r="E275" s="13"/>
      <c r="F275" s="13"/>
      <c r="H275" s="24"/>
      <c r="J275" s="13"/>
      <c r="K275" s="13"/>
      <c r="M275" s="24"/>
      <c r="O275" s="13"/>
      <c r="P275" s="13"/>
    </row>
    <row r="276">
      <c r="C276" s="24"/>
      <c r="E276" s="13"/>
      <c r="F276" s="13"/>
      <c r="H276" s="24"/>
      <c r="J276" s="13"/>
      <c r="K276" s="13"/>
      <c r="M276" s="24"/>
      <c r="O276" s="13"/>
      <c r="P276" s="13"/>
    </row>
    <row r="277">
      <c r="C277" s="24"/>
      <c r="E277" s="13"/>
      <c r="F277" s="13"/>
      <c r="H277" s="24"/>
      <c r="J277" s="13"/>
      <c r="K277" s="13"/>
      <c r="M277" s="24"/>
      <c r="O277" s="13"/>
      <c r="P277" s="13"/>
    </row>
    <row r="278">
      <c r="C278" s="24"/>
      <c r="E278" s="13"/>
      <c r="F278" s="13"/>
      <c r="H278" s="24"/>
      <c r="J278" s="13"/>
      <c r="K278" s="13"/>
      <c r="M278" s="24"/>
      <c r="O278" s="13"/>
      <c r="P278" s="13"/>
    </row>
    <row r="279">
      <c r="C279" s="24"/>
      <c r="E279" s="13"/>
      <c r="F279" s="13"/>
      <c r="H279" s="24"/>
      <c r="J279" s="13"/>
      <c r="K279" s="13"/>
      <c r="M279" s="24"/>
      <c r="O279" s="13"/>
      <c r="P279" s="13"/>
    </row>
    <row r="280">
      <c r="C280" s="24"/>
      <c r="E280" s="13"/>
      <c r="F280" s="13"/>
      <c r="H280" s="24"/>
      <c r="J280" s="13"/>
      <c r="K280" s="13"/>
      <c r="M280" s="24"/>
      <c r="O280" s="13"/>
      <c r="P280" s="13"/>
    </row>
    <row r="281">
      <c r="C281" s="24"/>
      <c r="E281" s="13"/>
      <c r="F281" s="13"/>
      <c r="H281" s="24"/>
      <c r="J281" s="13"/>
      <c r="K281" s="13"/>
      <c r="M281" s="24"/>
      <c r="O281" s="13"/>
      <c r="P281" s="13"/>
    </row>
    <row r="282">
      <c r="C282" s="24"/>
      <c r="E282" s="13"/>
      <c r="F282" s="13"/>
      <c r="H282" s="24"/>
      <c r="J282" s="13"/>
      <c r="K282" s="13"/>
      <c r="M282" s="24"/>
      <c r="O282" s="13"/>
      <c r="P282" s="13"/>
    </row>
    <row r="283">
      <c r="C283" s="24"/>
      <c r="E283" s="13"/>
      <c r="F283" s="13"/>
      <c r="H283" s="24"/>
      <c r="J283" s="13"/>
      <c r="K283" s="13"/>
      <c r="M283" s="24"/>
      <c r="O283" s="13"/>
      <c r="P283" s="13"/>
    </row>
    <row r="284">
      <c r="C284" s="24"/>
      <c r="E284" s="13"/>
      <c r="F284" s="13"/>
      <c r="H284" s="24"/>
      <c r="J284" s="13"/>
      <c r="K284" s="13"/>
      <c r="M284" s="24"/>
      <c r="O284" s="13"/>
      <c r="P284" s="13"/>
    </row>
    <row r="285">
      <c r="C285" s="24"/>
      <c r="E285" s="13"/>
      <c r="F285" s="13"/>
      <c r="H285" s="24"/>
      <c r="J285" s="13"/>
      <c r="K285" s="13"/>
      <c r="M285" s="24"/>
      <c r="O285" s="13"/>
      <c r="P285" s="13"/>
    </row>
    <row r="286">
      <c r="C286" s="24"/>
      <c r="E286" s="13"/>
      <c r="F286" s="13"/>
      <c r="H286" s="24"/>
      <c r="J286" s="13"/>
      <c r="K286" s="13"/>
      <c r="M286" s="24"/>
      <c r="O286" s="13"/>
      <c r="P286" s="13"/>
    </row>
    <row r="287">
      <c r="C287" s="24"/>
      <c r="E287" s="13"/>
      <c r="F287" s="13"/>
      <c r="H287" s="24"/>
      <c r="J287" s="13"/>
      <c r="K287" s="13"/>
      <c r="M287" s="24"/>
      <c r="O287" s="13"/>
      <c r="P287" s="13"/>
    </row>
    <row r="288">
      <c r="C288" s="24"/>
      <c r="E288" s="13"/>
      <c r="F288" s="13"/>
      <c r="H288" s="24"/>
      <c r="J288" s="13"/>
      <c r="K288" s="13"/>
      <c r="M288" s="24"/>
      <c r="O288" s="13"/>
      <c r="P288" s="13"/>
    </row>
    <row r="289">
      <c r="C289" s="24"/>
      <c r="E289" s="13"/>
      <c r="F289" s="13"/>
      <c r="H289" s="24"/>
      <c r="J289" s="13"/>
      <c r="K289" s="13"/>
      <c r="M289" s="24"/>
      <c r="O289" s="13"/>
      <c r="P289" s="13"/>
    </row>
    <row r="290">
      <c r="C290" s="24"/>
      <c r="E290" s="13"/>
      <c r="F290" s="13"/>
      <c r="H290" s="24"/>
      <c r="J290" s="13"/>
      <c r="K290" s="13"/>
      <c r="M290" s="24"/>
      <c r="O290" s="13"/>
      <c r="P290" s="13"/>
    </row>
    <row r="291">
      <c r="C291" s="24"/>
      <c r="E291" s="13"/>
      <c r="F291" s="13"/>
      <c r="H291" s="24"/>
      <c r="J291" s="13"/>
      <c r="K291" s="13"/>
      <c r="M291" s="24"/>
      <c r="O291" s="13"/>
      <c r="P291" s="13"/>
    </row>
    <row r="292">
      <c r="C292" s="24"/>
      <c r="E292" s="13"/>
      <c r="F292" s="13"/>
      <c r="H292" s="24"/>
      <c r="J292" s="13"/>
      <c r="K292" s="13"/>
      <c r="M292" s="24"/>
      <c r="O292" s="13"/>
      <c r="P292" s="13"/>
    </row>
    <row r="293">
      <c r="C293" s="24"/>
      <c r="E293" s="13"/>
      <c r="F293" s="13"/>
      <c r="H293" s="24"/>
      <c r="J293" s="13"/>
      <c r="K293" s="13"/>
      <c r="M293" s="24"/>
      <c r="O293" s="13"/>
      <c r="P293" s="13"/>
    </row>
    <row r="294">
      <c r="C294" s="24"/>
      <c r="E294" s="13"/>
      <c r="F294" s="13"/>
      <c r="H294" s="24"/>
      <c r="J294" s="13"/>
      <c r="K294" s="13"/>
      <c r="M294" s="24"/>
      <c r="O294" s="13"/>
      <c r="P294" s="13"/>
    </row>
    <row r="295">
      <c r="C295" s="24"/>
      <c r="E295" s="13"/>
      <c r="F295" s="13"/>
      <c r="H295" s="24"/>
      <c r="J295" s="13"/>
      <c r="K295" s="13"/>
      <c r="M295" s="24"/>
      <c r="O295" s="13"/>
      <c r="P295" s="13"/>
    </row>
    <row r="296">
      <c r="C296" s="24"/>
      <c r="E296" s="13"/>
      <c r="F296" s="13"/>
      <c r="H296" s="24"/>
      <c r="J296" s="13"/>
      <c r="K296" s="13"/>
      <c r="M296" s="24"/>
      <c r="O296" s="13"/>
      <c r="P296" s="13"/>
    </row>
    <row r="297">
      <c r="C297" s="24"/>
      <c r="E297" s="13"/>
      <c r="F297" s="13"/>
      <c r="H297" s="24"/>
      <c r="J297" s="13"/>
      <c r="K297" s="13"/>
      <c r="M297" s="24"/>
      <c r="O297" s="13"/>
      <c r="P297" s="13"/>
    </row>
    <row r="298">
      <c r="C298" s="24"/>
      <c r="E298" s="13"/>
      <c r="F298" s="13"/>
      <c r="H298" s="24"/>
      <c r="J298" s="13"/>
      <c r="K298" s="13"/>
      <c r="M298" s="24"/>
      <c r="O298" s="13"/>
      <c r="P298" s="13"/>
    </row>
    <row r="299">
      <c r="C299" s="24"/>
      <c r="E299" s="13"/>
      <c r="F299" s="13"/>
      <c r="H299" s="24"/>
      <c r="J299" s="13"/>
      <c r="K299" s="13"/>
      <c r="M299" s="24"/>
      <c r="O299" s="13"/>
      <c r="P299" s="13"/>
    </row>
    <row r="300">
      <c r="C300" s="24"/>
      <c r="E300" s="13"/>
      <c r="F300" s="13"/>
      <c r="H300" s="24"/>
      <c r="J300" s="13"/>
      <c r="K300" s="13"/>
      <c r="M300" s="24"/>
      <c r="O300" s="13"/>
      <c r="P300" s="13"/>
    </row>
    <row r="301">
      <c r="C301" s="24"/>
      <c r="E301" s="13"/>
      <c r="F301" s="13"/>
      <c r="H301" s="24"/>
      <c r="J301" s="13"/>
      <c r="K301" s="13"/>
      <c r="M301" s="24"/>
      <c r="O301" s="13"/>
      <c r="P301" s="13"/>
    </row>
    <row r="302">
      <c r="C302" s="24"/>
      <c r="E302" s="13"/>
      <c r="F302" s="13"/>
      <c r="H302" s="24"/>
      <c r="J302" s="13"/>
      <c r="K302" s="13"/>
      <c r="M302" s="24"/>
      <c r="O302" s="13"/>
      <c r="P302" s="13"/>
    </row>
    <row r="303">
      <c r="C303" s="24"/>
      <c r="E303" s="13"/>
      <c r="F303" s="13"/>
      <c r="H303" s="24"/>
      <c r="J303" s="13"/>
      <c r="K303" s="13"/>
      <c r="M303" s="24"/>
      <c r="O303" s="13"/>
      <c r="P303" s="13"/>
    </row>
    <row r="304">
      <c r="C304" s="24"/>
      <c r="E304" s="13"/>
      <c r="F304" s="13"/>
      <c r="H304" s="24"/>
      <c r="J304" s="13"/>
      <c r="K304" s="13"/>
      <c r="M304" s="24"/>
      <c r="O304" s="13"/>
      <c r="P304" s="13"/>
    </row>
    <row r="305">
      <c r="C305" s="24"/>
      <c r="E305" s="13"/>
      <c r="F305" s="13"/>
      <c r="H305" s="24"/>
      <c r="J305" s="13"/>
      <c r="K305" s="13"/>
      <c r="M305" s="24"/>
      <c r="O305" s="13"/>
      <c r="P305" s="13"/>
    </row>
    <row r="306">
      <c r="C306" s="24"/>
      <c r="E306" s="13"/>
      <c r="F306" s="13"/>
      <c r="H306" s="24"/>
      <c r="J306" s="13"/>
      <c r="K306" s="13"/>
      <c r="M306" s="24"/>
      <c r="O306" s="13"/>
      <c r="P306" s="13"/>
    </row>
    <row r="307">
      <c r="C307" s="24"/>
      <c r="E307" s="13"/>
      <c r="F307" s="13"/>
      <c r="H307" s="24"/>
      <c r="J307" s="13"/>
      <c r="K307" s="13"/>
      <c r="M307" s="24"/>
      <c r="O307" s="13"/>
      <c r="P307" s="13"/>
    </row>
    <row r="308">
      <c r="C308" s="24"/>
      <c r="E308" s="13"/>
      <c r="F308" s="13"/>
      <c r="H308" s="24"/>
      <c r="J308" s="13"/>
      <c r="K308" s="13"/>
      <c r="M308" s="24"/>
      <c r="O308" s="13"/>
      <c r="P308" s="13"/>
    </row>
    <row r="309">
      <c r="C309" s="24"/>
      <c r="E309" s="13"/>
      <c r="F309" s="13"/>
      <c r="H309" s="24"/>
      <c r="J309" s="13"/>
      <c r="K309" s="13"/>
      <c r="M309" s="24"/>
      <c r="O309" s="13"/>
      <c r="P309" s="13"/>
    </row>
    <row r="310">
      <c r="C310" s="24"/>
      <c r="E310" s="13"/>
      <c r="F310" s="13"/>
      <c r="H310" s="24"/>
      <c r="J310" s="13"/>
      <c r="K310" s="13"/>
      <c r="M310" s="24"/>
      <c r="O310" s="13"/>
      <c r="P310" s="13"/>
    </row>
    <row r="311">
      <c r="C311" s="24"/>
      <c r="E311" s="13"/>
      <c r="F311" s="13"/>
      <c r="H311" s="24"/>
      <c r="J311" s="13"/>
      <c r="K311" s="13"/>
      <c r="M311" s="24"/>
      <c r="O311" s="13"/>
      <c r="P311" s="13"/>
    </row>
    <row r="312">
      <c r="C312" s="24"/>
      <c r="E312" s="13"/>
      <c r="F312" s="13"/>
      <c r="H312" s="24"/>
      <c r="J312" s="13"/>
      <c r="K312" s="13"/>
      <c r="M312" s="24"/>
      <c r="O312" s="13"/>
      <c r="P312" s="13"/>
    </row>
    <row r="313">
      <c r="C313" s="24"/>
      <c r="E313" s="13"/>
      <c r="F313" s="13"/>
      <c r="H313" s="24"/>
      <c r="J313" s="13"/>
      <c r="K313" s="13"/>
      <c r="M313" s="24"/>
      <c r="O313" s="13"/>
      <c r="P313" s="13"/>
    </row>
    <row r="314">
      <c r="C314" s="24"/>
      <c r="E314" s="13"/>
      <c r="F314" s="13"/>
      <c r="H314" s="24"/>
      <c r="J314" s="13"/>
      <c r="K314" s="13"/>
      <c r="M314" s="24"/>
      <c r="O314" s="13"/>
      <c r="P314" s="13"/>
    </row>
    <row r="315">
      <c r="C315" s="24"/>
      <c r="E315" s="13"/>
      <c r="F315" s="13"/>
      <c r="H315" s="24"/>
      <c r="J315" s="13"/>
      <c r="K315" s="13"/>
      <c r="M315" s="24"/>
      <c r="O315" s="13"/>
      <c r="P315" s="13"/>
    </row>
    <row r="316">
      <c r="C316" s="24"/>
      <c r="E316" s="13"/>
      <c r="F316" s="13"/>
      <c r="H316" s="24"/>
      <c r="J316" s="13"/>
      <c r="K316" s="13"/>
      <c r="M316" s="24"/>
      <c r="O316" s="13"/>
      <c r="P316" s="13"/>
    </row>
    <row r="317">
      <c r="C317" s="24"/>
      <c r="E317" s="13"/>
      <c r="F317" s="13"/>
      <c r="H317" s="24"/>
      <c r="J317" s="13"/>
      <c r="K317" s="13"/>
      <c r="M317" s="24"/>
      <c r="O317" s="13"/>
      <c r="P317" s="13"/>
    </row>
    <row r="318">
      <c r="C318" s="24"/>
      <c r="E318" s="13"/>
      <c r="F318" s="13"/>
      <c r="H318" s="24"/>
      <c r="J318" s="13"/>
      <c r="K318" s="13"/>
      <c r="M318" s="24"/>
      <c r="O318" s="13"/>
      <c r="P318" s="13"/>
    </row>
    <row r="319">
      <c r="C319" s="24"/>
      <c r="E319" s="13"/>
      <c r="F319" s="13"/>
      <c r="H319" s="24"/>
      <c r="J319" s="13"/>
      <c r="K319" s="13"/>
      <c r="M319" s="24"/>
      <c r="O319" s="13"/>
      <c r="P319" s="13"/>
    </row>
    <row r="320">
      <c r="C320" s="24"/>
      <c r="E320" s="13"/>
      <c r="F320" s="13"/>
      <c r="H320" s="24"/>
      <c r="J320" s="13"/>
      <c r="K320" s="13"/>
      <c r="M320" s="24"/>
      <c r="O320" s="13"/>
      <c r="P320" s="13"/>
    </row>
    <row r="321">
      <c r="C321" s="24"/>
      <c r="E321" s="13"/>
      <c r="F321" s="13"/>
      <c r="H321" s="24"/>
      <c r="J321" s="13"/>
      <c r="K321" s="13"/>
      <c r="M321" s="24"/>
      <c r="O321" s="13"/>
      <c r="P321" s="13"/>
    </row>
    <row r="322">
      <c r="C322" s="24"/>
      <c r="E322" s="13"/>
      <c r="F322" s="13"/>
      <c r="H322" s="24"/>
      <c r="J322" s="13"/>
      <c r="K322" s="13"/>
      <c r="M322" s="24"/>
      <c r="O322" s="13"/>
      <c r="P322" s="13"/>
    </row>
    <row r="323">
      <c r="C323" s="24"/>
      <c r="E323" s="13"/>
      <c r="F323" s="13"/>
      <c r="H323" s="24"/>
      <c r="J323" s="13"/>
      <c r="K323" s="13"/>
      <c r="M323" s="24"/>
      <c r="O323" s="13"/>
      <c r="P323" s="13"/>
    </row>
    <row r="324">
      <c r="C324" s="24"/>
      <c r="E324" s="13"/>
      <c r="F324" s="13"/>
      <c r="H324" s="24"/>
      <c r="J324" s="13"/>
      <c r="K324" s="13"/>
      <c r="M324" s="24"/>
      <c r="O324" s="13"/>
      <c r="P324" s="13"/>
    </row>
    <row r="325">
      <c r="C325" s="24"/>
      <c r="E325" s="13"/>
      <c r="F325" s="13"/>
      <c r="H325" s="24"/>
      <c r="J325" s="13"/>
      <c r="K325" s="13"/>
      <c r="M325" s="24"/>
      <c r="O325" s="13"/>
      <c r="P325" s="13"/>
    </row>
    <row r="326">
      <c r="C326" s="24"/>
      <c r="E326" s="13"/>
      <c r="F326" s="13"/>
      <c r="H326" s="24"/>
      <c r="J326" s="13"/>
      <c r="K326" s="13"/>
      <c r="M326" s="24"/>
      <c r="O326" s="13"/>
      <c r="P326" s="13"/>
    </row>
    <row r="327">
      <c r="C327" s="24"/>
      <c r="E327" s="13"/>
      <c r="F327" s="13"/>
      <c r="H327" s="24"/>
      <c r="J327" s="13"/>
      <c r="K327" s="13"/>
      <c r="M327" s="24"/>
      <c r="O327" s="13"/>
      <c r="P327" s="13"/>
    </row>
    <row r="328">
      <c r="C328" s="24"/>
      <c r="E328" s="13"/>
      <c r="F328" s="13"/>
      <c r="H328" s="24"/>
      <c r="J328" s="13"/>
      <c r="K328" s="13"/>
      <c r="M328" s="24"/>
      <c r="O328" s="13"/>
      <c r="P328" s="13"/>
    </row>
    <row r="329">
      <c r="C329" s="24"/>
      <c r="E329" s="13"/>
      <c r="F329" s="13"/>
      <c r="H329" s="24"/>
      <c r="J329" s="13"/>
      <c r="K329" s="13"/>
      <c r="M329" s="24"/>
      <c r="O329" s="13"/>
      <c r="P329" s="13"/>
    </row>
    <row r="330">
      <c r="C330" s="24"/>
      <c r="E330" s="13"/>
      <c r="F330" s="13"/>
      <c r="H330" s="24"/>
      <c r="J330" s="13"/>
      <c r="K330" s="13"/>
      <c r="M330" s="24"/>
      <c r="O330" s="13"/>
      <c r="P330" s="13"/>
    </row>
    <row r="331">
      <c r="C331" s="24"/>
      <c r="E331" s="13"/>
      <c r="F331" s="13"/>
      <c r="H331" s="24"/>
      <c r="J331" s="13"/>
      <c r="K331" s="13"/>
      <c r="M331" s="24"/>
      <c r="O331" s="13"/>
      <c r="P331" s="13"/>
    </row>
    <row r="332">
      <c r="C332" s="24"/>
      <c r="E332" s="13"/>
      <c r="F332" s="13"/>
      <c r="H332" s="24"/>
      <c r="J332" s="13"/>
      <c r="K332" s="13"/>
      <c r="M332" s="24"/>
      <c r="O332" s="13"/>
      <c r="P332" s="13"/>
    </row>
    <row r="333">
      <c r="C333" s="24"/>
      <c r="E333" s="13"/>
      <c r="F333" s="13"/>
      <c r="H333" s="24"/>
      <c r="J333" s="13"/>
      <c r="K333" s="13"/>
      <c r="M333" s="24"/>
      <c r="O333" s="13"/>
      <c r="P333" s="13"/>
    </row>
    <row r="334">
      <c r="C334" s="24"/>
      <c r="E334" s="13"/>
      <c r="F334" s="13"/>
      <c r="H334" s="24"/>
      <c r="J334" s="13"/>
      <c r="K334" s="13"/>
      <c r="M334" s="24"/>
      <c r="O334" s="13"/>
      <c r="P334" s="13"/>
    </row>
    <row r="335">
      <c r="C335" s="24"/>
      <c r="E335" s="13"/>
      <c r="F335" s="13"/>
      <c r="H335" s="24"/>
      <c r="J335" s="13"/>
      <c r="K335" s="13"/>
      <c r="M335" s="24"/>
      <c r="O335" s="13"/>
      <c r="P335" s="13"/>
    </row>
    <row r="336">
      <c r="C336" s="24"/>
      <c r="E336" s="13"/>
      <c r="F336" s="13"/>
      <c r="H336" s="24"/>
      <c r="J336" s="13"/>
      <c r="K336" s="13"/>
      <c r="M336" s="24"/>
      <c r="O336" s="13"/>
      <c r="P336" s="13"/>
    </row>
    <row r="337">
      <c r="C337" s="24"/>
      <c r="E337" s="13"/>
      <c r="F337" s="13"/>
      <c r="H337" s="24"/>
      <c r="J337" s="13"/>
      <c r="K337" s="13"/>
      <c r="M337" s="24"/>
      <c r="O337" s="13"/>
      <c r="P337" s="13"/>
    </row>
    <row r="338">
      <c r="C338" s="24"/>
      <c r="E338" s="13"/>
      <c r="F338" s="13"/>
      <c r="H338" s="24"/>
      <c r="J338" s="13"/>
      <c r="K338" s="13"/>
      <c r="M338" s="24"/>
      <c r="O338" s="13"/>
      <c r="P338" s="13"/>
    </row>
    <row r="339">
      <c r="C339" s="24"/>
      <c r="E339" s="13"/>
      <c r="F339" s="13"/>
      <c r="H339" s="24"/>
      <c r="J339" s="13"/>
      <c r="K339" s="13"/>
      <c r="M339" s="24"/>
      <c r="O339" s="13"/>
      <c r="P339" s="13"/>
    </row>
    <row r="340">
      <c r="C340" s="24"/>
      <c r="E340" s="13"/>
      <c r="F340" s="13"/>
      <c r="H340" s="24"/>
      <c r="J340" s="13"/>
      <c r="K340" s="13"/>
      <c r="M340" s="24"/>
      <c r="O340" s="13"/>
      <c r="P340" s="13"/>
    </row>
    <row r="341">
      <c r="C341" s="24"/>
      <c r="E341" s="13"/>
      <c r="F341" s="13"/>
      <c r="H341" s="24"/>
      <c r="J341" s="13"/>
      <c r="K341" s="13"/>
      <c r="M341" s="24"/>
      <c r="O341" s="13"/>
      <c r="P341" s="13"/>
    </row>
    <row r="342">
      <c r="C342" s="24"/>
      <c r="E342" s="13"/>
      <c r="F342" s="13"/>
      <c r="H342" s="24"/>
      <c r="J342" s="13"/>
      <c r="K342" s="13"/>
      <c r="M342" s="24"/>
      <c r="O342" s="13"/>
      <c r="P342" s="13"/>
    </row>
    <row r="343">
      <c r="C343" s="24"/>
      <c r="E343" s="13"/>
      <c r="F343" s="13"/>
      <c r="H343" s="24"/>
      <c r="J343" s="13"/>
      <c r="K343" s="13"/>
      <c r="M343" s="24"/>
      <c r="O343" s="13"/>
      <c r="P343" s="13"/>
    </row>
    <row r="344">
      <c r="C344" s="24"/>
      <c r="E344" s="13"/>
      <c r="F344" s="13"/>
      <c r="H344" s="24"/>
      <c r="J344" s="13"/>
      <c r="K344" s="13"/>
      <c r="M344" s="24"/>
      <c r="O344" s="13"/>
      <c r="P344" s="13"/>
    </row>
    <row r="345">
      <c r="C345" s="24"/>
      <c r="E345" s="13"/>
      <c r="F345" s="13"/>
      <c r="H345" s="24"/>
      <c r="J345" s="13"/>
      <c r="K345" s="13"/>
      <c r="M345" s="24"/>
      <c r="O345" s="13"/>
      <c r="P345" s="13"/>
    </row>
    <row r="346">
      <c r="C346" s="24"/>
      <c r="E346" s="13"/>
      <c r="F346" s="13"/>
      <c r="H346" s="24"/>
      <c r="J346" s="13"/>
      <c r="K346" s="13"/>
      <c r="M346" s="24"/>
      <c r="O346" s="13"/>
      <c r="P346" s="13"/>
    </row>
    <row r="347">
      <c r="C347" s="24"/>
      <c r="E347" s="13"/>
      <c r="F347" s="13"/>
      <c r="H347" s="24"/>
      <c r="J347" s="13"/>
      <c r="K347" s="13"/>
      <c r="M347" s="24"/>
      <c r="O347" s="13"/>
      <c r="P347" s="13"/>
    </row>
    <row r="348">
      <c r="C348" s="24"/>
      <c r="E348" s="13"/>
      <c r="F348" s="13"/>
      <c r="H348" s="24"/>
      <c r="J348" s="13"/>
      <c r="K348" s="13"/>
      <c r="M348" s="24"/>
      <c r="O348" s="13"/>
      <c r="P348" s="13"/>
    </row>
    <row r="349">
      <c r="C349" s="24"/>
      <c r="E349" s="13"/>
      <c r="F349" s="13"/>
      <c r="H349" s="24"/>
      <c r="J349" s="13"/>
      <c r="K349" s="13"/>
      <c r="M349" s="24"/>
      <c r="O349" s="13"/>
      <c r="P349" s="13"/>
    </row>
    <row r="350">
      <c r="C350" s="24"/>
      <c r="E350" s="13"/>
      <c r="F350" s="13"/>
      <c r="H350" s="24"/>
      <c r="J350" s="13"/>
      <c r="K350" s="13"/>
      <c r="M350" s="24"/>
      <c r="O350" s="13"/>
      <c r="P350" s="13"/>
    </row>
    <row r="351">
      <c r="C351" s="24"/>
      <c r="E351" s="13"/>
      <c r="F351" s="13"/>
      <c r="H351" s="24"/>
      <c r="J351" s="13"/>
      <c r="K351" s="13"/>
      <c r="M351" s="24"/>
      <c r="O351" s="13"/>
      <c r="P351" s="13"/>
    </row>
    <row r="352">
      <c r="C352" s="24"/>
      <c r="E352" s="13"/>
      <c r="F352" s="13"/>
      <c r="H352" s="24"/>
      <c r="J352" s="13"/>
      <c r="K352" s="13"/>
      <c r="M352" s="24"/>
      <c r="O352" s="13"/>
      <c r="P352" s="13"/>
    </row>
    <row r="353">
      <c r="C353" s="24"/>
      <c r="E353" s="13"/>
      <c r="F353" s="13"/>
      <c r="H353" s="24"/>
      <c r="J353" s="13"/>
      <c r="K353" s="13"/>
      <c r="M353" s="24"/>
      <c r="O353" s="13"/>
      <c r="P353" s="13"/>
    </row>
    <row r="354">
      <c r="C354" s="24"/>
      <c r="E354" s="13"/>
      <c r="F354" s="13"/>
      <c r="H354" s="24"/>
      <c r="J354" s="13"/>
      <c r="K354" s="13"/>
      <c r="M354" s="24"/>
      <c r="O354" s="13"/>
      <c r="P354" s="13"/>
    </row>
    <row r="355">
      <c r="C355" s="24"/>
      <c r="E355" s="13"/>
      <c r="F355" s="13"/>
      <c r="H355" s="24"/>
      <c r="J355" s="13"/>
      <c r="K355" s="13"/>
      <c r="M355" s="24"/>
      <c r="O355" s="13"/>
      <c r="P355" s="13"/>
    </row>
    <row r="356">
      <c r="C356" s="24"/>
      <c r="E356" s="13"/>
      <c r="F356" s="13"/>
      <c r="H356" s="24"/>
      <c r="J356" s="13"/>
      <c r="K356" s="13"/>
      <c r="M356" s="24"/>
      <c r="O356" s="13"/>
      <c r="P356" s="13"/>
    </row>
    <row r="357">
      <c r="C357" s="24"/>
      <c r="E357" s="13"/>
      <c r="F357" s="13"/>
      <c r="H357" s="24"/>
      <c r="J357" s="13"/>
      <c r="K357" s="13"/>
      <c r="M357" s="24"/>
      <c r="O357" s="13"/>
      <c r="P357" s="13"/>
    </row>
    <row r="358">
      <c r="C358" s="24"/>
      <c r="E358" s="13"/>
      <c r="F358" s="13"/>
      <c r="H358" s="24"/>
      <c r="J358" s="13"/>
      <c r="K358" s="13"/>
      <c r="M358" s="24"/>
      <c r="O358" s="13"/>
      <c r="P358" s="13"/>
    </row>
    <row r="359">
      <c r="C359" s="24"/>
      <c r="E359" s="13"/>
      <c r="F359" s="13"/>
      <c r="H359" s="24"/>
      <c r="J359" s="13"/>
      <c r="K359" s="13"/>
      <c r="M359" s="24"/>
      <c r="O359" s="13"/>
      <c r="P359" s="13"/>
    </row>
    <row r="360">
      <c r="C360" s="24"/>
      <c r="E360" s="13"/>
      <c r="F360" s="13"/>
      <c r="H360" s="24"/>
      <c r="J360" s="13"/>
      <c r="K360" s="13"/>
      <c r="M360" s="24"/>
      <c r="O360" s="13"/>
      <c r="P360" s="13"/>
    </row>
    <row r="361">
      <c r="C361" s="24"/>
      <c r="E361" s="13"/>
      <c r="F361" s="13"/>
      <c r="H361" s="24"/>
      <c r="J361" s="13"/>
      <c r="K361" s="13"/>
      <c r="M361" s="24"/>
      <c r="O361" s="13"/>
      <c r="P361" s="13"/>
    </row>
    <row r="362">
      <c r="C362" s="24"/>
      <c r="E362" s="13"/>
      <c r="F362" s="13"/>
      <c r="H362" s="24"/>
      <c r="J362" s="13"/>
      <c r="K362" s="13"/>
      <c r="M362" s="24"/>
      <c r="O362" s="13"/>
      <c r="P362" s="13"/>
    </row>
    <row r="363">
      <c r="C363" s="24"/>
      <c r="E363" s="13"/>
      <c r="F363" s="13"/>
      <c r="H363" s="24"/>
      <c r="J363" s="13"/>
      <c r="K363" s="13"/>
      <c r="M363" s="24"/>
      <c r="O363" s="13"/>
      <c r="P363" s="13"/>
    </row>
    <row r="364">
      <c r="C364" s="24"/>
      <c r="E364" s="13"/>
      <c r="F364" s="13"/>
      <c r="H364" s="24"/>
      <c r="J364" s="13"/>
      <c r="K364" s="13"/>
      <c r="M364" s="24"/>
      <c r="O364" s="13"/>
      <c r="P364" s="13"/>
    </row>
    <row r="365">
      <c r="C365" s="24"/>
      <c r="E365" s="13"/>
      <c r="F365" s="13"/>
      <c r="H365" s="24"/>
      <c r="J365" s="13"/>
      <c r="K365" s="13"/>
      <c r="M365" s="24"/>
      <c r="O365" s="13"/>
      <c r="P365" s="13"/>
    </row>
    <row r="366">
      <c r="C366" s="24"/>
      <c r="E366" s="13"/>
      <c r="F366" s="13"/>
      <c r="H366" s="24"/>
      <c r="J366" s="13"/>
      <c r="K366" s="13"/>
      <c r="M366" s="24"/>
      <c r="O366" s="13"/>
      <c r="P366" s="13"/>
    </row>
    <row r="367">
      <c r="C367" s="24"/>
      <c r="E367" s="13"/>
      <c r="F367" s="13"/>
      <c r="H367" s="24"/>
      <c r="J367" s="13"/>
      <c r="K367" s="13"/>
      <c r="M367" s="24"/>
      <c r="O367" s="13"/>
      <c r="P367" s="13"/>
    </row>
    <row r="368">
      <c r="C368" s="24"/>
      <c r="E368" s="13"/>
      <c r="F368" s="13"/>
      <c r="H368" s="24"/>
      <c r="J368" s="13"/>
      <c r="K368" s="13"/>
      <c r="M368" s="24"/>
      <c r="O368" s="13"/>
      <c r="P368" s="13"/>
    </row>
    <row r="369">
      <c r="C369" s="24"/>
      <c r="E369" s="13"/>
      <c r="F369" s="13"/>
      <c r="H369" s="24"/>
      <c r="J369" s="13"/>
      <c r="K369" s="13"/>
      <c r="M369" s="24"/>
      <c r="O369" s="13"/>
      <c r="P369" s="13"/>
    </row>
    <row r="370">
      <c r="C370" s="24"/>
      <c r="E370" s="13"/>
      <c r="F370" s="13"/>
      <c r="H370" s="24"/>
      <c r="J370" s="13"/>
      <c r="K370" s="13"/>
      <c r="M370" s="24"/>
      <c r="O370" s="13"/>
      <c r="P370" s="13"/>
    </row>
    <row r="371">
      <c r="C371" s="24"/>
      <c r="E371" s="13"/>
      <c r="F371" s="13"/>
      <c r="H371" s="24"/>
      <c r="J371" s="13"/>
      <c r="K371" s="13"/>
      <c r="M371" s="24"/>
      <c r="O371" s="13"/>
      <c r="P371" s="13"/>
    </row>
    <row r="372">
      <c r="C372" s="24"/>
      <c r="E372" s="13"/>
      <c r="F372" s="13"/>
      <c r="H372" s="24"/>
      <c r="J372" s="13"/>
      <c r="K372" s="13"/>
      <c r="M372" s="24"/>
      <c r="O372" s="13"/>
      <c r="P372" s="13"/>
    </row>
    <row r="373">
      <c r="C373" s="24"/>
      <c r="E373" s="13"/>
      <c r="F373" s="13"/>
      <c r="H373" s="24"/>
      <c r="J373" s="13"/>
      <c r="K373" s="13"/>
      <c r="M373" s="24"/>
      <c r="O373" s="13"/>
      <c r="P373" s="13"/>
    </row>
    <row r="374">
      <c r="C374" s="24"/>
      <c r="E374" s="13"/>
      <c r="F374" s="13"/>
      <c r="H374" s="24"/>
      <c r="J374" s="13"/>
      <c r="K374" s="13"/>
      <c r="M374" s="24"/>
      <c r="O374" s="13"/>
      <c r="P374" s="13"/>
    </row>
    <row r="375">
      <c r="C375" s="24"/>
      <c r="E375" s="13"/>
      <c r="F375" s="13"/>
      <c r="H375" s="24"/>
      <c r="J375" s="13"/>
      <c r="K375" s="13"/>
      <c r="M375" s="24"/>
      <c r="O375" s="13"/>
      <c r="P375" s="13"/>
    </row>
    <row r="376">
      <c r="C376" s="24"/>
      <c r="E376" s="13"/>
      <c r="F376" s="13"/>
      <c r="H376" s="24"/>
      <c r="J376" s="13"/>
      <c r="K376" s="13"/>
      <c r="M376" s="24"/>
      <c r="O376" s="13"/>
      <c r="P376" s="13"/>
    </row>
    <row r="377">
      <c r="C377" s="24"/>
      <c r="E377" s="13"/>
      <c r="F377" s="13"/>
      <c r="H377" s="24"/>
      <c r="J377" s="13"/>
      <c r="K377" s="13"/>
      <c r="M377" s="24"/>
      <c r="O377" s="13"/>
      <c r="P377" s="13"/>
    </row>
    <row r="378">
      <c r="C378" s="24"/>
      <c r="E378" s="13"/>
      <c r="F378" s="13"/>
      <c r="H378" s="24"/>
      <c r="J378" s="13"/>
      <c r="K378" s="13"/>
      <c r="M378" s="24"/>
      <c r="O378" s="13"/>
      <c r="P378" s="13"/>
    </row>
    <row r="379">
      <c r="C379" s="24"/>
      <c r="E379" s="13"/>
      <c r="F379" s="13"/>
      <c r="H379" s="24"/>
      <c r="J379" s="13"/>
      <c r="K379" s="13"/>
      <c r="M379" s="24"/>
      <c r="O379" s="13"/>
      <c r="P379" s="13"/>
    </row>
    <row r="380">
      <c r="C380" s="24"/>
      <c r="E380" s="13"/>
      <c r="F380" s="13"/>
      <c r="H380" s="24"/>
      <c r="J380" s="13"/>
      <c r="K380" s="13"/>
      <c r="M380" s="24"/>
      <c r="O380" s="13"/>
      <c r="P380" s="13"/>
    </row>
    <row r="381">
      <c r="C381" s="24"/>
      <c r="E381" s="13"/>
      <c r="F381" s="13"/>
      <c r="H381" s="24"/>
      <c r="J381" s="13"/>
      <c r="K381" s="13"/>
      <c r="M381" s="24"/>
      <c r="O381" s="13"/>
      <c r="P381" s="13"/>
    </row>
    <row r="382">
      <c r="C382" s="24"/>
      <c r="E382" s="13"/>
      <c r="F382" s="13"/>
      <c r="H382" s="24"/>
      <c r="J382" s="13"/>
      <c r="K382" s="13"/>
      <c r="M382" s="24"/>
      <c r="O382" s="13"/>
      <c r="P382" s="13"/>
    </row>
    <row r="383">
      <c r="C383" s="24"/>
      <c r="E383" s="13"/>
      <c r="F383" s="13"/>
      <c r="H383" s="24"/>
      <c r="J383" s="13"/>
      <c r="K383" s="13"/>
      <c r="M383" s="24"/>
      <c r="O383" s="13"/>
      <c r="P383" s="13"/>
    </row>
    <row r="384">
      <c r="C384" s="24"/>
      <c r="E384" s="13"/>
      <c r="F384" s="13"/>
      <c r="H384" s="24"/>
      <c r="J384" s="13"/>
      <c r="K384" s="13"/>
      <c r="M384" s="24"/>
      <c r="O384" s="13"/>
      <c r="P384" s="13"/>
    </row>
    <row r="385">
      <c r="C385" s="24"/>
      <c r="E385" s="13"/>
      <c r="F385" s="13"/>
      <c r="H385" s="24"/>
      <c r="J385" s="13"/>
      <c r="K385" s="13"/>
      <c r="M385" s="24"/>
      <c r="O385" s="13"/>
      <c r="P385" s="13"/>
    </row>
    <row r="386">
      <c r="C386" s="24"/>
      <c r="E386" s="13"/>
      <c r="F386" s="13"/>
      <c r="H386" s="24"/>
      <c r="J386" s="13"/>
      <c r="K386" s="13"/>
      <c r="M386" s="24"/>
      <c r="O386" s="13"/>
      <c r="P386" s="13"/>
    </row>
    <row r="387">
      <c r="C387" s="24"/>
      <c r="E387" s="13"/>
      <c r="F387" s="13"/>
      <c r="H387" s="24"/>
      <c r="J387" s="13"/>
      <c r="K387" s="13"/>
      <c r="M387" s="24"/>
      <c r="O387" s="13"/>
      <c r="P387" s="13"/>
    </row>
    <row r="388">
      <c r="C388" s="24"/>
      <c r="E388" s="13"/>
      <c r="F388" s="13"/>
      <c r="H388" s="24"/>
      <c r="J388" s="13"/>
      <c r="K388" s="13"/>
      <c r="M388" s="24"/>
      <c r="O388" s="13"/>
      <c r="P388" s="13"/>
    </row>
    <row r="389">
      <c r="C389" s="24"/>
      <c r="E389" s="13"/>
      <c r="F389" s="13"/>
      <c r="H389" s="24"/>
      <c r="J389" s="13"/>
      <c r="K389" s="13"/>
      <c r="M389" s="24"/>
      <c r="O389" s="13"/>
      <c r="P389" s="13"/>
    </row>
    <row r="390">
      <c r="C390" s="24"/>
      <c r="E390" s="13"/>
      <c r="F390" s="13"/>
      <c r="H390" s="24"/>
      <c r="J390" s="13"/>
      <c r="K390" s="13"/>
      <c r="M390" s="24"/>
      <c r="O390" s="13"/>
      <c r="P390" s="13"/>
    </row>
    <row r="391">
      <c r="C391" s="24"/>
      <c r="E391" s="13"/>
      <c r="F391" s="13"/>
      <c r="H391" s="24"/>
      <c r="J391" s="13"/>
      <c r="K391" s="13"/>
      <c r="M391" s="24"/>
      <c r="O391" s="13"/>
      <c r="P391" s="13"/>
    </row>
    <row r="392">
      <c r="C392" s="24"/>
      <c r="E392" s="13"/>
      <c r="F392" s="13"/>
      <c r="H392" s="24"/>
      <c r="J392" s="13"/>
      <c r="K392" s="13"/>
      <c r="M392" s="24"/>
      <c r="O392" s="13"/>
      <c r="P392" s="13"/>
    </row>
    <row r="393">
      <c r="C393" s="24"/>
      <c r="E393" s="13"/>
      <c r="F393" s="13"/>
      <c r="H393" s="24"/>
      <c r="J393" s="13"/>
      <c r="K393" s="13"/>
      <c r="M393" s="24"/>
      <c r="O393" s="13"/>
      <c r="P393" s="13"/>
    </row>
    <row r="394">
      <c r="C394" s="24"/>
      <c r="E394" s="13"/>
      <c r="F394" s="13"/>
      <c r="H394" s="24"/>
      <c r="J394" s="13"/>
      <c r="K394" s="13"/>
      <c r="M394" s="24"/>
      <c r="O394" s="13"/>
      <c r="P394" s="13"/>
    </row>
    <row r="395">
      <c r="C395" s="24"/>
      <c r="E395" s="13"/>
      <c r="F395" s="13"/>
      <c r="H395" s="24"/>
      <c r="J395" s="13"/>
      <c r="K395" s="13"/>
      <c r="M395" s="24"/>
      <c r="O395" s="13"/>
      <c r="P395" s="13"/>
    </row>
    <row r="396">
      <c r="C396" s="24"/>
      <c r="E396" s="13"/>
      <c r="F396" s="13"/>
      <c r="H396" s="24"/>
      <c r="J396" s="13"/>
      <c r="K396" s="13"/>
      <c r="M396" s="24"/>
      <c r="O396" s="13"/>
      <c r="P396" s="13"/>
    </row>
    <row r="397">
      <c r="C397" s="24"/>
      <c r="E397" s="13"/>
      <c r="F397" s="13"/>
      <c r="H397" s="24"/>
      <c r="J397" s="13"/>
      <c r="K397" s="13"/>
      <c r="M397" s="24"/>
      <c r="O397" s="13"/>
      <c r="P397" s="13"/>
    </row>
    <row r="398">
      <c r="C398" s="24"/>
      <c r="E398" s="13"/>
      <c r="F398" s="13"/>
      <c r="H398" s="24"/>
      <c r="J398" s="13"/>
      <c r="K398" s="13"/>
      <c r="M398" s="24"/>
      <c r="O398" s="13"/>
      <c r="P398" s="13"/>
    </row>
    <row r="399">
      <c r="C399" s="24"/>
      <c r="E399" s="13"/>
      <c r="F399" s="13"/>
      <c r="H399" s="24"/>
      <c r="J399" s="13"/>
      <c r="K399" s="13"/>
      <c r="M399" s="24"/>
      <c r="O399" s="13"/>
      <c r="P399" s="13"/>
    </row>
    <row r="400">
      <c r="C400" s="24"/>
      <c r="E400" s="13"/>
      <c r="F400" s="13"/>
      <c r="H400" s="24"/>
      <c r="J400" s="13"/>
      <c r="K400" s="13"/>
      <c r="M400" s="24"/>
      <c r="O400" s="13"/>
      <c r="P400" s="13"/>
    </row>
    <row r="401">
      <c r="C401" s="24"/>
      <c r="E401" s="13"/>
      <c r="F401" s="13"/>
      <c r="H401" s="24"/>
      <c r="J401" s="13"/>
      <c r="K401" s="13"/>
      <c r="M401" s="24"/>
      <c r="O401" s="13"/>
      <c r="P401" s="13"/>
    </row>
    <row r="402">
      <c r="C402" s="24"/>
      <c r="E402" s="13"/>
      <c r="F402" s="13"/>
      <c r="H402" s="24"/>
      <c r="J402" s="13"/>
      <c r="K402" s="13"/>
      <c r="M402" s="24"/>
      <c r="O402" s="13"/>
      <c r="P402" s="13"/>
    </row>
    <row r="403">
      <c r="C403" s="24"/>
      <c r="E403" s="13"/>
      <c r="F403" s="13"/>
      <c r="H403" s="24"/>
      <c r="J403" s="13"/>
      <c r="K403" s="13"/>
      <c r="M403" s="24"/>
      <c r="O403" s="13"/>
      <c r="P403" s="13"/>
    </row>
    <row r="404">
      <c r="C404" s="24"/>
      <c r="E404" s="13"/>
      <c r="F404" s="13"/>
      <c r="H404" s="24"/>
      <c r="J404" s="13"/>
      <c r="K404" s="13"/>
      <c r="M404" s="24"/>
      <c r="O404" s="13"/>
      <c r="P404" s="13"/>
    </row>
    <row r="405">
      <c r="C405" s="24"/>
      <c r="E405" s="13"/>
      <c r="F405" s="13"/>
      <c r="H405" s="24"/>
      <c r="J405" s="13"/>
      <c r="K405" s="13"/>
      <c r="M405" s="24"/>
      <c r="O405" s="13"/>
      <c r="P405" s="13"/>
    </row>
    <row r="406">
      <c r="C406" s="24"/>
      <c r="E406" s="13"/>
      <c r="F406" s="13"/>
      <c r="H406" s="24"/>
      <c r="J406" s="13"/>
      <c r="K406" s="13"/>
      <c r="M406" s="24"/>
      <c r="O406" s="13"/>
      <c r="P406" s="13"/>
    </row>
    <row r="407">
      <c r="C407" s="24"/>
      <c r="E407" s="13"/>
      <c r="F407" s="13"/>
      <c r="H407" s="24"/>
      <c r="J407" s="13"/>
      <c r="K407" s="13"/>
      <c r="M407" s="24"/>
      <c r="O407" s="13"/>
      <c r="P407" s="13"/>
    </row>
    <row r="408">
      <c r="C408" s="24"/>
      <c r="E408" s="13"/>
      <c r="F408" s="13"/>
      <c r="H408" s="24"/>
      <c r="J408" s="13"/>
      <c r="K408" s="13"/>
      <c r="M408" s="24"/>
      <c r="O408" s="13"/>
      <c r="P408" s="13"/>
    </row>
    <row r="409">
      <c r="C409" s="24"/>
      <c r="E409" s="13"/>
      <c r="F409" s="13"/>
      <c r="H409" s="24"/>
      <c r="J409" s="13"/>
      <c r="K409" s="13"/>
      <c r="M409" s="24"/>
      <c r="O409" s="13"/>
      <c r="P409" s="13"/>
    </row>
    <row r="410">
      <c r="C410" s="24"/>
      <c r="E410" s="13"/>
      <c r="F410" s="13"/>
      <c r="H410" s="24"/>
      <c r="J410" s="13"/>
      <c r="K410" s="13"/>
      <c r="M410" s="24"/>
      <c r="O410" s="13"/>
      <c r="P410" s="13"/>
    </row>
    <row r="411">
      <c r="C411" s="24"/>
      <c r="E411" s="13"/>
      <c r="F411" s="13"/>
      <c r="H411" s="24"/>
      <c r="J411" s="13"/>
      <c r="K411" s="13"/>
      <c r="M411" s="24"/>
      <c r="O411" s="13"/>
      <c r="P411" s="13"/>
    </row>
    <row r="412">
      <c r="C412" s="24"/>
      <c r="E412" s="13"/>
      <c r="F412" s="13"/>
      <c r="H412" s="24"/>
      <c r="J412" s="13"/>
      <c r="K412" s="13"/>
      <c r="M412" s="24"/>
      <c r="O412" s="13"/>
      <c r="P412" s="13"/>
    </row>
    <row r="413">
      <c r="C413" s="24"/>
      <c r="E413" s="13"/>
      <c r="F413" s="13"/>
      <c r="H413" s="24"/>
      <c r="J413" s="13"/>
      <c r="K413" s="13"/>
      <c r="M413" s="24"/>
      <c r="O413" s="13"/>
      <c r="P413" s="13"/>
    </row>
    <row r="414">
      <c r="C414" s="24"/>
      <c r="E414" s="13"/>
      <c r="F414" s="13"/>
      <c r="H414" s="24"/>
      <c r="J414" s="13"/>
      <c r="K414" s="13"/>
      <c r="M414" s="24"/>
      <c r="O414" s="13"/>
      <c r="P414" s="13"/>
    </row>
    <row r="415">
      <c r="C415" s="24"/>
      <c r="E415" s="13"/>
      <c r="F415" s="13"/>
      <c r="H415" s="24"/>
      <c r="J415" s="13"/>
      <c r="K415" s="13"/>
      <c r="M415" s="24"/>
      <c r="O415" s="13"/>
      <c r="P415" s="13"/>
    </row>
    <row r="416">
      <c r="C416" s="24"/>
      <c r="E416" s="13"/>
      <c r="F416" s="13"/>
      <c r="H416" s="24"/>
      <c r="J416" s="13"/>
      <c r="K416" s="13"/>
      <c r="M416" s="24"/>
      <c r="O416" s="13"/>
      <c r="P416" s="13"/>
    </row>
    <row r="417">
      <c r="C417" s="24"/>
      <c r="E417" s="13"/>
      <c r="F417" s="13"/>
      <c r="H417" s="24"/>
      <c r="J417" s="13"/>
      <c r="K417" s="13"/>
      <c r="M417" s="24"/>
      <c r="O417" s="13"/>
      <c r="P417" s="13"/>
    </row>
    <row r="418">
      <c r="C418" s="24"/>
      <c r="E418" s="13"/>
      <c r="F418" s="13"/>
      <c r="H418" s="24"/>
      <c r="J418" s="13"/>
      <c r="K418" s="13"/>
      <c r="M418" s="24"/>
      <c r="O418" s="13"/>
      <c r="P418" s="13"/>
    </row>
    <row r="419">
      <c r="C419" s="24"/>
      <c r="E419" s="13"/>
      <c r="F419" s="13"/>
      <c r="H419" s="24"/>
      <c r="J419" s="13"/>
      <c r="K419" s="13"/>
      <c r="M419" s="24"/>
      <c r="O419" s="13"/>
      <c r="P419" s="13"/>
    </row>
    <row r="420">
      <c r="C420" s="24"/>
      <c r="E420" s="13"/>
      <c r="F420" s="13"/>
      <c r="H420" s="24"/>
      <c r="J420" s="13"/>
      <c r="K420" s="13"/>
      <c r="M420" s="24"/>
      <c r="O420" s="13"/>
      <c r="P420" s="13"/>
    </row>
    <row r="421">
      <c r="C421" s="24"/>
      <c r="E421" s="13"/>
      <c r="F421" s="13"/>
      <c r="H421" s="24"/>
      <c r="J421" s="13"/>
      <c r="K421" s="13"/>
      <c r="M421" s="24"/>
      <c r="O421" s="13"/>
      <c r="P421" s="13"/>
    </row>
    <row r="422">
      <c r="C422" s="24"/>
      <c r="E422" s="13"/>
      <c r="F422" s="13"/>
      <c r="H422" s="24"/>
      <c r="J422" s="13"/>
      <c r="K422" s="13"/>
      <c r="M422" s="24"/>
      <c r="O422" s="13"/>
      <c r="P422" s="13"/>
    </row>
    <row r="423">
      <c r="C423" s="24"/>
      <c r="E423" s="13"/>
      <c r="F423" s="13"/>
      <c r="H423" s="24"/>
      <c r="J423" s="13"/>
      <c r="K423" s="13"/>
      <c r="M423" s="24"/>
      <c r="O423" s="13"/>
      <c r="P423" s="13"/>
    </row>
    <row r="424">
      <c r="C424" s="24"/>
      <c r="E424" s="13"/>
      <c r="F424" s="13"/>
      <c r="H424" s="24"/>
      <c r="J424" s="13"/>
      <c r="K424" s="13"/>
      <c r="M424" s="24"/>
      <c r="O424" s="13"/>
      <c r="P424" s="13"/>
    </row>
    <row r="425">
      <c r="C425" s="24"/>
      <c r="E425" s="13"/>
      <c r="F425" s="13"/>
      <c r="H425" s="24"/>
      <c r="J425" s="13"/>
      <c r="K425" s="13"/>
      <c r="M425" s="24"/>
      <c r="O425" s="13"/>
      <c r="P425" s="13"/>
    </row>
    <row r="426">
      <c r="C426" s="24"/>
      <c r="E426" s="13"/>
      <c r="F426" s="13"/>
      <c r="H426" s="24"/>
      <c r="J426" s="13"/>
      <c r="K426" s="13"/>
      <c r="M426" s="24"/>
      <c r="O426" s="13"/>
      <c r="P426" s="13"/>
    </row>
    <row r="427">
      <c r="C427" s="24"/>
      <c r="E427" s="13"/>
      <c r="F427" s="13"/>
      <c r="H427" s="24"/>
      <c r="J427" s="13"/>
      <c r="K427" s="13"/>
      <c r="M427" s="24"/>
      <c r="O427" s="13"/>
      <c r="P427" s="13"/>
    </row>
    <row r="428">
      <c r="C428" s="24"/>
      <c r="E428" s="13"/>
      <c r="F428" s="13"/>
      <c r="H428" s="24"/>
      <c r="J428" s="13"/>
      <c r="K428" s="13"/>
      <c r="M428" s="24"/>
      <c r="O428" s="13"/>
      <c r="P428" s="13"/>
    </row>
    <row r="429">
      <c r="C429" s="24"/>
      <c r="E429" s="13"/>
      <c r="F429" s="13"/>
      <c r="H429" s="24"/>
      <c r="J429" s="13"/>
      <c r="K429" s="13"/>
      <c r="M429" s="24"/>
      <c r="O429" s="13"/>
      <c r="P429" s="13"/>
    </row>
    <row r="430">
      <c r="C430" s="24"/>
      <c r="E430" s="13"/>
      <c r="F430" s="13"/>
      <c r="H430" s="24"/>
      <c r="J430" s="13"/>
      <c r="K430" s="13"/>
      <c r="M430" s="24"/>
      <c r="O430" s="13"/>
      <c r="P430" s="13"/>
    </row>
    <row r="431">
      <c r="C431" s="24"/>
      <c r="E431" s="13"/>
      <c r="F431" s="13"/>
      <c r="H431" s="24"/>
      <c r="J431" s="13"/>
      <c r="K431" s="13"/>
      <c r="M431" s="24"/>
      <c r="O431" s="13"/>
      <c r="P431" s="13"/>
    </row>
    <row r="432">
      <c r="C432" s="24"/>
      <c r="E432" s="13"/>
      <c r="F432" s="13"/>
      <c r="H432" s="24"/>
      <c r="J432" s="13"/>
      <c r="K432" s="13"/>
      <c r="M432" s="24"/>
      <c r="O432" s="13"/>
      <c r="P432" s="13"/>
    </row>
    <row r="433">
      <c r="C433" s="24"/>
      <c r="E433" s="13"/>
      <c r="F433" s="13"/>
      <c r="H433" s="24"/>
      <c r="J433" s="13"/>
      <c r="K433" s="13"/>
      <c r="M433" s="24"/>
      <c r="O433" s="13"/>
      <c r="P433" s="13"/>
    </row>
    <row r="434">
      <c r="C434" s="24"/>
      <c r="E434" s="13"/>
      <c r="F434" s="13"/>
      <c r="H434" s="24"/>
      <c r="J434" s="13"/>
      <c r="K434" s="13"/>
      <c r="M434" s="24"/>
      <c r="O434" s="13"/>
      <c r="P434" s="13"/>
    </row>
    <row r="435">
      <c r="C435" s="24"/>
      <c r="E435" s="13"/>
      <c r="F435" s="13"/>
      <c r="H435" s="24"/>
      <c r="J435" s="13"/>
      <c r="K435" s="13"/>
      <c r="M435" s="24"/>
      <c r="O435" s="13"/>
      <c r="P435" s="13"/>
    </row>
    <row r="436">
      <c r="C436" s="24"/>
      <c r="E436" s="13"/>
      <c r="F436" s="13"/>
      <c r="H436" s="24"/>
      <c r="J436" s="13"/>
      <c r="K436" s="13"/>
      <c r="M436" s="24"/>
      <c r="O436" s="13"/>
      <c r="P436" s="13"/>
    </row>
    <row r="437">
      <c r="C437" s="24"/>
      <c r="E437" s="13"/>
      <c r="F437" s="13"/>
      <c r="H437" s="24"/>
      <c r="J437" s="13"/>
      <c r="K437" s="13"/>
      <c r="M437" s="24"/>
      <c r="O437" s="13"/>
      <c r="P437" s="13"/>
    </row>
    <row r="438">
      <c r="C438" s="24"/>
      <c r="E438" s="13"/>
      <c r="F438" s="13"/>
      <c r="H438" s="24"/>
      <c r="J438" s="13"/>
      <c r="K438" s="13"/>
      <c r="M438" s="24"/>
      <c r="O438" s="13"/>
      <c r="P438" s="13"/>
    </row>
    <row r="439">
      <c r="C439" s="24"/>
      <c r="E439" s="13"/>
      <c r="F439" s="13"/>
      <c r="H439" s="24"/>
      <c r="J439" s="13"/>
      <c r="K439" s="13"/>
      <c r="M439" s="24"/>
      <c r="O439" s="13"/>
      <c r="P439" s="13"/>
    </row>
    <row r="440">
      <c r="C440" s="24"/>
      <c r="E440" s="13"/>
      <c r="F440" s="13"/>
      <c r="H440" s="24"/>
      <c r="J440" s="13"/>
      <c r="K440" s="13"/>
      <c r="M440" s="24"/>
      <c r="O440" s="13"/>
      <c r="P440" s="13"/>
    </row>
    <row r="441">
      <c r="C441" s="24"/>
      <c r="E441" s="13"/>
      <c r="F441" s="13"/>
      <c r="H441" s="24"/>
      <c r="J441" s="13"/>
      <c r="K441" s="13"/>
      <c r="M441" s="24"/>
      <c r="O441" s="13"/>
      <c r="P441" s="13"/>
    </row>
    <row r="442">
      <c r="C442" s="24"/>
      <c r="E442" s="13"/>
      <c r="F442" s="13"/>
      <c r="H442" s="24"/>
      <c r="J442" s="13"/>
      <c r="K442" s="13"/>
      <c r="M442" s="24"/>
      <c r="O442" s="13"/>
      <c r="P442" s="13"/>
    </row>
    <row r="443">
      <c r="C443" s="24"/>
      <c r="E443" s="13"/>
      <c r="F443" s="13"/>
      <c r="H443" s="24"/>
      <c r="J443" s="13"/>
      <c r="K443" s="13"/>
      <c r="M443" s="24"/>
      <c r="O443" s="13"/>
      <c r="P443" s="13"/>
    </row>
    <row r="444">
      <c r="C444" s="24"/>
      <c r="E444" s="13"/>
      <c r="F444" s="13"/>
      <c r="H444" s="24"/>
      <c r="J444" s="13"/>
      <c r="K444" s="13"/>
      <c r="M444" s="24"/>
      <c r="O444" s="13"/>
      <c r="P444" s="13"/>
    </row>
    <row r="445">
      <c r="C445" s="24"/>
      <c r="E445" s="13"/>
      <c r="F445" s="13"/>
      <c r="H445" s="24"/>
      <c r="J445" s="13"/>
      <c r="K445" s="13"/>
      <c r="M445" s="24"/>
      <c r="O445" s="13"/>
      <c r="P445" s="13"/>
    </row>
    <row r="446">
      <c r="C446" s="24"/>
      <c r="E446" s="13"/>
      <c r="F446" s="13"/>
      <c r="H446" s="24"/>
      <c r="J446" s="13"/>
      <c r="K446" s="13"/>
      <c r="M446" s="24"/>
      <c r="O446" s="13"/>
      <c r="P446" s="13"/>
    </row>
    <row r="447">
      <c r="C447" s="24"/>
      <c r="E447" s="13"/>
      <c r="F447" s="13"/>
      <c r="H447" s="24"/>
      <c r="J447" s="13"/>
      <c r="K447" s="13"/>
      <c r="M447" s="24"/>
      <c r="O447" s="13"/>
      <c r="P447" s="13"/>
    </row>
    <row r="448">
      <c r="C448" s="24"/>
      <c r="E448" s="13"/>
      <c r="F448" s="13"/>
      <c r="H448" s="24"/>
      <c r="J448" s="13"/>
      <c r="K448" s="13"/>
      <c r="M448" s="24"/>
      <c r="O448" s="13"/>
      <c r="P448" s="13"/>
    </row>
    <row r="449">
      <c r="C449" s="24"/>
      <c r="E449" s="13"/>
      <c r="F449" s="13"/>
      <c r="H449" s="24"/>
      <c r="J449" s="13"/>
      <c r="K449" s="13"/>
      <c r="M449" s="24"/>
      <c r="O449" s="13"/>
      <c r="P449" s="13"/>
    </row>
    <row r="450">
      <c r="C450" s="24"/>
      <c r="E450" s="13"/>
      <c r="F450" s="13"/>
      <c r="H450" s="24"/>
      <c r="J450" s="13"/>
      <c r="K450" s="13"/>
      <c r="M450" s="24"/>
      <c r="O450" s="13"/>
      <c r="P450" s="13"/>
    </row>
    <row r="451">
      <c r="C451" s="24"/>
      <c r="E451" s="13"/>
      <c r="F451" s="13"/>
      <c r="H451" s="24"/>
      <c r="J451" s="13"/>
      <c r="K451" s="13"/>
      <c r="M451" s="24"/>
      <c r="O451" s="13"/>
      <c r="P451" s="13"/>
    </row>
    <row r="452">
      <c r="C452" s="24"/>
      <c r="E452" s="13"/>
      <c r="F452" s="13"/>
      <c r="H452" s="24"/>
      <c r="J452" s="13"/>
      <c r="K452" s="13"/>
      <c r="M452" s="24"/>
      <c r="O452" s="13"/>
      <c r="P452" s="13"/>
    </row>
    <row r="453">
      <c r="C453" s="24"/>
      <c r="E453" s="13"/>
      <c r="F453" s="13"/>
      <c r="H453" s="24"/>
      <c r="J453" s="13"/>
      <c r="K453" s="13"/>
      <c r="M453" s="24"/>
      <c r="O453" s="13"/>
      <c r="P453" s="13"/>
    </row>
    <row r="454">
      <c r="C454" s="24"/>
      <c r="E454" s="13"/>
      <c r="F454" s="13"/>
      <c r="H454" s="24"/>
      <c r="J454" s="13"/>
      <c r="K454" s="13"/>
      <c r="M454" s="24"/>
      <c r="O454" s="13"/>
      <c r="P454" s="13"/>
    </row>
    <row r="455">
      <c r="C455" s="24"/>
      <c r="E455" s="13"/>
      <c r="F455" s="13"/>
      <c r="H455" s="24"/>
      <c r="J455" s="13"/>
      <c r="K455" s="13"/>
      <c r="M455" s="24"/>
      <c r="O455" s="13"/>
      <c r="P455" s="13"/>
    </row>
    <row r="456">
      <c r="C456" s="24"/>
      <c r="E456" s="13"/>
      <c r="F456" s="13"/>
      <c r="H456" s="24"/>
      <c r="J456" s="13"/>
      <c r="K456" s="13"/>
      <c r="M456" s="24"/>
      <c r="O456" s="13"/>
      <c r="P456" s="13"/>
    </row>
    <row r="457">
      <c r="C457" s="24"/>
      <c r="E457" s="13"/>
      <c r="F457" s="13"/>
      <c r="H457" s="24"/>
      <c r="J457" s="13"/>
      <c r="K457" s="13"/>
      <c r="M457" s="24"/>
      <c r="O457" s="13"/>
      <c r="P457" s="13"/>
    </row>
    <row r="458">
      <c r="C458" s="24"/>
      <c r="E458" s="13"/>
      <c r="F458" s="13"/>
      <c r="H458" s="24"/>
      <c r="J458" s="13"/>
      <c r="K458" s="13"/>
      <c r="M458" s="24"/>
      <c r="O458" s="13"/>
      <c r="P458" s="13"/>
    </row>
    <row r="459">
      <c r="C459" s="24"/>
      <c r="E459" s="13"/>
      <c r="F459" s="13"/>
      <c r="H459" s="24"/>
      <c r="J459" s="13"/>
      <c r="K459" s="13"/>
      <c r="M459" s="24"/>
      <c r="O459" s="13"/>
      <c r="P459" s="13"/>
    </row>
    <row r="460">
      <c r="C460" s="24"/>
      <c r="E460" s="13"/>
      <c r="F460" s="13"/>
      <c r="H460" s="24"/>
      <c r="J460" s="13"/>
      <c r="K460" s="13"/>
      <c r="M460" s="24"/>
      <c r="O460" s="13"/>
      <c r="P460" s="13"/>
    </row>
    <row r="461">
      <c r="C461" s="24"/>
      <c r="E461" s="13"/>
      <c r="F461" s="13"/>
      <c r="H461" s="24"/>
      <c r="J461" s="13"/>
      <c r="K461" s="13"/>
      <c r="M461" s="24"/>
      <c r="O461" s="13"/>
      <c r="P461" s="13"/>
    </row>
    <row r="462">
      <c r="C462" s="24"/>
      <c r="E462" s="13"/>
      <c r="F462" s="13"/>
      <c r="H462" s="24"/>
      <c r="J462" s="13"/>
      <c r="K462" s="13"/>
      <c r="M462" s="24"/>
      <c r="O462" s="13"/>
      <c r="P462" s="13"/>
    </row>
    <row r="463">
      <c r="C463" s="24"/>
      <c r="E463" s="13"/>
      <c r="F463" s="13"/>
      <c r="H463" s="24"/>
      <c r="J463" s="13"/>
      <c r="K463" s="13"/>
      <c r="M463" s="24"/>
      <c r="O463" s="13"/>
      <c r="P463" s="13"/>
    </row>
    <row r="464">
      <c r="C464" s="24"/>
      <c r="E464" s="13"/>
      <c r="F464" s="13"/>
      <c r="H464" s="24"/>
      <c r="J464" s="13"/>
      <c r="K464" s="13"/>
      <c r="M464" s="24"/>
      <c r="O464" s="13"/>
      <c r="P464" s="13"/>
    </row>
    <row r="465">
      <c r="C465" s="24"/>
      <c r="E465" s="13"/>
      <c r="F465" s="13"/>
      <c r="H465" s="24"/>
      <c r="J465" s="13"/>
      <c r="K465" s="13"/>
      <c r="M465" s="24"/>
      <c r="O465" s="13"/>
      <c r="P465" s="13"/>
    </row>
    <row r="466">
      <c r="C466" s="24"/>
      <c r="E466" s="13"/>
      <c r="F466" s="13"/>
      <c r="H466" s="24"/>
      <c r="J466" s="13"/>
      <c r="K466" s="13"/>
      <c r="M466" s="24"/>
      <c r="O466" s="13"/>
      <c r="P466" s="13"/>
    </row>
    <row r="467">
      <c r="C467" s="24"/>
      <c r="E467" s="13"/>
      <c r="F467" s="13"/>
      <c r="H467" s="24"/>
      <c r="J467" s="13"/>
      <c r="K467" s="13"/>
      <c r="M467" s="24"/>
      <c r="O467" s="13"/>
      <c r="P467" s="13"/>
    </row>
    <row r="468">
      <c r="C468" s="24"/>
      <c r="E468" s="13"/>
      <c r="F468" s="13"/>
      <c r="H468" s="24"/>
      <c r="J468" s="13"/>
      <c r="K468" s="13"/>
      <c r="M468" s="24"/>
      <c r="O468" s="13"/>
      <c r="P468" s="13"/>
    </row>
    <row r="469">
      <c r="C469" s="24"/>
      <c r="E469" s="13"/>
      <c r="F469" s="13"/>
      <c r="H469" s="24"/>
      <c r="J469" s="13"/>
      <c r="K469" s="13"/>
      <c r="M469" s="24"/>
      <c r="O469" s="13"/>
      <c r="P469" s="13"/>
    </row>
    <row r="470">
      <c r="C470" s="24"/>
      <c r="E470" s="13"/>
      <c r="F470" s="13"/>
      <c r="H470" s="24"/>
      <c r="J470" s="13"/>
      <c r="K470" s="13"/>
      <c r="M470" s="24"/>
      <c r="O470" s="13"/>
      <c r="P470" s="13"/>
    </row>
    <row r="471">
      <c r="C471" s="24"/>
      <c r="E471" s="13"/>
      <c r="F471" s="13"/>
      <c r="H471" s="24"/>
      <c r="J471" s="13"/>
      <c r="K471" s="13"/>
      <c r="M471" s="24"/>
      <c r="O471" s="13"/>
      <c r="P471" s="13"/>
    </row>
    <row r="472">
      <c r="C472" s="24"/>
      <c r="E472" s="13"/>
      <c r="F472" s="13"/>
      <c r="H472" s="24"/>
      <c r="J472" s="13"/>
      <c r="K472" s="13"/>
      <c r="M472" s="24"/>
      <c r="O472" s="13"/>
      <c r="P472" s="13"/>
    </row>
    <row r="473">
      <c r="C473" s="24"/>
      <c r="E473" s="13"/>
      <c r="F473" s="13"/>
      <c r="H473" s="24"/>
      <c r="J473" s="13"/>
      <c r="K473" s="13"/>
      <c r="M473" s="24"/>
      <c r="O473" s="13"/>
      <c r="P473" s="13"/>
    </row>
    <row r="474">
      <c r="C474" s="24"/>
      <c r="E474" s="13"/>
      <c r="F474" s="13"/>
      <c r="H474" s="24"/>
      <c r="J474" s="13"/>
      <c r="K474" s="13"/>
      <c r="M474" s="24"/>
      <c r="O474" s="13"/>
      <c r="P474" s="13"/>
    </row>
    <row r="475">
      <c r="C475" s="24"/>
      <c r="E475" s="13"/>
      <c r="F475" s="13"/>
      <c r="H475" s="24"/>
      <c r="J475" s="13"/>
      <c r="K475" s="13"/>
      <c r="M475" s="24"/>
      <c r="O475" s="13"/>
      <c r="P475" s="13"/>
    </row>
    <row r="476">
      <c r="C476" s="24"/>
      <c r="E476" s="13"/>
      <c r="F476" s="13"/>
      <c r="H476" s="24"/>
      <c r="J476" s="13"/>
      <c r="K476" s="13"/>
      <c r="M476" s="24"/>
      <c r="O476" s="13"/>
      <c r="P476" s="13"/>
    </row>
    <row r="477">
      <c r="C477" s="24"/>
      <c r="E477" s="13"/>
      <c r="F477" s="13"/>
      <c r="H477" s="24"/>
      <c r="J477" s="13"/>
      <c r="K477" s="13"/>
      <c r="M477" s="24"/>
      <c r="O477" s="13"/>
      <c r="P477" s="13"/>
    </row>
    <row r="478">
      <c r="C478" s="24"/>
      <c r="E478" s="13"/>
      <c r="F478" s="13"/>
      <c r="H478" s="24"/>
      <c r="J478" s="13"/>
      <c r="K478" s="13"/>
      <c r="M478" s="24"/>
      <c r="O478" s="13"/>
      <c r="P478" s="13"/>
    </row>
    <row r="479">
      <c r="C479" s="24"/>
      <c r="E479" s="13"/>
      <c r="F479" s="13"/>
      <c r="H479" s="24"/>
      <c r="J479" s="13"/>
      <c r="K479" s="13"/>
      <c r="M479" s="24"/>
      <c r="O479" s="13"/>
      <c r="P479" s="13"/>
    </row>
    <row r="480">
      <c r="C480" s="24"/>
      <c r="E480" s="13"/>
      <c r="F480" s="13"/>
      <c r="H480" s="24"/>
      <c r="J480" s="13"/>
      <c r="K480" s="13"/>
      <c r="M480" s="24"/>
      <c r="O480" s="13"/>
      <c r="P480" s="13"/>
    </row>
    <row r="481">
      <c r="C481" s="24"/>
      <c r="E481" s="13"/>
      <c r="F481" s="13"/>
      <c r="H481" s="24"/>
      <c r="J481" s="13"/>
      <c r="K481" s="13"/>
      <c r="M481" s="24"/>
      <c r="O481" s="13"/>
      <c r="P481" s="13"/>
    </row>
    <row r="482">
      <c r="C482" s="24"/>
      <c r="E482" s="13"/>
      <c r="F482" s="13"/>
      <c r="H482" s="24"/>
      <c r="J482" s="13"/>
      <c r="K482" s="13"/>
      <c r="M482" s="24"/>
      <c r="O482" s="13"/>
      <c r="P482" s="13"/>
    </row>
    <row r="483">
      <c r="C483" s="24"/>
      <c r="E483" s="13"/>
      <c r="F483" s="13"/>
      <c r="H483" s="24"/>
      <c r="J483" s="13"/>
      <c r="K483" s="13"/>
      <c r="M483" s="24"/>
      <c r="O483" s="13"/>
      <c r="P483" s="13"/>
    </row>
    <row r="484">
      <c r="C484" s="24"/>
      <c r="E484" s="13"/>
      <c r="F484" s="13"/>
      <c r="H484" s="24"/>
      <c r="J484" s="13"/>
      <c r="K484" s="13"/>
      <c r="M484" s="24"/>
      <c r="O484" s="13"/>
      <c r="P484" s="13"/>
    </row>
    <row r="485">
      <c r="C485" s="24"/>
      <c r="E485" s="13"/>
      <c r="F485" s="13"/>
      <c r="H485" s="24"/>
      <c r="J485" s="13"/>
      <c r="K485" s="13"/>
      <c r="M485" s="24"/>
      <c r="O485" s="13"/>
      <c r="P485" s="13"/>
    </row>
    <row r="486">
      <c r="C486" s="24"/>
      <c r="E486" s="13"/>
      <c r="F486" s="13"/>
      <c r="H486" s="24"/>
      <c r="J486" s="13"/>
      <c r="K486" s="13"/>
      <c r="M486" s="24"/>
      <c r="O486" s="13"/>
      <c r="P486" s="13"/>
    </row>
    <row r="487">
      <c r="C487" s="24"/>
      <c r="E487" s="13"/>
      <c r="F487" s="13"/>
      <c r="H487" s="24"/>
      <c r="J487" s="13"/>
      <c r="K487" s="13"/>
      <c r="M487" s="24"/>
      <c r="O487" s="13"/>
      <c r="P487" s="13"/>
    </row>
    <row r="488">
      <c r="C488" s="24"/>
      <c r="E488" s="13"/>
      <c r="F488" s="13"/>
      <c r="H488" s="24"/>
      <c r="J488" s="13"/>
      <c r="K488" s="13"/>
      <c r="M488" s="24"/>
      <c r="O488" s="13"/>
      <c r="P488" s="13"/>
    </row>
    <row r="489">
      <c r="C489" s="24"/>
      <c r="E489" s="13"/>
      <c r="F489" s="13"/>
      <c r="H489" s="24"/>
      <c r="J489" s="13"/>
      <c r="K489" s="13"/>
      <c r="M489" s="24"/>
      <c r="O489" s="13"/>
      <c r="P489" s="13"/>
    </row>
    <row r="490">
      <c r="C490" s="24"/>
      <c r="E490" s="13"/>
      <c r="F490" s="13"/>
      <c r="H490" s="24"/>
      <c r="J490" s="13"/>
      <c r="K490" s="13"/>
      <c r="M490" s="24"/>
      <c r="O490" s="13"/>
      <c r="P490" s="13"/>
    </row>
    <row r="491">
      <c r="C491" s="24"/>
      <c r="E491" s="13"/>
      <c r="F491" s="13"/>
      <c r="H491" s="24"/>
      <c r="J491" s="13"/>
      <c r="K491" s="13"/>
      <c r="M491" s="24"/>
      <c r="O491" s="13"/>
      <c r="P491" s="13"/>
    </row>
    <row r="492">
      <c r="C492" s="24"/>
      <c r="E492" s="13"/>
      <c r="F492" s="13"/>
      <c r="H492" s="24"/>
      <c r="J492" s="13"/>
      <c r="K492" s="13"/>
      <c r="M492" s="24"/>
      <c r="O492" s="13"/>
      <c r="P492" s="13"/>
    </row>
    <row r="493">
      <c r="C493" s="24"/>
      <c r="E493" s="13"/>
      <c r="F493" s="13"/>
      <c r="H493" s="24"/>
      <c r="J493" s="13"/>
      <c r="K493" s="13"/>
      <c r="M493" s="24"/>
      <c r="O493" s="13"/>
      <c r="P493" s="13"/>
    </row>
    <row r="494">
      <c r="C494" s="24"/>
      <c r="E494" s="13"/>
      <c r="F494" s="13"/>
      <c r="H494" s="24"/>
      <c r="J494" s="13"/>
      <c r="K494" s="13"/>
      <c r="M494" s="24"/>
      <c r="O494" s="13"/>
      <c r="P494" s="13"/>
    </row>
    <row r="495">
      <c r="C495" s="24"/>
      <c r="E495" s="13"/>
      <c r="F495" s="13"/>
      <c r="H495" s="24"/>
      <c r="J495" s="13"/>
      <c r="K495" s="13"/>
      <c r="M495" s="24"/>
      <c r="O495" s="13"/>
      <c r="P495" s="13"/>
    </row>
    <row r="496">
      <c r="C496" s="24"/>
      <c r="E496" s="13"/>
      <c r="F496" s="13"/>
      <c r="H496" s="24"/>
      <c r="J496" s="13"/>
      <c r="K496" s="13"/>
      <c r="M496" s="24"/>
      <c r="O496" s="13"/>
      <c r="P496" s="13"/>
    </row>
    <row r="497">
      <c r="C497" s="24"/>
      <c r="E497" s="13"/>
      <c r="F497" s="13"/>
      <c r="H497" s="24"/>
      <c r="J497" s="13"/>
      <c r="K497" s="13"/>
      <c r="M497" s="24"/>
      <c r="O497" s="13"/>
      <c r="P497" s="13"/>
    </row>
    <row r="498">
      <c r="C498" s="24"/>
      <c r="E498" s="13"/>
      <c r="F498" s="13"/>
      <c r="H498" s="24"/>
      <c r="J498" s="13"/>
      <c r="K498" s="13"/>
      <c r="M498" s="24"/>
      <c r="O498" s="13"/>
      <c r="P498" s="13"/>
    </row>
    <row r="499">
      <c r="C499" s="24"/>
      <c r="E499" s="13"/>
      <c r="F499" s="13"/>
      <c r="H499" s="24"/>
      <c r="J499" s="13"/>
      <c r="K499" s="13"/>
      <c r="M499" s="24"/>
      <c r="O499" s="13"/>
      <c r="P499" s="13"/>
    </row>
    <row r="500">
      <c r="C500" s="24"/>
      <c r="E500" s="13"/>
      <c r="F500" s="13"/>
      <c r="H500" s="24"/>
      <c r="J500" s="13"/>
      <c r="K500" s="13"/>
      <c r="M500" s="24"/>
      <c r="O500" s="13"/>
      <c r="P500" s="13"/>
    </row>
    <row r="501">
      <c r="C501" s="24"/>
      <c r="E501" s="13"/>
      <c r="F501" s="13"/>
      <c r="H501" s="24"/>
      <c r="J501" s="13"/>
      <c r="K501" s="13"/>
      <c r="M501" s="24"/>
      <c r="O501" s="13"/>
      <c r="P501" s="13"/>
    </row>
    <row r="502">
      <c r="C502" s="24"/>
      <c r="E502" s="13"/>
      <c r="F502" s="13"/>
      <c r="H502" s="24"/>
      <c r="J502" s="13"/>
      <c r="K502" s="13"/>
      <c r="M502" s="24"/>
      <c r="O502" s="13"/>
      <c r="P502" s="13"/>
    </row>
    <row r="503">
      <c r="C503" s="24"/>
      <c r="E503" s="13"/>
      <c r="F503" s="13"/>
      <c r="H503" s="24"/>
      <c r="J503" s="13"/>
      <c r="K503" s="13"/>
      <c r="M503" s="24"/>
      <c r="O503" s="13"/>
      <c r="P503" s="13"/>
    </row>
    <row r="504">
      <c r="C504" s="24"/>
      <c r="E504" s="13"/>
      <c r="F504" s="13"/>
      <c r="H504" s="24"/>
      <c r="J504" s="13"/>
      <c r="K504" s="13"/>
      <c r="M504" s="24"/>
      <c r="O504" s="13"/>
      <c r="P504" s="13"/>
    </row>
    <row r="505">
      <c r="C505" s="24"/>
      <c r="E505" s="13"/>
      <c r="F505" s="13"/>
      <c r="H505" s="24"/>
      <c r="J505" s="13"/>
      <c r="K505" s="13"/>
      <c r="M505" s="24"/>
      <c r="O505" s="13"/>
      <c r="P505" s="13"/>
    </row>
    <row r="506">
      <c r="C506" s="24"/>
      <c r="E506" s="13"/>
      <c r="F506" s="13"/>
      <c r="H506" s="24"/>
      <c r="J506" s="13"/>
      <c r="K506" s="13"/>
      <c r="M506" s="24"/>
      <c r="O506" s="13"/>
      <c r="P506" s="13"/>
    </row>
    <row r="507">
      <c r="C507" s="24"/>
      <c r="E507" s="13"/>
      <c r="F507" s="13"/>
      <c r="H507" s="24"/>
      <c r="J507" s="13"/>
      <c r="K507" s="13"/>
      <c r="M507" s="24"/>
      <c r="O507" s="13"/>
      <c r="P507" s="13"/>
    </row>
    <row r="508">
      <c r="C508" s="24"/>
      <c r="E508" s="13"/>
      <c r="F508" s="13"/>
      <c r="H508" s="24"/>
      <c r="J508" s="13"/>
      <c r="K508" s="13"/>
      <c r="M508" s="24"/>
      <c r="O508" s="13"/>
      <c r="P508" s="13"/>
    </row>
    <row r="509">
      <c r="C509" s="24"/>
      <c r="E509" s="13"/>
      <c r="F509" s="13"/>
      <c r="H509" s="24"/>
      <c r="J509" s="13"/>
      <c r="K509" s="13"/>
      <c r="M509" s="24"/>
      <c r="O509" s="13"/>
      <c r="P509" s="13"/>
    </row>
    <row r="510">
      <c r="C510" s="24"/>
      <c r="E510" s="13"/>
      <c r="F510" s="13"/>
      <c r="H510" s="24"/>
      <c r="J510" s="13"/>
      <c r="K510" s="13"/>
      <c r="M510" s="24"/>
      <c r="O510" s="13"/>
      <c r="P510" s="13"/>
    </row>
    <row r="511">
      <c r="C511" s="24"/>
      <c r="E511" s="13"/>
      <c r="F511" s="13"/>
      <c r="H511" s="24"/>
      <c r="J511" s="13"/>
      <c r="K511" s="13"/>
      <c r="M511" s="24"/>
      <c r="O511" s="13"/>
      <c r="P511" s="13"/>
    </row>
    <row r="512">
      <c r="C512" s="24"/>
      <c r="E512" s="13"/>
      <c r="F512" s="13"/>
      <c r="H512" s="24"/>
      <c r="J512" s="13"/>
      <c r="K512" s="13"/>
      <c r="M512" s="24"/>
      <c r="O512" s="13"/>
      <c r="P512" s="13"/>
    </row>
    <row r="513">
      <c r="C513" s="24"/>
      <c r="E513" s="13"/>
      <c r="F513" s="13"/>
      <c r="H513" s="24"/>
      <c r="J513" s="13"/>
      <c r="K513" s="13"/>
      <c r="M513" s="24"/>
      <c r="O513" s="13"/>
      <c r="P513" s="13"/>
    </row>
    <row r="514">
      <c r="C514" s="24"/>
      <c r="E514" s="13"/>
      <c r="F514" s="13"/>
      <c r="H514" s="24"/>
      <c r="J514" s="13"/>
      <c r="K514" s="13"/>
      <c r="M514" s="24"/>
      <c r="O514" s="13"/>
      <c r="P514" s="13"/>
    </row>
    <row r="515">
      <c r="C515" s="24"/>
      <c r="E515" s="13"/>
      <c r="F515" s="13"/>
      <c r="H515" s="24"/>
      <c r="J515" s="13"/>
      <c r="K515" s="13"/>
      <c r="M515" s="24"/>
      <c r="O515" s="13"/>
      <c r="P515" s="13"/>
    </row>
    <row r="516">
      <c r="C516" s="24"/>
      <c r="E516" s="13"/>
      <c r="F516" s="13"/>
      <c r="H516" s="24"/>
      <c r="J516" s="13"/>
      <c r="K516" s="13"/>
      <c r="M516" s="24"/>
      <c r="O516" s="13"/>
      <c r="P516" s="13"/>
    </row>
    <row r="517">
      <c r="C517" s="24"/>
      <c r="E517" s="13"/>
      <c r="F517" s="13"/>
      <c r="H517" s="24"/>
      <c r="J517" s="13"/>
      <c r="K517" s="13"/>
      <c r="M517" s="24"/>
      <c r="O517" s="13"/>
      <c r="P517" s="13"/>
    </row>
    <row r="518">
      <c r="C518" s="24"/>
      <c r="E518" s="13"/>
      <c r="F518" s="13"/>
      <c r="H518" s="24"/>
      <c r="J518" s="13"/>
      <c r="K518" s="13"/>
      <c r="M518" s="24"/>
      <c r="O518" s="13"/>
      <c r="P518" s="13"/>
    </row>
    <row r="519">
      <c r="C519" s="24"/>
      <c r="E519" s="13"/>
      <c r="F519" s="13"/>
      <c r="H519" s="24"/>
      <c r="J519" s="13"/>
      <c r="K519" s="13"/>
      <c r="M519" s="24"/>
      <c r="O519" s="13"/>
      <c r="P519" s="13"/>
    </row>
    <row r="520">
      <c r="C520" s="24"/>
      <c r="E520" s="13"/>
      <c r="F520" s="13"/>
      <c r="H520" s="24"/>
      <c r="J520" s="13"/>
      <c r="K520" s="13"/>
      <c r="M520" s="24"/>
      <c r="O520" s="13"/>
      <c r="P520" s="13"/>
    </row>
    <row r="521">
      <c r="C521" s="24"/>
      <c r="E521" s="13"/>
      <c r="F521" s="13"/>
      <c r="H521" s="24"/>
      <c r="J521" s="13"/>
      <c r="K521" s="13"/>
      <c r="M521" s="24"/>
      <c r="O521" s="13"/>
      <c r="P521" s="13"/>
    </row>
    <row r="522">
      <c r="C522" s="24"/>
      <c r="E522" s="13"/>
      <c r="F522" s="13"/>
      <c r="H522" s="24"/>
      <c r="J522" s="13"/>
      <c r="K522" s="13"/>
      <c r="M522" s="24"/>
      <c r="O522" s="13"/>
      <c r="P522" s="13"/>
    </row>
    <row r="523">
      <c r="C523" s="24"/>
      <c r="E523" s="13"/>
      <c r="F523" s="13"/>
      <c r="H523" s="24"/>
      <c r="J523" s="13"/>
      <c r="K523" s="13"/>
      <c r="M523" s="24"/>
      <c r="O523" s="13"/>
      <c r="P523" s="13"/>
    </row>
    <row r="524">
      <c r="C524" s="24"/>
      <c r="E524" s="13"/>
      <c r="F524" s="13"/>
      <c r="H524" s="24"/>
      <c r="J524" s="13"/>
      <c r="K524" s="13"/>
      <c r="M524" s="24"/>
      <c r="O524" s="13"/>
      <c r="P524" s="13"/>
    </row>
    <row r="525">
      <c r="C525" s="24"/>
      <c r="E525" s="13"/>
      <c r="F525" s="13"/>
      <c r="H525" s="24"/>
      <c r="J525" s="13"/>
      <c r="K525" s="13"/>
      <c r="M525" s="24"/>
      <c r="O525" s="13"/>
      <c r="P525" s="13"/>
    </row>
    <row r="526">
      <c r="C526" s="24"/>
      <c r="E526" s="13"/>
      <c r="F526" s="13"/>
      <c r="H526" s="24"/>
      <c r="J526" s="13"/>
      <c r="K526" s="13"/>
      <c r="M526" s="24"/>
      <c r="O526" s="13"/>
      <c r="P526" s="13"/>
    </row>
    <row r="527">
      <c r="C527" s="24"/>
      <c r="E527" s="13"/>
      <c r="F527" s="13"/>
      <c r="H527" s="24"/>
      <c r="J527" s="13"/>
      <c r="K527" s="13"/>
      <c r="M527" s="24"/>
      <c r="O527" s="13"/>
      <c r="P527" s="13"/>
    </row>
    <row r="528">
      <c r="C528" s="24"/>
      <c r="E528" s="13"/>
      <c r="F528" s="13"/>
      <c r="H528" s="24"/>
      <c r="J528" s="13"/>
      <c r="K528" s="13"/>
      <c r="M528" s="24"/>
      <c r="O528" s="13"/>
      <c r="P528" s="13"/>
    </row>
    <row r="529">
      <c r="C529" s="24"/>
      <c r="E529" s="13"/>
      <c r="F529" s="13"/>
      <c r="H529" s="24"/>
      <c r="J529" s="13"/>
      <c r="K529" s="13"/>
      <c r="M529" s="24"/>
      <c r="O529" s="13"/>
      <c r="P529" s="13"/>
    </row>
    <row r="530">
      <c r="C530" s="24"/>
      <c r="E530" s="13"/>
      <c r="F530" s="13"/>
      <c r="H530" s="24"/>
      <c r="J530" s="13"/>
      <c r="K530" s="13"/>
      <c r="M530" s="24"/>
      <c r="O530" s="13"/>
      <c r="P530" s="13"/>
    </row>
    <row r="531">
      <c r="C531" s="24"/>
      <c r="E531" s="13"/>
      <c r="F531" s="13"/>
      <c r="H531" s="24"/>
      <c r="J531" s="13"/>
      <c r="K531" s="13"/>
      <c r="M531" s="24"/>
      <c r="O531" s="13"/>
      <c r="P531" s="13"/>
    </row>
    <row r="532">
      <c r="C532" s="24"/>
      <c r="E532" s="13"/>
      <c r="F532" s="13"/>
      <c r="H532" s="24"/>
      <c r="J532" s="13"/>
      <c r="K532" s="13"/>
      <c r="M532" s="24"/>
      <c r="O532" s="13"/>
      <c r="P532" s="13"/>
    </row>
    <row r="533">
      <c r="C533" s="24"/>
      <c r="E533" s="13"/>
      <c r="F533" s="13"/>
      <c r="H533" s="24"/>
      <c r="J533" s="13"/>
      <c r="K533" s="13"/>
      <c r="M533" s="24"/>
      <c r="O533" s="13"/>
      <c r="P533" s="13"/>
    </row>
    <row r="534">
      <c r="C534" s="24"/>
      <c r="E534" s="13"/>
      <c r="F534" s="13"/>
      <c r="H534" s="24"/>
      <c r="J534" s="13"/>
      <c r="K534" s="13"/>
      <c r="M534" s="24"/>
      <c r="O534" s="13"/>
      <c r="P534" s="13"/>
    </row>
    <row r="535">
      <c r="C535" s="24"/>
      <c r="E535" s="13"/>
      <c r="F535" s="13"/>
      <c r="H535" s="24"/>
      <c r="J535" s="13"/>
      <c r="K535" s="13"/>
      <c r="M535" s="24"/>
      <c r="O535" s="13"/>
      <c r="P535" s="13"/>
    </row>
    <row r="536">
      <c r="C536" s="24"/>
      <c r="E536" s="13"/>
      <c r="F536" s="13"/>
      <c r="H536" s="24"/>
      <c r="J536" s="13"/>
      <c r="K536" s="13"/>
      <c r="M536" s="24"/>
      <c r="O536" s="13"/>
      <c r="P536" s="13"/>
    </row>
    <row r="537">
      <c r="C537" s="24"/>
      <c r="E537" s="13"/>
      <c r="F537" s="13"/>
      <c r="H537" s="24"/>
      <c r="J537" s="13"/>
      <c r="K537" s="13"/>
      <c r="M537" s="24"/>
      <c r="O537" s="13"/>
      <c r="P537" s="13"/>
    </row>
    <row r="538">
      <c r="C538" s="24"/>
      <c r="E538" s="13"/>
      <c r="F538" s="13"/>
      <c r="H538" s="24"/>
      <c r="J538" s="13"/>
      <c r="K538" s="13"/>
      <c r="M538" s="24"/>
      <c r="O538" s="13"/>
      <c r="P538" s="13"/>
    </row>
    <row r="539">
      <c r="C539" s="24"/>
      <c r="E539" s="13"/>
      <c r="F539" s="13"/>
      <c r="H539" s="24"/>
      <c r="J539" s="13"/>
      <c r="K539" s="13"/>
      <c r="M539" s="24"/>
      <c r="O539" s="13"/>
      <c r="P539" s="13"/>
    </row>
    <row r="540">
      <c r="C540" s="24"/>
      <c r="E540" s="13"/>
      <c r="F540" s="13"/>
      <c r="H540" s="24"/>
      <c r="J540" s="13"/>
      <c r="K540" s="13"/>
      <c r="M540" s="24"/>
      <c r="O540" s="13"/>
      <c r="P540" s="13"/>
    </row>
    <row r="541">
      <c r="C541" s="24"/>
      <c r="E541" s="13"/>
      <c r="F541" s="13"/>
      <c r="H541" s="24"/>
      <c r="J541" s="13"/>
      <c r="K541" s="13"/>
      <c r="M541" s="24"/>
      <c r="O541" s="13"/>
      <c r="P541" s="13"/>
    </row>
    <row r="542">
      <c r="C542" s="24"/>
      <c r="E542" s="13"/>
      <c r="F542" s="13"/>
      <c r="H542" s="24"/>
      <c r="J542" s="13"/>
      <c r="K542" s="13"/>
      <c r="M542" s="24"/>
      <c r="O542" s="13"/>
      <c r="P542" s="13"/>
    </row>
    <row r="543">
      <c r="C543" s="24"/>
      <c r="E543" s="13"/>
      <c r="F543" s="13"/>
      <c r="H543" s="24"/>
      <c r="J543" s="13"/>
      <c r="K543" s="13"/>
      <c r="M543" s="24"/>
      <c r="O543" s="13"/>
      <c r="P543" s="13"/>
    </row>
    <row r="544">
      <c r="C544" s="24"/>
      <c r="E544" s="13"/>
      <c r="F544" s="13"/>
      <c r="H544" s="24"/>
      <c r="J544" s="13"/>
      <c r="K544" s="13"/>
      <c r="M544" s="24"/>
      <c r="O544" s="13"/>
      <c r="P544" s="13"/>
    </row>
    <row r="545">
      <c r="C545" s="24"/>
      <c r="E545" s="13"/>
      <c r="F545" s="13"/>
      <c r="H545" s="24"/>
      <c r="J545" s="13"/>
      <c r="K545" s="13"/>
      <c r="M545" s="24"/>
      <c r="O545" s="13"/>
      <c r="P545" s="13"/>
    </row>
    <row r="546">
      <c r="C546" s="24"/>
      <c r="E546" s="13"/>
      <c r="F546" s="13"/>
      <c r="H546" s="24"/>
      <c r="J546" s="13"/>
      <c r="K546" s="13"/>
      <c r="M546" s="24"/>
      <c r="O546" s="13"/>
      <c r="P546" s="13"/>
    </row>
    <row r="547">
      <c r="C547" s="24"/>
      <c r="E547" s="13"/>
      <c r="F547" s="13"/>
      <c r="H547" s="24"/>
      <c r="J547" s="13"/>
      <c r="K547" s="13"/>
      <c r="M547" s="24"/>
      <c r="O547" s="13"/>
      <c r="P547" s="13"/>
    </row>
    <row r="548">
      <c r="C548" s="24"/>
      <c r="E548" s="13"/>
      <c r="F548" s="13"/>
      <c r="H548" s="24"/>
      <c r="J548" s="13"/>
      <c r="K548" s="13"/>
      <c r="M548" s="24"/>
      <c r="O548" s="13"/>
      <c r="P548" s="13"/>
    </row>
    <row r="549">
      <c r="C549" s="24"/>
      <c r="E549" s="13"/>
      <c r="F549" s="13"/>
      <c r="H549" s="24"/>
      <c r="J549" s="13"/>
      <c r="K549" s="13"/>
      <c r="M549" s="24"/>
      <c r="O549" s="13"/>
      <c r="P549" s="13"/>
    </row>
    <row r="550">
      <c r="C550" s="24"/>
      <c r="E550" s="13"/>
      <c r="F550" s="13"/>
      <c r="H550" s="24"/>
      <c r="J550" s="13"/>
      <c r="K550" s="13"/>
      <c r="M550" s="24"/>
      <c r="O550" s="13"/>
      <c r="P550" s="13"/>
    </row>
    <row r="551">
      <c r="C551" s="24"/>
      <c r="E551" s="13"/>
      <c r="F551" s="13"/>
      <c r="H551" s="24"/>
      <c r="J551" s="13"/>
      <c r="K551" s="13"/>
      <c r="M551" s="24"/>
      <c r="O551" s="13"/>
      <c r="P551" s="13"/>
    </row>
    <row r="552">
      <c r="C552" s="24"/>
      <c r="E552" s="13"/>
      <c r="F552" s="13"/>
      <c r="H552" s="24"/>
      <c r="J552" s="13"/>
      <c r="K552" s="13"/>
      <c r="M552" s="24"/>
      <c r="O552" s="13"/>
      <c r="P552" s="13"/>
    </row>
    <row r="553">
      <c r="C553" s="24"/>
      <c r="E553" s="13"/>
      <c r="F553" s="13"/>
      <c r="H553" s="24"/>
      <c r="J553" s="13"/>
      <c r="K553" s="13"/>
      <c r="M553" s="24"/>
      <c r="O553" s="13"/>
      <c r="P553" s="13"/>
    </row>
    <row r="554">
      <c r="C554" s="24"/>
      <c r="E554" s="13"/>
      <c r="F554" s="13"/>
      <c r="H554" s="24"/>
      <c r="J554" s="13"/>
      <c r="K554" s="13"/>
      <c r="M554" s="24"/>
      <c r="O554" s="13"/>
      <c r="P554" s="13"/>
    </row>
    <row r="555">
      <c r="C555" s="24"/>
      <c r="E555" s="13"/>
      <c r="F555" s="13"/>
      <c r="H555" s="24"/>
      <c r="J555" s="13"/>
      <c r="K555" s="13"/>
      <c r="M555" s="24"/>
      <c r="O555" s="13"/>
      <c r="P555" s="13"/>
    </row>
    <row r="556">
      <c r="C556" s="24"/>
      <c r="E556" s="13"/>
      <c r="F556" s="13"/>
      <c r="H556" s="24"/>
      <c r="J556" s="13"/>
      <c r="K556" s="13"/>
      <c r="M556" s="24"/>
      <c r="O556" s="13"/>
      <c r="P556" s="13"/>
    </row>
    <row r="557">
      <c r="C557" s="24"/>
      <c r="E557" s="13"/>
      <c r="F557" s="13"/>
      <c r="H557" s="24"/>
      <c r="J557" s="13"/>
      <c r="K557" s="13"/>
      <c r="M557" s="24"/>
      <c r="O557" s="13"/>
      <c r="P557" s="13"/>
    </row>
    <row r="558">
      <c r="C558" s="24"/>
      <c r="E558" s="13"/>
      <c r="F558" s="13"/>
      <c r="H558" s="24"/>
      <c r="J558" s="13"/>
      <c r="K558" s="13"/>
      <c r="M558" s="24"/>
      <c r="O558" s="13"/>
      <c r="P558" s="13"/>
    </row>
    <row r="559">
      <c r="C559" s="24"/>
      <c r="E559" s="13"/>
      <c r="F559" s="13"/>
      <c r="H559" s="24"/>
      <c r="J559" s="13"/>
      <c r="K559" s="13"/>
      <c r="M559" s="24"/>
      <c r="O559" s="13"/>
      <c r="P559" s="13"/>
    </row>
    <row r="560">
      <c r="C560" s="24"/>
      <c r="E560" s="13"/>
      <c r="F560" s="13"/>
      <c r="H560" s="24"/>
      <c r="J560" s="13"/>
      <c r="K560" s="13"/>
      <c r="M560" s="24"/>
      <c r="O560" s="13"/>
      <c r="P560" s="13"/>
    </row>
    <row r="561">
      <c r="C561" s="24"/>
      <c r="E561" s="13"/>
      <c r="F561" s="13"/>
      <c r="H561" s="24"/>
      <c r="J561" s="13"/>
      <c r="K561" s="13"/>
      <c r="M561" s="24"/>
      <c r="O561" s="13"/>
      <c r="P561" s="13"/>
    </row>
    <row r="562">
      <c r="C562" s="24"/>
      <c r="E562" s="13"/>
      <c r="F562" s="13"/>
      <c r="H562" s="24"/>
      <c r="J562" s="13"/>
      <c r="K562" s="13"/>
      <c r="M562" s="24"/>
      <c r="O562" s="13"/>
      <c r="P562" s="13"/>
    </row>
    <row r="563">
      <c r="C563" s="24"/>
      <c r="E563" s="13"/>
      <c r="F563" s="13"/>
      <c r="H563" s="24"/>
      <c r="J563" s="13"/>
      <c r="K563" s="13"/>
      <c r="M563" s="24"/>
      <c r="O563" s="13"/>
      <c r="P563" s="13"/>
    </row>
    <row r="564">
      <c r="C564" s="24"/>
      <c r="E564" s="13"/>
      <c r="F564" s="13"/>
      <c r="H564" s="24"/>
      <c r="J564" s="13"/>
      <c r="K564" s="13"/>
      <c r="M564" s="24"/>
      <c r="O564" s="13"/>
      <c r="P564" s="13"/>
    </row>
    <row r="565">
      <c r="C565" s="24"/>
      <c r="E565" s="13"/>
      <c r="F565" s="13"/>
      <c r="H565" s="24"/>
      <c r="J565" s="13"/>
      <c r="K565" s="13"/>
      <c r="M565" s="24"/>
      <c r="O565" s="13"/>
      <c r="P565" s="13"/>
    </row>
    <row r="566">
      <c r="C566" s="24"/>
      <c r="E566" s="13"/>
      <c r="F566" s="13"/>
      <c r="H566" s="24"/>
      <c r="J566" s="13"/>
      <c r="K566" s="13"/>
      <c r="M566" s="24"/>
      <c r="O566" s="13"/>
      <c r="P566" s="13"/>
    </row>
    <row r="567">
      <c r="C567" s="24"/>
      <c r="E567" s="13"/>
      <c r="F567" s="13"/>
      <c r="H567" s="24"/>
      <c r="J567" s="13"/>
      <c r="K567" s="13"/>
      <c r="M567" s="24"/>
      <c r="O567" s="13"/>
      <c r="P567" s="13"/>
    </row>
    <row r="568">
      <c r="C568" s="24"/>
      <c r="E568" s="13"/>
      <c r="F568" s="13"/>
      <c r="H568" s="24"/>
      <c r="J568" s="13"/>
      <c r="K568" s="13"/>
      <c r="M568" s="24"/>
      <c r="O568" s="13"/>
      <c r="P568" s="13"/>
    </row>
    <row r="569">
      <c r="C569" s="24"/>
      <c r="E569" s="13"/>
      <c r="F569" s="13"/>
      <c r="H569" s="24"/>
      <c r="J569" s="13"/>
      <c r="K569" s="13"/>
      <c r="M569" s="24"/>
      <c r="O569" s="13"/>
      <c r="P569" s="13"/>
    </row>
    <row r="570">
      <c r="C570" s="24"/>
      <c r="E570" s="13"/>
      <c r="F570" s="13"/>
      <c r="H570" s="24"/>
      <c r="J570" s="13"/>
      <c r="K570" s="13"/>
      <c r="M570" s="24"/>
      <c r="O570" s="13"/>
      <c r="P570" s="13"/>
    </row>
    <row r="571">
      <c r="C571" s="24"/>
      <c r="E571" s="13"/>
      <c r="F571" s="13"/>
      <c r="H571" s="24"/>
      <c r="J571" s="13"/>
      <c r="K571" s="13"/>
      <c r="M571" s="24"/>
      <c r="O571" s="13"/>
      <c r="P571" s="13"/>
    </row>
    <row r="572">
      <c r="C572" s="24"/>
      <c r="E572" s="13"/>
      <c r="F572" s="13"/>
      <c r="H572" s="24"/>
      <c r="J572" s="13"/>
      <c r="K572" s="13"/>
      <c r="M572" s="24"/>
      <c r="O572" s="13"/>
      <c r="P572" s="13"/>
    </row>
    <row r="573">
      <c r="C573" s="24"/>
      <c r="E573" s="13"/>
      <c r="F573" s="13"/>
      <c r="H573" s="24"/>
      <c r="J573" s="13"/>
      <c r="K573" s="13"/>
      <c r="M573" s="24"/>
      <c r="O573" s="13"/>
      <c r="P573" s="13"/>
    </row>
    <row r="574">
      <c r="C574" s="24"/>
      <c r="E574" s="13"/>
      <c r="F574" s="13"/>
      <c r="H574" s="24"/>
      <c r="J574" s="13"/>
      <c r="K574" s="13"/>
      <c r="M574" s="24"/>
      <c r="O574" s="13"/>
      <c r="P574" s="13"/>
    </row>
    <row r="575">
      <c r="C575" s="24"/>
      <c r="E575" s="13"/>
      <c r="F575" s="13"/>
      <c r="H575" s="24"/>
      <c r="J575" s="13"/>
      <c r="K575" s="13"/>
      <c r="M575" s="24"/>
      <c r="O575" s="13"/>
      <c r="P575" s="13"/>
    </row>
    <row r="576">
      <c r="C576" s="24"/>
      <c r="E576" s="13"/>
      <c r="F576" s="13"/>
      <c r="H576" s="24"/>
      <c r="J576" s="13"/>
      <c r="K576" s="13"/>
      <c r="M576" s="24"/>
      <c r="O576" s="13"/>
      <c r="P576" s="13"/>
    </row>
    <row r="577">
      <c r="C577" s="24"/>
      <c r="E577" s="13"/>
      <c r="F577" s="13"/>
      <c r="H577" s="24"/>
      <c r="J577" s="13"/>
      <c r="K577" s="13"/>
      <c r="M577" s="24"/>
      <c r="O577" s="13"/>
      <c r="P577" s="13"/>
    </row>
    <row r="578">
      <c r="C578" s="24"/>
      <c r="E578" s="13"/>
      <c r="F578" s="13"/>
      <c r="H578" s="24"/>
      <c r="J578" s="13"/>
      <c r="K578" s="13"/>
      <c r="M578" s="24"/>
      <c r="O578" s="13"/>
      <c r="P578" s="13"/>
    </row>
    <row r="579">
      <c r="C579" s="24"/>
      <c r="E579" s="13"/>
      <c r="F579" s="13"/>
      <c r="H579" s="24"/>
      <c r="J579" s="13"/>
      <c r="K579" s="13"/>
      <c r="M579" s="24"/>
      <c r="O579" s="13"/>
      <c r="P579" s="13"/>
    </row>
    <row r="580">
      <c r="C580" s="24"/>
      <c r="E580" s="13"/>
      <c r="F580" s="13"/>
      <c r="H580" s="24"/>
      <c r="J580" s="13"/>
      <c r="K580" s="13"/>
      <c r="M580" s="24"/>
      <c r="O580" s="13"/>
      <c r="P580" s="13"/>
    </row>
    <row r="581">
      <c r="C581" s="24"/>
      <c r="E581" s="13"/>
      <c r="F581" s="13"/>
      <c r="H581" s="24"/>
      <c r="J581" s="13"/>
      <c r="K581" s="13"/>
      <c r="M581" s="24"/>
      <c r="O581" s="13"/>
      <c r="P581" s="13"/>
    </row>
    <row r="582">
      <c r="C582" s="24"/>
      <c r="E582" s="13"/>
      <c r="F582" s="13"/>
      <c r="H582" s="24"/>
      <c r="J582" s="13"/>
      <c r="K582" s="13"/>
      <c r="M582" s="24"/>
      <c r="O582" s="13"/>
      <c r="P582" s="13"/>
    </row>
    <row r="583">
      <c r="C583" s="24"/>
      <c r="E583" s="13"/>
      <c r="F583" s="13"/>
      <c r="H583" s="24"/>
      <c r="J583" s="13"/>
      <c r="K583" s="13"/>
      <c r="M583" s="24"/>
      <c r="O583" s="13"/>
      <c r="P583" s="13"/>
    </row>
    <row r="584">
      <c r="C584" s="24"/>
      <c r="E584" s="13"/>
      <c r="F584" s="13"/>
      <c r="H584" s="24"/>
      <c r="J584" s="13"/>
      <c r="K584" s="13"/>
      <c r="M584" s="24"/>
      <c r="O584" s="13"/>
      <c r="P584" s="13"/>
    </row>
    <row r="585">
      <c r="C585" s="24"/>
      <c r="E585" s="13"/>
      <c r="F585" s="13"/>
      <c r="H585" s="24"/>
      <c r="J585" s="13"/>
      <c r="K585" s="13"/>
      <c r="M585" s="24"/>
      <c r="O585" s="13"/>
      <c r="P585" s="13"/>
    </row>
    <row r="586">
      <c r="C586" s="24"/>
      <c r="E586" s="13"/>
      <c r="F586" s="13"/>
      <c r="H586" s="24"/>
      <c r="J586" s="13"/>
      <c r="K586" s="13"/>
      <c r="M586" s="24"/>
      <c r="O586" s="13"/>
      <c r="P586" s="13"/>
    </row>
    <row r="587">
      <c r="C587" s="24"/>
      <c r="E587" s="13"/>
      <c r="F587" s="13"/>
      <c r="H587" s="24"/>
      <c r="J587" s="13"/>
      <c r="K587" s="13"/>
      <c r="M587" s="24"/>
      <c r="O587" s="13"/>
      <c r="P587" s="13"/>
    </row>
    <row r="588">
      <c r="C588" s="24"/>
      <c r="E588" s="13"/>
      <c r="F588" s="13"/>
      <c r="H588" s="24"/>
      <c r="J588" s="13"/>
      <c r="K588" s="13"/>
      <c r="M588" s="24"/>
      <c r="O588" s="13"/>
      <c r="P588" s="13"/>
    </row>
    <row r="589">
      <c r="C589" s="24"/>
      <c r="E589" s="13"/>
      <c r="F589" s="13"/>
      <c r="H589" s="24"/>
      <c r="J589" s="13"/>
      <c r="K589" s="13"/>
      <c r="M589" s="24"/>
      <c r="O589" s="13"/>
      <c r="P589" s="13"/>
    </row>
    <row r="590">
      <c r="C590" s="24"/>
      <c r="E590" s="13"/>
      <c r="F590" s="13"/>
      <c r="H590" s="24"/>
      <c r="J590" s="13"/>
      <c r="K590" s="13"/>
      <c r="M590" s="24"/>
      <c r="O590" s="13"/>
      <c r="P590" s="13"/>
    </row>
    <row r="591">
      <c r="C591" s="24"/>
      <c r="E591" s="13"/>
      <c r="F591" s="13"/>
      <c r="H591" s="24"/>
      <c r="J591" s="13"/>
      <c r="K591" s="13"/>
      <c r="M591" s="24"/>
      <c r="O591" s="13"/>
      <c r="P591" s="13"/>
    </row>
    <row r="592">
      <c r="C592" s="24"/>
      <c r="E592" s="13"/>
      <c r="F592" s="13"/>
      <c r="H592" s="24"/>
      <c r="J592" s="13"/>
      <c r="K592" s="13"/>
      <c r="M592" s="24"/>
      <c r="O592" s="13"/>
      <c r="P592" s="13"/>
    </row>
    <row r="593">
      <c r="C593" s="24"/>
      <c r="E593" s="13"/>
      <c r="F593" s="13"/>
      <c r="H593" s="24"/>
      <c r="J593" s="13"/>
      <c r="K593" s="13"/>
      <c r="M593" s="24"/>
      <c r="O593" s="13"/>
      <c r="P593" s="13"/>
    </row>
    <row r="594">
      <c r="C594" s="24"/>
      <c r="E594" s="13"/>
      <c r="F594" s="13"/>
      <c r="H594" s="24"/>
      <c r="J594" s="13"/>
      <c r="K594" s="13"/>
      <c r="M594" s="24"/>
      <c r="O594" s="13"/>
      <c r="P594" s="13"/>
    </row>
    <row r="595">
      <c r="C595" s="24"/>
      <c r="E595" s="13"/>
      <c r="F595" s="13"/>
      <c r="H595" s="24"/>
      <c r="J595" s="13"/>
      <c r="K595" s="13"/>
      <c r="M595" s="24"/>
      <c r="O595" s="13"/>
      <c r="P595" s="13"/>
    </row>
    <row r="596">
      <c r="C596" s="24"/>
      <c r="E596" s="13"/>
      <c r="F596" s="13"/>
      <c r="H596" s="24"/>
      <c r="J596" s="13"/>
      <c r="K596" s="13"/>
      <c r="M596" s="24"/>
      <c r="O596" s="13"/>
      <c r="P596" s="13"/>
    </row>
    <row r="597">
      <c r="C597" s="24"/>
      <c r="E597" s="13"/>
      <c r="F597" s="13"/>
      <c r="H597" s="24"/>
      <c r="J597" s="13"/>
      <c r="K597" s="13"/>
      <c r="M597" s="24"/>
      <c r="O597" s="13"/>
      <c r="P597" s="13"/>
    </row>
    <row r="598">
      <c r="C598" s="24"/>
      <c r="E598" s="13"/>
      <c r="F598" s="13"/>
      <c r="H598" s="24"/>
      <c r="J598" s="13"/>
      <c r="K598" s="13"/>
      <c r="M598" s="24"/>
      <c r="O598" s="13"/>
      <c r="P598" s="13"/>
    </row>
    <row r="599">
      <c r="C599" s="24"/>
      <c r="E599" s="13"/>
      <c r="F599" s="13"/>
      <c r="H599" s="24"/>
      <c r="J599" s="13"/>
      <c r="K599" s="13"/>
      <c r="M599" s="24"/>
      <c r="O599" s="13"/>
      <c r="P599" s="13"/>
    </row>
    <row r="600">
      <c r="C600" s="24"/>
      <c r="E600" s="13"/>
      <c r="F600" s="13"/>
      <c r="H600" s="24"/>
      <c r="J600" s="13"/>
      <c r="K600" s="13"/>
      <c r="M600" s="24"/>
      <c r="O600" s="13"/>
      <c r="P600" s="13"/>
    </row>
    <row r="601">
      <c r="C601" s="24"/>
      <c r="E601" s="13"/>
      <c r="F601" s="13"/>
      <c r="H601" s="24"/>
      <c r="J601" s="13"/>
      <c r="K601" s="13"/>
      <c r="M601" s="24"/>
      <c r="O601" s="13"/>
      <c r="P601" s="13"/>
    </row>
    <row r="602">
      <c r="C602" s="24"/>
      <c r="E602" s="13"/>
      <c r="F602" s="13"/>
      <c r="H602" s="24"/>
      <c r="J602" s="13"/>
      <c r="K602" s="13"/>
      <c r="M602" s="24"/>
      <c r="O602" s="13"/>
      <c r="P602" s="13"/>
    </row>
    <row r="603">
      <c r="C603" s="24"/>
      <c r="E603" s="13"/>
      <c r="F603" s="13"/>
      <c r="H603" s="24"/>
      <c r="J603" s="13"/>
      <c r="K603" s="13"/>
      <c r="M603" s="24"/>
      <c r="O603" s="13"/>
      <c r="P603" s="13"/>
    </row>
    <row r="604">
      <c r="C604" s="24"/>
      <c r="E604" s="13"/>
      <c r="F604" s="13"/>
      <c r="H604" s="24"/>
      <c r="J604" s="13"/>
      <c r="K604" s="13"/>
      <c r="M604" s="24"/>
      <c r="O604" s="13"/>
      <c r="P604" s="13"/>
    </row>
    <row r="605">
      <c r="C605" s="24"/>
      <c r="E605" s="13"/>
      <c r="F605" s="13"/>
      <c r="H605" s="24"/>
      <c r="J605" s="13"/>
      <c r="K605" s="13"/>
      <c r="M605" s="24"/>
      <c r="O605" s="13"/>
      <c r="P605" s="13"/>
    </row>
    <row r="606">
      <c r="C606" s="24"/>
      <c r="E606" s="13"/>
      <c r="F606" s="13"/>
      <c r="H606" s="24"/>
      <c r="J606" s="13"/>
      <c r="K606" s="13"/>
      <c r="M606" s="24"/>
      <c r="O606" s="13"/>
      <c r="P606" s="13"/>
    </row>
    <row r="607">
      <c r="C607" s="24"/>
      <c r="E607" s="13"/>
      <c r="F607" s="13"/>
      <c r="H607" s="24"/>
      <c r="J607" s="13"/>
      <c r="K607" s="13"/>
      <c r="M607" s="24"/>
      <c r="O607" s="13"/>
      <c r="P607" s="13"/>
    </row>
    <row r="608">
      <c r="C608" s="24"/>
      <c r="E608" s="13"/>
      <c r="F608" s="13"/>
      <c r="H608" s="24"/>
      <c r="J608" s="13"/>
      <c r="K608" s="13"/>
      <c r="M608" s="24"/>
      <c r="O608" s="13"/>
      <c r="P608" s="13"/>
    </row>
    <row r="609">
      <c r="C609" s="24"/>
      <c r="E609" s="13"/>
      <c r="F609" s="13"/>
      <c r="H609" s="24"/>
      <c r="J609" s="13"/>
      <c r="K609" s="13"/>
      <c r="M609" s="24"/>
      <c r="O609" s="13"/>
      <c r="P609" s="13"/>
    </row>
    <row r="610">
      <c r="C610" s="24"/>
      <c r="E610" s="13"/>
      <c r="F610" s="13"/>
      <c r="H610" s="24"/>
      <c r="J610" s="13"/>
      <c r="K610" s="13"/>
      <c r="M610" s="24"/>
      <c r="O610" s="13"/>
      <c r="P610" s="13"/>
    </row>
    <row r="611">
      <c r="C611" s="24"/>
      <c r="E611" s="13"/>
      <c r="F611" s="13"/>
      <c r="H611" s="24"/>
      <c r="J611" s="13"/>
      <c r="K611" s="13"/>
      <c r="M611" s="24"/>
      <c r="O611" s="13"/>
      <c r="P611" s="13"/>
    </row>
    <row r="612">
      <c r="C612" s="24"/>
      <c r="E612" s="13"/>
      <c r="F612" s="13"/>
      <c r="H612" s="24"/>
      <c r="J612" s="13"/>
      <c r="K612" s="13"/>
      <c r="M612" s="24"/>
      <c r="O612" s="13"/>
      <c r="P612" s="13"/>
    </row>
    <row r="613">
      <c r="C613" s="24"/>
      <c r="E613" s="13"/>
      <c r="F613" s="13"/>
      <c r="H613" s="24"/>
      <c r="J613" s="13"/>
      <c r="K613" s="13"/>
      <c r="M613" s="24"/>
      <c r="O613" s="13"/>
      <c r="P613" s="13"/>
    </row>
    <row r="614">
      <c r="C614" s="24"/>
      <c r="E614" s="13"/>
      <c r="F614" s="13"/>
      <c r="H614" s="24"/>
      <c r="J614" s="13"/>
      <c r="K614" s="13"/>
      <c r="M614" s="24"/>
      <c r="O614" s="13"/>
      <c r="P614" s="13"/>
    </row>
    <row r="615">
      <c r="C615" s="24"/>
      <c r="E615" s="13"/>
      <c r="F615" s="13"/>
      <c r="H615" s="24"/>
      <c r="J615" s="13"/>
      <c r="K615" s="13"/>
      <c r="M615" s="24"/>
      <c r="O615" s="13"/>
      <c r="P615" s="13"/>
    </row>
    <row r="616">
      <c r="C616" s="24"/>
      <c r="E616" s="13"/>
      <c r="F616" s="13"/>
      <c r="H616" s="24"/>
      <c r="J616" s="13"/>
      <c r="K616" s="13"/>
      <c r="M616" s="24"/>
      <c r="O616" s="13"/>
      <c r="P616" s="13"/>
    </row>
    <row r="617">
      <c r="C617" s="24"/>
      <c r="E617" s="13"/>
      <c r="F617" s="13"/>
      <c r="H617" s="24"/>
      <c r="J617" s="13"/>
      <c r="K617" s="13"/>
      <c r="M617" s="24"/>
      <c r="O617" s="13"/>
      <c r="P617" s="13"/>
    </row>
    <row r="618">
      <c r="C618" s="24"/>
      <c r="E618" s="13"/>
      <c r="F618" s="13"/>
      <c r="H618" s="24"/>
      <c r="J618" s="13"/>
      <c r="K618" s="13"/>
      <c r="M618" s="24"/>
      <c r="O618" s="13"/>
      <c r="P618" s="13"/>
    </row>
    <row r="619">
      <c r="C619" s="24"/>
      <c r="E619" s="13"/>
      <c r="F619" s="13"/>
      <c r="H619" s="24"/>
      <c r="J619" s="13"/>
      <c r="K619" s="13"/>
      <c r="M619" s="24"/>
      <c r="O619" s="13"/>
      <c r="P619" s="13"/>
    </row>
    <row r="620">
      <c r="C620" s="24"/>
      <c r="E620" s="13"/>
      <c r="F620" s="13"/>
      <c r="H620" s="24"/>
      <c r="J620" s="13"/>
      <c r="K620" s="13"/>
      <c r="M620" s="24"/>
      <c r="O620" s="13"/>
      <c r="P620" s="13"/>
    </row>
    <row r="621">
      <c r="C621" s="24"/>
      <c r="E621" s="13"/>
      <c r="F621" s="13"/>
      <c r="H621" s="24"/>
      <c r="J621" s="13"/>
      <c r="K621" s="13"/>
      <c r="M621" s="24"/>
      <c r="O621" s="13"/>
      <c r="P621" s="13"/>
    </row>
    <row r="622">
      <c r="C622" s="24"/>
      <c r="E622" s="13"/>
      <c r="F622" s="13"/>
      <c r="H622" s="24"/>
      <c r="J622" s="13"/>
      <c r="K622" s="13"/>
      <c r="M622" s="24"/>
      <c r="O622" s="13"/>
      <c r="P622" s="13"/>
    </row>
    <row r="623">
      <c r="C623" s="24"/>
      <c r="E623" s="13"/>
      <c r="F623" s="13"/>
      <c r="H623" s="24"/>
      <c r="J623" s="13"/>
      <c r="K623" s="13"/>
      <c r="M623" s="24"/>
      <c r="O623" s="13"/>
      <c r="P623" s="13"/>
    </row>
    <row r="624">
      <c r="C624" s="24"/>
      <c r="E624" s="13"/>
      <c r="F624" s="13"/>
      <c r="H624" s="24"/>
      <c r="J624" s="13"/>
      <c r="K624" s="13"/>
      <c r="M624" s="24"/>
      <c r="O624" s="13"/>
      <c r="P624" s="13"/>
    </row>
    <row r="625">
      <c r="C625" s="24"/>
      <c r="E625" s="13"/>
      <c r="F625" s="13"/>
      <c r="H625" s="24"/>
      <c r="J625" s="13"/>
      <c r="K625" s="13"/>
      <c r="M625" s="24"/>
      <c r="O625" s="13"/>
      <c r="P625" s="13"/>
    </row>
    <row r="626">
      <c r="C626" s="24"/>
      <c r="E626" s="13"/>
      <c r="F626" s="13"/>
      <c r="H626" s="24"/>
      <c r="J626" s="13"/>
      <c r="K626" s="13"/>
      <c r="M626" s="24"/>
      <c r="O626" s="13"/>
      <c r="P626" s="13"/>
    </row>
    <row r="627">
      <c r="C627" s="24"/>
      <c r="E627" s="13"/>
      <c r="F627" s="13"/>
      <c r="H627" s="24"/>
      <c r="J627" s="13"/>
      <c r="K627" s="13"/>
      <c r="M627" s="24"/>
      <c r="O627" s="13"/>
      <c r="P627" s="13"/>
    </row>
    <row r="628">
      <c r="C628" s="24"/>
      <c r="E628" s="13"/>
      <c r="F628" s="13"/>
      <c r="H628" s="24"/>
      <c r="J628" s="13"/>
      <c r="K628" s="13"/>
      <c r="M628" s="24"/>
      <c r="O628" s="13"/>
      <c r="P628" s="13"/>
    </row>
    <row r="629">
      <c r="C629" s="24"/>
      <c r="E629" s="13"/>
      <c r="F629" s="13"/>
      <c r="H629" s="24"/>
      <c r="J629" s="13"/>
      <c r="K629" s="13"/>
      <c r="M629" s="24"/>
      <c r="O629" s="13"/>
      <c r="P629" s="13"/>
    </row>
    <row r="630">
      <c r="C630" s="24"/>
      <c r="E630" s="13"/>
      <c r="F630" s="13"/>
      <c r="H630" s="24"/>
      <c r="J630" s="13"/>
      <c r="K630" s="13"/>
      <c r="M630" s="24"/>
      <c r="O630" s="13"/>
      <c r="P630" s="13"/>
    </row>
    <row r="631">
      <c r="C631" s="24"/>
      <c r="E631" s="13"/>
      <c r="F631" s="13"/>
      <c r="H631" s="24"/>
      <c r="J631" s="13"/>
      <c r="K631" s="13"/>
      <c r="M631" s="24"/>
      <c r="O631" s="13"/>
      <c r="P631" s="13"/>
    </row>
    <row r="632">
      <c r="C632" s="24"/>
      <c r="E632" s="13"/>
      <c r="F632" s="13"/>
      <c r="H632" s="24"/>
      <c r="J632" s="13"/>
      <c r="K632" s="13"/>
      <c r="M632" s="24"/>
      <c r="O632" s="13"/>
      <c r="P632" s="13"/>
    </row>
    <row r="633">
      <c r="C633" s="24"/>
      <c r="E633" s="13"/>
      <c r="F633" s="13"/>
      <c r="H633" s="24"/>
      <c r="J633" s="13"/>
      <c r="K633" s="13"/>
      <c r="M633" s="24"/>
      <c r="O633" s="13"/>
      <c r="P633" s="13"/>
    </row>
    <row r="634">
      <c r="C634" s="24"/>
      <c r="E634" s="13"/>
      <c r="F634" s="13"/>
      <c r="H634" s="24"/>
      <c r="J634" s="13"/>
      <c r="K634" s="13"/>
      <c r="M634" s="24"/>
      <c r="O634" s="13"/>
      <c r="P634" s="13"/>
    </row>
    <row r="635">
      <c r="C635" s="24"/>
      <c r="E635" s="13"/>
      <c r="F635" s="13"/>
      <c r="H635" s="24"/>
      <c r="J635" s="13"/>
      <c r="K635" s="13"/>
      <c r="M635" s="24"/>
      <c r="O635" s="13"/>
      <c r="P635" s="13"/>
    </row>
    <row r="636">
      <c r="C636" s="24"/>
      <c r="E636" s="13"/>
      <c r="F636" s="13"/>
      <c r="H636" s="24"/>
      <c r="J636" s="13"/>
      <c r="K636" s="13"/>
      <c r="M636" s="24"/>
      <c r="O636" s="13"/>
      <c r="P636" s="13"/>
    </row>
    <row r="637">
      <c r="C637" s="24"/>
      <c r="E637" s="13"/>
      <c r="F637" s="13"/>
      <c r="H637" s="24"/>
      <c r="J637" s="13"/>
      <c r="K637" s="13"/>
      <c r="M637" s="24"/>
      <c r="O637" s="13"/>
      <c r="P637" s="13"/>
    </row>
    <row r="638">
      <c r="C638" s="24"/>
      <c r="E638" s="13"/>
      <c r="F638" s="13"/>
      <c r="H638" s="24"/>
      <c r="J638" s="13"/>
      <c r="K638" s="13"/>
      <c r="M638" s="24"/>
      <c r="O638" s="13"/>
      <c r="P638" s="13"/>
    </row>
    <row r="639">
      <c r="C639" s="24"/>
      <c r="E639" s="13"/>
      <c r="F639" s="13"/>
      <c r="H639" s="24"/>
      <c r="J639" s="13"/>
      <c r="K639" s="13"/>
      <c r="M639" s="24"/>
      <c r="O639" s="13"/>
      <c r="P639" s="13"/>
    </row>
    <row r="640">
      <c r="C640" s="24"/>
      <c r="E640" s="13"/>
      <c r="F640" s="13"/>
      <c r="H640" s="24"/>
      <c r="J640" s="13"/>
      <c r="K640" s="13"/>
      <c r="M640" s="24"/>
      <c r="O640" s="13"/>
      <c r="P640" s="13"/>
    </row>
    <row r="641">
      <c r="C641" s="24"/>
      <c r="E641" s="13"/>
      <c r="F641" s="13"/>
      <c r="H641" s="24"/>
      <c r="J641" s="13"/>
      <c r="K641" s="13"/>
      <c r="M641" s="24"/>
      <c r="O641" s="13"/>
      <c r="P641" s="13"/>
    </row>
    <row r="642">
      <c r="C642" s="24"/>
      <c r="E642" s="13"/>
      <c r="F642" s="13"/>
      <c r="H642" s="24"/>
      <c r="J642" s="13"/>
      <c r="K642" s="13"/>
      <c r="M642" s="24"/>
      <c r="O642" s="13"/>
      <c r="P642" s="13"/>
    </row>
    <row r="643">
      <c r="C643" s="24"/>
      <c r="E643" s="13"/>
      <c r="F643" s="13"/>
      <c r="H643" s="24"/>
      <c r="J643" s="13"/>
      <c r="K643" s="13"/>
      <c r="M643" s="24"/>
      <c r="O643" s="13"/>
      <c r="P643" s="13"/>
    </row>
    <row r="644">
      <c r="C644" s="24"/>
      <c r="E644" s="13"/>
      <c r="F644" s="13"/>
      <c r="H644" s="24"/>
      <c r="J644" s="13"/>
      <c r="K644" s="13"/>
      <c r="M644" s="24"/>
      <c r="O644" s="13"/>
      <c r="P644" s="13"/>
    </row>
    <row r="645">
      <c r="C645" s="24"/>
      <c r="E645" s="13"/>
      <c r="F645" s="13"/>
      <c r="H645" s="24"/>
      <c r="J645" s="13"/>
      <c r="K645" s="13"/>
      <c r="M645" s="24"/>
      <c r="O645" s="13"/>
      <c r="P645" s="13"/>
    </row>
    <row r="646">
      <c r="C646" s="24"/>
      <c r="E646" s="13"/>
      <c r="F646" s="13"/>
      <c r="H646" s="24"/>
      <c r="J646" s="13"/>
      <c r="K646" s="13"/>
      <c r="M646" s="24"/>
      <c r="O646" s="13"/>
      <c r="P646" s="13"/>
    </row>
    <row r="647">
      <c r="C647" s="24"/>
      <c r="E647" s="13"/>
      <c r="F647" s="13"/>
      <c r="H647" s="24"/>
      <c r="J647" s="13"/>
      <c r="K647" s="13"/>
      <c r="M647" s="24"/>
      <c r="O647" s="13"/>
      <c r="P647" s="13"/>
    </row>
    <row r="648">
      <c r="C648" s="24"/>
      <c r="E648" s="13"/>
      <c r="F648" s="13"/>
      <c r="H648" s="24"/>
      <c r="J648" s="13"/>
      <c r="K648" s="13"/>
      <c r="M648" s="24"/>
      <c r="O648" s="13"/>
      <c r="P648" s="13"/>
    </row>
    <row r="649">
      <c r="C649" s="24"/>
      <c r="E649" s="13"/>
      <c r="F649" s="13"/>
      <c r="H649" s="24"/>
      <c r="J649" s="13"/>
      <c r="K649" s="13"/>
      <c r="M649" s="24"/>
      <c r="O649" s="13"/>
      <c r="P649" s="13"/>
    </row>
    <row r="650">
      <c r="C650" s="24"/>
      <c r="E650" s="13"/>
      <c r="F650" s="13"/>
      <c r="H650" s="24"/>
      <c r="J650" s="13"/>
      <c r="K650" s="13"/>
      <c r="M650" s="24"/>
      <c r="O650" s="13"/>
      <c r="P650" s="13"/>
    </row>
    <row r="651">
      <c r="C651" s="24"/>
      <c r="E651" s="13"/>
      <c r="F651" s="13"/>
      <c r="H651" s="24"/>
      <c r="J651" s="13"/>
      <c r="K651" s="13"/>
      <c r="M651" s="24"/>
      <c r="O651" s="13"/>
      <c r="P651" s="13"/>
    </row>
    <row r="652">
      <c r="C652" s="24"/>
      <c r="E652" s="13"/>
      <c r="F652" s="13"/>
      <c r="H652" s="24"/>
      <c r="J652" s="13"/>
      <c r="K652" s="13"/>
      <c r="M652" s="24"/>
      <c r="O652" s="13"/>
      <c r="P652" s="13"/>
    </row>
    <row r="653">
      <c r="C653" s="24"/>
      <c r="E653" s="13"/>
      <c r="F653" s="13"/>
      <c r="H653" s="24"/>
      <c r="J653" s="13"/>
      <c r="K653" s="13"/>
      <c r="M653" s="24"/>
      <c r="O653" s="13"/>
      <c r="P653" s="13"/>
    </row>
    <row r="654">
      <c r="C654" s="24"/>
      <c r="E654" s="13"/>
      <c r="F654" s="13"/>
      <c r="H654" s="24"/>
      <c r="J654" s="13"/>
      <c r="K654" s="13"/>
      <c r="M654" s="24"/>
      <c r="O654" s="13"/>
      <c r="P654" s="13"/>
    </row>
    <row r="655">
      <c r="C655" s="24"/>
      <c r="E655" s="13"/>
      <c r="F655" s="13"/>
      <c r="H655" s="24"/>
      <c r="J655" s="13"/>
      <c r="K655" s="13"/>
      <c r="M655" s="24"/>
      <c r="O655" s="13"/>
      <c r="P655" s="13"/>
    </row>
    <row r="656">
      <c r="C656" s="24"/>
      <c r="E656" s="13"/>
      <c r="F656" s="13"/>
      <c r="H656" s="24"/>
      <c r="J656" s="13"/>
      <c r="K656" s="13"/>
      <c r="M656" s="24"/>
      <c r="O656" s="13"/>
      <c r="P656" s="13"/>
    </row>
    <row r="657">
      <c r="C657" s="24"/>
      <c r="E657" s="13"/>
      <c r="F657" s="13"/>
      <c r="H657" s="24"/>
      <c r="J657" s="13"/>
      <c r="K657" s="13"/>
      <c r="M657" s="24"/>
      <c r="O657" s="13"/>
      <c r="P657" s="13"/>
    </row>
    <row r="658">
      <c r="C658" s="24"/>
      <c r="E658" s="13"/>
      <c r="F658" s="13"/>
      <c r="H658" s="24"/>
      <c r="J658" s="13"/>
      <c r="K658" s="13"/>
      <c r="M658" s="24"/>
      <c r="O658" s="13"/>
      <c r="P658" s="13"/>
    </row>
    <row r="659">
      <c r="C659" s="24"/>
      <c r="E659" s="13"/>
      <c r="F659" s="13"/>
      <c r="H659" s="24"/>
      <c r="J659" s="13"/>
      <c r="K659" s="13"/>
      <c r="M659" s="24"/>
      <c r="O659" s="13"/>
      <c r="P659" s="13"/>
    </row>
    <row r="660">
      <c r="C660" s="24"/>
      <c r="E660" s="13"/>
      <c r="F660" s="13"/>
      <c r="H660" s="24"/>
      <c r="J660" s="13"/>
      <c r="K660" s="13"/>
      <c r="M660" s="24"/>
      <c r="O660" s="13"/>
      <c r="P660" s="13"/>
    </row>
    <row r="661">
      <c r="C661" s="24"/>
      <c r="E661" s="13"/>
      <c r="F661" s="13"/>
      <c r="H661" s="24"/>
      <c r="J661" s="13"/>
      <c r="K661" s="13"/>
      <c r="M661" s="24"/>
      <c r="O661" s="13"/>
      <c r="P661" s="13"/>
    </row>
    <row r="662">
      <c r="C662" s="24"/>
      <c r="E662" s="13"/>
      <c r="F662" s="13"/>
      <c r="H662" s="24"/>
      <c r="J662" s="13"/>
      <c r="K662" s="13"/>
      <c r="M662" s="24"/>
      <c r="O662" s="13"/>
      <c r="P662" s="13"/>
    </row>
    <row r="663">
      <c r="C663" s="24"/>
      <c r="E663" s="13"/>
      <c r="F663" s="13"/>
      <c r="H663" s="24"/>
      <c r="J663" s="13"/>
      <c r="K663" s="13"/>
      <c r="M663" s="24"/>
      <c r="O663" s="13"/>
      <c r="P663" s="13"/>
    </row>
    <row r="664">
      <c r="C664" s="24"/>
      <c r="E664" s="13"/>
      <c r="F664" s="13"/>
      <c r="H664" s="24"/>
      <c r="J664" s="13"/>
      <c r="K664" s="13"/>
      <c r="M664" s="24"/>
      <c r="O664" s="13"/>
      <c r="P664" s="13"/>
    </row>
    <row r="665">
      <c r="C665" s="24"/>
      <c r="E665" s="13"/>
      <c r="F665" s="13"/>
      <c r="H665" s="24"/>
      <c r="J665" s="13"/>
      <c r="K665" s="13"/>
      <c r="M665" s="24"/>
      <c r="O665" s="13"/>
      <c r="P665" s="13"/>
    </row>
    <row r="666">
      <c r="C666" s="24"/>
      <c r="E666" s="13"/>
      <c r="F666" s="13"/>
      <c r="H666" s="24"/>
      <c r="J666" s="13"/>
      <c r="K666" s="13"/>
      <c r="M666" s="24"/>
      <c r="O666" s="13"/>
      <c r="P666" s="13"/>
    </row>
    <row r="667">
      <c r="C667" s="24"/>
      <c r="E667" s="13"/>
      <c r="F667" s="13"/>
      <c r="H667" s="24"/>
      <c r="J667" s="13"/>
      <c r="K667" s="13"/>
      <c r="M667" s="24"/>
      <c r="O667" s="13"/>
      <c r="P667" s="13"/>
    </row>
    <row r="668">
      <c r="C668" s="24"/>
      <c r="E668" s="13"/>
      <c r="F668" s="13"/>
      <c r="H668" s="24"/>
      <c r="J668" s="13"/>
      <c r="K668" s="13"/>
      <c r="M668" s="24"/>
      <c r="O668" s="13"/>
      <c r="P668" s="13"/>
    </row>
    <row r="669">
      <c r="C669" s="24"/>
      <c r="E669" s="13"/>
      <c r="F669" s="13"/>
      <c r="H669" s="24"/>
      <c r="J669" s="13"/>
      <c r="K669" s="13"/>
      <c r="M669" s="24"/>
      <c r="O669" s="13"/>
      <c r="P669" s="13"/>
    </row>
    <row r="670">
      <c r="C670" s="24"/>
      <c r="E670" s="13"/>
      <c r="F670" s="13"/>
      <c r="H670" s="24"/>
      <c r="J670" s="13"/>
      <c r="K670" s="13"/>
      <c r="M670" s="24"/>
      <c r="O670" s="13"/>
      <c r="P670" s="13"/>
    </row>
    <row r="671">
      <c r="C671" s="24"/>
      <c r="E671" s="13"/>
      <c r="F671" s="13"/>
      <c r="H671" s="24"/>
      <c r="J671" s="13"/>
      <c r="K671" s="13"/>
      <c r="M671" s="24"/>
      <c r="O671" s="13"/>
      <c r="P671" s="13"/>
    </row>
    <row r="672">
      <c r="C672" s="24"/>
      <c r="E672" s="13"/>
      <c r="F672" s="13"/>
      <c r="H672" s="24"/>
      <c r="J672" s="13"/>
      <c r="K672" s="13"/>
      <c r="M672" s="24"/>
      <c r="O672" s="13"/>
      <c r="P672" s="13"/>
    </row>
    <row r="673">
      <c r="C673" s="24"/>
      <c r="E673" s="13"/>
      <c r="F673" s="13"/>
      <c r="H673" s="24"/>
      <c r="J673" s="13"/>
      <c r="K673" s="13"/>
      <c r="M673" s="24"/>
      <c r="O673" s="13"/>
      <c r="P673" s="13"/>
    </row>
    <row r="674">
      <c r="C674" s="24"/>
      <c r="E674" s="13"/>
      <c r="F674" s="13"/>
      <c r="H674" s="24"/>
      <c r="J674" s="13"/>
      <c r="K674" s="13"/>
      <c r="M674" s="24"/>
      <c r="O674" s="13"/>
      <c r="P674" s="13"/>
    </row>
    <row r="675">
      <c r="C675" s="24"/>
      <c r="E675" s="13"/>
      <c r="F675" s="13"/>
      <c r="H675" s="24"/>
      <c r="J675" s="13"/>
      <c r="K675" s="13"/>
      <c r="M675" s="24"/>
      <c r="O675" s="13"/>
      <c r="P675" s="13"/>
    </row>
    <row r="676">
      <c r="C676" s="24"/>
      <c r="E676" s="13"/>
      <c r="F676" s="13"/>
      <c r="H676" s="24"/>
      <c r="J676" s="13"/>
      <c r="K676" s="13"/>
      <c r="M676" s="24"/>
      <c r="O676" s="13"/>
      <c r="P676" s="13"/>
    </row>
    <row r="677">
      <c r="C677" s="24"/>
      <c r="E677" s="13"/>
      <c r="F677" s="13"/>
      <c r="H677" s="24"/>
      <c r="J677" s="13"/>
      <c r="K677" s="13"/>
      <c r="M677" s="24"/>
      <c r="O677" s="13"/>
      <c r="P677" s="13"/>
    </row>
    <row r="678">
      <c r="C678" s="24"/>
      <c r="E678" s="13"/>
      <c r="F678" s="13"/>
      <c r="H678" s="24"/>
      <c r="J678" s="13"/>
      <c r="K678" s="13"/>
      <c r="M678" s="24"/>
      <c r="O678" s="13"/>
      <c r="P678" s="13"/>
    </row>
    <row r="679">
      <c r="C679" s="24"/>
      <c r="E679" s="13"/>
      <c r="F679" s="13"/>
      <c r="H679" s="24"/>
      <c r="J679" s="13"/>
      <c r="K679" s="13"/>
      <c r="M679" s="24"/>
      <c r="O679" s="13"/>
      <c r="P679" s="13"/>
    </row>
    <row r="680">
      <c r="C680" s="24"/>
      <c r="E680" s="13"/>
      <c r="F680" s="13"/>
      <c r="H680" s="24"/>
      <c r="J680" s="13"/>
      <c r="K680" s="13"/>
      <c r="M680" s="24"/>
      <c r="O680" s="13"/>
      <c r="P680" s="13"/>
    </row>
    <row r="681">
      <c r="C681" s="24"/>
      <c r="E681" s="13"/>
      <c r="F681" s="13"/>
      <c r="H681" s="24"/>
      <c r="J681" s="13"/>
      <c r="K681" s="13"/>
      <c r="M681" s="24"/>
      <c r="O681" s="13"/>
      <c r="P681" s="13"/>
    </row>
    <row r="682">
      <c r="C682" s="24"/>
      <c r="E682" s="13"/>
      <c r="F682" s="13"/>
      <c r="H682" s="24"/>
      <c r="J682" s="13"/>
      <c r="K682" s="13"/>
      <c r="M682" s="24"/>
      <c r="O682" s="13"/>
      <c r="P682" s="13"/>
    </row>
    <row r="683">
      <c r="C683" s="24"/>
      <c r="E683" s="13"/>
      <c r="F683" s="13"/>
      <c r="H683" s="24"/>
      <c r="J683" s="13"/>
      <c r="K683" s="13"/>
      <c r="M683" s="24"/>
      <c r="O683" s="13"/>
      <c r="P683" s="13"/>
    </row>
    <row r="684">
      <c r="C684" s="24"/>
      <c r="E684" s="13"/>
      <c r="F684" s="13"/>
      <c r="H684" s="24"/>
      <c r="J684" s="13"/>
      <c r="K684" s="13"/>
      <c r="M684" s="24"/>
      <c r="O684" s="13"/>
      <c r="P684" s="13"/>
    </row>
    <row r="685">
      <c r="C685" s="24"/>
      <c r="E685" s="13"/>
      <c r="F685" s="13"/>
      <c r="H685" s="24"/>
      <c r="J685" s="13"/>
      <c r="K685" s="13"/>
      <c r="M685" s="24"/>
      <c r="O685" s="13"/>
      <c r="P685" s="13"/>
    </row>
    <row r="686">
      <c r="C686" s="24"/>
      <c r="E686" s="13"/>
      <c r="F686" s="13"/>
      <c r="H686" s="24"/>
      <c r="J686" s="13"/>
      <c r="K686" s="13"/>
      <c r="M686" s="24"/>
      <c r="O686" s="13"/>
      <c r="P686" s="13"/>
    </row>
    <row r="687">
      <c r="C687" s="24"/>
      <c r="E687" s="13"/>
      <c r="F687" s="13"/>
      <c r="H687" s="24"/>
      <c r="J687" s="13"/>
      <c r="K687" s="13"/>
      <c r="M687" s="24"/>
      <c r="O687" s="13"/>
      <c r="P687" s="13"/>
    </row>
    <row r="688">
      <c r="C688" s="24"/>
      <c r="E688" s="13"/>
      <c r="F688" s="13"/>
      <c r="H688" s="24"/>
      <c r="J688" s="13"/>
      <c r="K688" s="13"/>
      <c r="M688" s="24"/>
      <c r="O688" s="13"/>
      <c r="P688" s="13"/>
    </row>
    <row r="689">
      <c r="C689" s="24"/>
      <c r="E689" s="13"/>
      <c r="F689" s="13"/>
      <c r="H689" s="24"/>
      <c r="J689" s="13"/>
      <c r="K689" s="13"/>
      <c r="M689" s="24"/>
      <c r="O689" s="13"/>
      <c r="P689" s="13"/>
    </row>
    <row r="690">
      <c r="C690" s="24"/>
      <c r="E690" s="13"/>
      <c r="F690" s="13"/>
      <c r="H690" s="24"/>
      <c r="J690" s="13"/>
      <c r="K690" s="13"/>
      <c r="M690" s="24"/>
      <c r="O690" s="13"/>
      <c r="P690" s="13"/>
    </row>
    <row r="691">
      <c r="C691" s="24"/>
      <c r="E691" s="13"/>
      <c r="F691" s="13"/>
      <c r="H691" s="24"/>
      <c r="J691" s="13"/>
      <c r="K691" s="13"/>
      <c r="M691" s="24"/>
      <c r="O691" s="13"/>
      <c r="P691" s="13"/>
    </row>
    <row r="692">
      <c r="C692" s="24"/>
      <c r="E692" s="13"/>
      <c r="F692" s="13"/>
      <c r="H692" s="24"/>
      <c r="J692" s="13"/>
      <c r="K692" s="13"/>
      <c r="M692" s="24"/>
      <c r="O692" s="13"/>
      <c r="P692" s="13"/>
    </row>
    <row r="693">
      <c r="C693" s="24"/>
      <c r="E693" s="13"/>
      <c r="F693" s="13"/>
      <c r="H693" s="24"/>
      <c r="J693" s="13"/>
      <c r="K693" s="13"/>
      <c r="M693" s="24"/>
      <c r="O693" s="13"/>
      <c r="P693" s="13"/>
    </row>
    <row r="694">
      <c r="C694" s="24"/>
      <c r="E694" s="13"/>
      <c r="F694" s="13"/>
      <c r="H694" s="24"/>
      <c r="J694" s="13"/>
      <c r="K694" s="13"/>
      <c r="M694" s="24"/>
      <c r="O694" s="13"/>
      <c r="P694" s="13"/>
    </row>
    <row r="695">
      <c r="C695" s="24"/>
      <c r="E695" s="13"/>
      <c r="F695" s="13"/>
      <c r="H695" s="24"/>
      <c r="J695" s="13"/>
      <c r="K695" s="13"/>
      <c r="M695" s="24"/>
      <c r="O695" s="13"/>
      <c r="P695" s="13"/>
    </row>
    <row r="696">
      <c r="C696" s="24"/>
      <c r="E696" s="13"/>
      <c r="F696" s="13"/>
      <c r="H696" s="24"/>
      <c r="J696" s="13"/>
      <c r="K696" s="13"/>
      <c r="M696" s="24"/>
      <c r="O696" s="13"/>
      <c r="P696" s="13"/>
    </row>
    <row r="697">
      <c r="C697" s="24"/>
      <c r="E697" s="13"/>
      <c r="F697" s="13"/>
      <c r="H697" s="24"/>
      <c r="J697" s="13"/>
      <c r="K697" s="13"/>
      <c r="M697" s="24"/>
      <c r="O697" s="13"/>
      <c r="P697" s="13"/>
    </row>
    <row r="698">
      <c r="C698" s="24"/>
      <c r="E698" s="13"/>
      <c r="F698" s="13"/>
      <c r="H698" s="24"/>
      <c r="J698" s="13"/>
      <c r="K698" s="13"/>
      <c r="M698" s="24"/>
      <c r="O698" s="13"/>
      <c r="P698" s="13"/>
    </row>
    <row r="699">
      <c r="C699" s="24"/>
      <c r="E699" s="13"/>
      <c r="F699" s="13"/>
      <c r="H699" s="24"/>
      <c r="J699" s="13"/>
      <c r="K699" s="13"/>
      <c r="M699" s="24"/>
      <c r="O699" s="13"/>
      <c r="P699" s="13"/>
    </row>
    <row r="700">
      <c r="C700" s="24"/>
      <c r="E700" s="13"/>
      <c r="F700" s="13"/>
      <c r="H700" s="24"/>
      <c r="J700" s="13"/>
      <c r="K700" s="13"/>
      <c r="M700" s="24"/>
      <c r="O700" s="13"/>
      <c r="P700" s="13"/>
    </row>
    <row r="701">
      <c r="C701" s="24"/>
      <c r="E701" s="13"/>
      <c r="F701" s="13"/>
      <c r="H701" s="24"/>
      <c r="J701" s="13"/>
      <c r="K701" s="13"/>
      <c r="M701" s="24"/>
      <c r="O701" s="13"/>
      <c r="P701" s="13"/>
    </row>
    <row r="702">
      <c r="C702" s="24"/>
      <c r="E702" s="13"/>
      <c r="F702" s="13"/>
      <c r="H702" s="24"/>
      <c r="J702" s="13"/>
      <c r="K702" s="13"/>
      <c r="M702" s="24"/>
      <c r="O702" s="13"/>
      <c r="P702" s="13"/>
    </row>
    <row r="703">
      <c r="C703" s="24"/>
      <c r="E703" s="13"/>
      <c r="F703" s="13"/>
      <c r="H703" s="24"/>
      <c r="J703" s="13"/>
      <c r="K703" s="13"/>
      <c r="M703" s="24"/>
      <c r="O703" s="13"/>
      <c r="P703" s="13"/>
    </row>
    <row r="704">
      <c r="C704" s="24"/>
      <c r="E704" s="13"/>
      <c r="F704" s="13"/>
      <c r="H704" s="24"/>
      <c r="J704" s="13"/>
      <c r="K704" s="13"/>
      <c r="M704" s="24"/>
      <c r="O704" s="13"/>
      <c r="P704" s="13"/>
    </row>
    <row r="705">
      <c r="C705" s="24"/>
      <c r="E705" s="13"/>
      <c r="F705" s="13"/>
      <c r="H705" s="24"/>
      <c r="J705" s="13"/>
      <c r="K705" s="13"/>
      <c r="M705" s="24"/>
      <c r="O705" s="13"/>
      <c r="P705" s="13"/>
    </row>
    <row r="706">
      <c r="C706" s="24"/>
      <c r="E706" s="13"/>
      <c r="F706" s="13"/>
      <c r="H706" s="24"/>
      <c r="J706" s="13"/>
      <c r="K706" s="13"/>
      <c r="M706" s="24"/>
      <c r="O706" s="13"/>
      <c r="P706" s="13"/>
    </row>
    <row r="707">
      <c r="C707" s="24"/>
      <c r="E707" s="13"/>
      <c r="F707" s="13"/>
      <c r="H707" s="24"/>
      <c r="J707" s="13"/>
      <c r="K707" s="13"/>
      <c r="M707" s="24"/>
      <c r="O707" s="13"/>
      <c r="P707" s="13"/>
    </row>
    <row r="708">
      <c r="C708" s="24"/>
      <c r="E708" s="13"/>
      <c r="F708" s="13"/>
      <c r="H708" s="24"/>
      <c r="J708" s="13"/>
      <c r="K708" s="13"/>
      <c r="M708" s="24"/>
      <c r="O708" s="13"/>
      <c r="P708" s="13"/>
    </row>
    <row r="709">
      <c r="C709" s="24"/>
      <c r="E709" s="13"/>
      <c r="F709" s="13"/>
      <c r="H709" s="24"/>
      <c r="J709" s="13"/>
      <c r="K709" s="13"/>
      <c r="M709" s="24"/>
      <c r="O709" s="13"/>
      <c r="P709" s="13"/>
    </row>
    <row r="710">
      <c r="C710" s="24"/>
      <c r="E710" s="13"/>
      <c r="F710" s="13"/>
      <c r="H710" s="24"/>
      <c r="J710" s="13"/>
      <c r="K710" s="13"/>
      <c r="M710" s="24"/>
      <c r="O710" s="13"/>
      <c r="P710" s="13"/>
    </row>
    <row r="711">
      <c r="C711" s="24"/>
      <c r="E711" s="13"/>
      <c r="F711" s="13"/>
      <c r="H711" s="24"/>
      <c r="J711" s="13"/>
      <c r="K711" s="13"/>
      <c r="M711" s="24"/>
      <c r="O711" s="13"/>
      <c r="P711" s="13"/>
    </row>
    <row r="712">
      <c r="C712" s="24"/>
      <c r="E712" s="13"/>
      <c r="F712" s="13"/>
      <c r="H712" s="24"/>
      <c r="J712" s="13"/>
      <c r="K712" s="13"/>
      <c r="M712" s="24"/>
      <c r="O712" s="13"/>
      <c r="P712" s="13"/>
    </row>
    <row r="713">
      <c r="C713" s="24"/>
      <c r="E713" s="13"/>
      <c r="F713" s="13"/>
      <c r="H713" s="24"/>
      <c r="J713" s="13"/>
      <c r="K713" s="13"/>
      <c r="M713" s="24"/>
      <c r="O713" s="13"/>
      <c r="P713" s="13"/>
    </row>
    <row r="714">
      <c r="C714" s="24"/>
      <c r="E714" s="13"/>
      <c r="F714" s="13"/>
      <c r="H714" s="24"/>
      <c r="J714" s="13"/>
      <c r="K714" s="13"/>
      <c r="M714" s="24"/>
      <c r="O714" s="13"/>
      <c r="P714" s="13"/>
    </row>
    <row r="715">
      <c r="C715" s="24"/>
      <c r="E715" s="13"/>
      <c r="F715" s="13"/>
      <c r="H715" s="24"/>
      <c r="J715" s="13"/>
      <c r="K715" s="13"/>
      <c r="M715" s="24"/>
      <c r="O715" s="13"/>
      <c r="P715" s="13"/>
    </row>
    <row r="716">
      <c r="C716" s="24"/>
      <c r="E716" s="13"/>
      <c r="F716" s="13"/>
      <c r="H716" s="24"/>
      <c r="J716" s="13"/>
      <c r="K716" s="13"/>
      <c r="M716" s="24"/>
      <c r="O716" s="13"/>
      <c r="P716" s="13"/>
    </row>
    <row r="717">
      <c r="C717" s="24"/>
      <c r="E717" s="13"/>
      <c r="F717" s="13"/>
      <c r="H717" s="24"/>
      <c r="J717" s="13"/>
      <c r="K717" s="13"/>
      <c r="M717" s="24"/>
      <c r="O717" s="13"/>
      <c r="P717" s="13"/>
    </row>
    <row r="718">
      <c r="C718" s="24"/>
      <c r="E718" s="13"/>
      <c r="F718" s="13"/>
      <c r="H718" s="24"/>
      <c r="J718" s="13"/>
      <c r="K718" s="13"/>
      <c r="M718" s="24"/>
      <c r="O718" s="13"/>
      <c r="P718" s="13"/>
    </row>
    <row r="719">
      <c r="C719" s="24"/>
      <c r="E719" s="13"/>
      <c r="F719" s="13"/>
      <c r="H719" s="24"/>
      <c r="J719" s="13"/>
      <c r="K719" s="13"/>
      <c r="M719" s="24"/>
      <c r="O719" s="13"/>
      <c r="P719" s="13"/>
    </row>
    <row r="720">
      <c r="C720" s="24"/>
      <c r="E720" s="13"/>
      <c r="F720" s="13"/>
      <c r="H720" s="24"/>
      <c r="J720" s="13"/>
      <c r="K720" s="13"/>
      <c r="M720" s="24"/>
      <c r="O720" s="13"/>
      <c r="P720" s="13"/>
    </row>
    <row r="721">
      <c r="C721" s="24"/>
      <c r="E721" s="13"/>
      <c r="F721" s="13"/>
      <c r="H721" s="24"/>
      <c r="J721" s="13"/>
      <c r="K721" s="13"/>
      <c r="M721" s="24"/>
      <c r="O721" s="13"/>
      <c r="P721" s="13"/>
    </row>
    <row r="722">
      <c r="C722" s="24"/>
      <c r="E722" s="13"/>
      <c r="F722" s="13"/>
      <c r="H722" s="24"/>
      <c r="J722" s="13"/>
      <c r="K722" s="13"/>
      <c r="M722" s="24"/>
      <c r="O722" s="13"/>
      <c r="P722" s="13"/>
    </row>
    <row r="723">
      <c r="C723" s="24"/>
      <c r="E723" s="13"/>
      <c r="F723" s="13"/>
      <c r="H723" s="24"/>
      <c r="J723" s="13"/>
      <c r="K723" s="13"/>
      <c r="M723" s="24"/>
      <c r="O723" s="13"/>
      <c r="P723" s="13"/>
    </row>
    <row r="724">
      <c r="C724" s="24"/>
      <c r="E724" s="13"/>
      <c r="F724" s="13"/>
      <c r="H724" s="24"/>
      <c r="J724" s="13"/>
      <c r="K724" s="13"/>
      <c r="M724" s="24"/>
      <c r="O724" s="13"/>
      <c r="P724" s="13"/>
    </row>
    <row r="725">
      <c r="C725" s="24"/>
      <c r="E725" s="13"/>
      <c r="F725" s="13"/>
      <c r="H725" s="24"/>
      <c r="J725" s="13"/>
      <c r="K725" s="13"/>
      <c r="M725" s="24"/>
      <c r="O725" s="13"/>
      <c r="P725" s="13"/>
    </row>
    <row r="726">
      <c r="C726" s="24"/>
      <c r="E726" s="13"/>
      <c r="F726" s="13"/>
      <c r="H726" s="24"/>
      <c r="J726" s="13"/>
      <c r="K726" s="13"/>
      <c r="M726" s="24"/>
      <c r="O726" s="13"/>
      <c r="P726" s="13"/>
    </row>
    <row r="727">
      <c r="C727" s="24"/>
      <c r="E727" s="13"/>
      <c r="F727" s="13"/>
      <c r="H727" s="24"/>
      <c r="J727" s="13"/>
      <c r="K727" s="13"/>
      <c r="M727" s="24"/>
      <c r="O727" s="13"/>
      <c r="P727" s="13"/>
    </row>
    <row r="728">
      <c r="C728" s="24"/>
      <c r="E728" s="13"/>
      <c r="F728" s="13"/>
      <c r="H728" s="24"/>
      <c r="J728" s="13"/>
      <c r="K728" s="13"/>
      <c r="M728" s="24"/>
      <c r="O728" s="13"/>
      <c r="P728" s="13"/>
    </row>
    <row r="729">
      <c r="C729" s="24"/>
      <c r="E729" s="13"/>
      <c r="F729" s="13"/>
      <c r="H729" s="24"/>
      <c r="J729" s="13"/>
      <c r="K729" s="13"/>
      <c r="M729" s="24"/>
      <c r="O729" s="13"/>
      <c r="P729" s="13"/>
    </row>
    <row r="730">
      <c r="C730" s="24"/>
      <c r="E730" s="13"/>
      <c r="F730" s="13"/>
      <c r="H730" s="24"/>
      <c r="J730" s="13"/>
      <c r="K730" s="13"/>
      <c r="M730" s="24"/>
      <c r="O730" s="13"/>
      <c r="P730" s="13"/>
    </row>
    <row r="731">
      <c r="C731" s="24"/>
      <c r="E731" s="13"/>
      <c r="F731" s="13"/>
      <c r="H731" s="24"/>
      <c r="J731" s="13"/>
      <c r="K731" s="13"/>
      <c r="M731" s="24"/>
      <c r="O731" s="13"/>
      <c r="P731" s="13"/>
    </row>
    <row r="732">
      <c r="C732" s="24"/>
      <c r="E732" s="13"/>
      <c r="F732" s="13"/>
      <c r="H732" s="24"/>
      <c r="J732" s="13"/>
      <c r="K732" s="13"/>
      <c r="M732" s="24"/>
      <c r="O732" s="13"/>
      <c r="P732" s="13"/>
    </row>
    <row r="733">
      <c r="C733" s="24"/>
      <c r="E733" s="13"/>
      <c r="F733" s="13"/>
      <c r="H733" s="24"/>
      <c r="J733" s="13"/>
      <c r="K733" s="13"/>
      <c r="M733" s="24"/>
      <c r="O733" s="13"/>
      <c r="P733" s="13"/>
    </row>
    <row r="734">
      <c r="C734" s="24"/>
      <c r="E734" s="13"/>
      <c r="F734" s="13"/>
      <c r="H734" s="24"/>
      <c r="J734" s="13"/>
      <c r="K734" s="13"/>
      <c r="M734" s="24"/>
      <c r="O734" s="13"/>
      <c r="P734" s="13"/>
    </row>
    <row r="735">
      <c r="C735" s="24"/>
      <c r="E735" s="13"/>
      <c r="F735" s="13"/>
      <c r="H735" s="24"/>
      <c r="J735" s="13"/>
      <c r="K735" s="13"/>
      <c r="M735" s="24"/>
      <c r="O735" s="13"/>
      <c r="P735" s="13"/>
    </row>
    <row r="736">
      <c r="C736" s="24"/>
      <c r="E736" s="13"/>
      <c r="F736" s="13"/>
      <c r="H736" s="24"/>
      <c r="J736" s="13"/>
      <c r="K736" s="13"/>
      <c r="M736" s="24"/>
      <c r="O736" s="13"/>
      <c r="P736" s="13"/>
    </row>
    <row r="737">
      <c r="C737" s="24"/>
      <c r="E737" s="13"/>
      <c r="F737" s="13"/>
      <c r="H737" s="24"/>
      <c r="J737" s="13"/>
      <c r="K737" s="13"/>
      <c r="M737" s="24"/>
      <c r="O737" s="13"/>
      <c r="P737" s="13"/>
    </row>
    <row r="738">
      <c r="C738" s="24"/>
      <c r="E738" s="13"/>
      <c r="F738" s="13"/>
      <c r="H738" s="24"/>
      <c r="J738" s="13"/>
      <c r="K738" s="13"/>
      <c r="M738" s="24"/>
      <c r="O738" s="13"/>
      <c r="P738" s="13"/>
    </row>
    <row r="739">
      <c r="C739" s="24"/>
      <c r="E739" s="13"/>
      <c r="F739" s="13"/>
      <c r="H739" s="24"/>
      <c r="J739" s="13"/>
      <c r="K739" s="13"/>
      <c r="M739" s="24"/>
      <c r="O739" s="13"/>
      <c r="P739" s="13"/>
    </row>
    <row r="740">
      <c r="C740" s="24"/>
      <c r="E740" s="13"/>
      <c r="F740" s="13"/>
      <c r="H740" s="24"/>
      <c r="J740" s="13"/>
      <c r="K740" s="13"/>
      <c r="M740" s="24"/>
      <c r="O740" s="13"/>
      <c r="P740" s="13"/>
    </row>
    <row r="741">
      <c r="C741" s="24"/>
      <c r="E741" s="13"/>
      <c r="F741" s="13"/>
      <c r="H741" s="24"/>
      <c r="J741" s="13"/>
      <c r="K741" s="13"/>
      <c r="M741" s="24"/>
      <c r="O741" s="13"/>
      <c r="P741" s="13"/>
    </row>
    <row r="742">
      <c r="C742" s="24"/>
      <c r="E742" s="13"/>
      <c r="F742" s="13"/>
      <c r="H742" s="24"/>
      <c r="J742" s="13"/>
      <c r="K742" s="13"/>
      <c r="M742" s="24"/>
      <c r="O742" s="13"/>
      <c r="P742" s="13"/>
    </row>
    <row r="743">
      <c r="C743" s="24"/>
      <c r="E743" s="13"/>
      <c r="F743" s="13"/>
      <c r="H743" s="24"/>
      <c r="J743" s="13"/>
      <c r="K743" s="13"/>
      <c r="M743" s="24"/>
      <c r="O743" s="13"/>
      <c r="P743" s="13"/>
    </row>
    <row r="744">
      <c r="C744" s="24"/>
      <c r="E744" s="13"/>
      <c r="F744" s="13"/>
      <c r="H744" s="24"/>
      <c r="J744" s="13"/>
      <c r="K744" s="13"/>
      <c r="M744" s="24"/>
      <c r="O744" s="13"/>
      <c r="P744" s="13"/>
    </row>
    <row r="745">
      <c r="C745" s="24"/>
      <c r="E745" s="13"/>
      <c r="F745" s="13"/>
      <c r="H745" s="24"/>
      <c r="J745" s="13"/>
      <c r="K745" s="13"/>
      <c r="M745" s="24"/>
      <c r="O745" s="13"/>
      <c r="P745" s="13"/>
    </row>
    <row r="746">
      <c r="C746" s="24"/>
      <c r="E746" s="13"/>
      <c r="F746" s="13"/>
      <c r="H746" s="24"/>
      <c r="J746" s="13"/>
      <c r="K746" s="13"/>
      <c r="M746" s="24"/>
      <c r="O746" s="13"/>
      <c r="P746" s="13"/>
    </row>
    <row r="747">
      <c r="C747" s="24"/>
      <c r="E747" s="13"/>
      <c r="F747" s="13"/>
      <c r="H747" s="24"/>
      <c r="J747" s="13"/>
      <c r="K747" s="13"/>
      <c r="M747" s="24"/>
      <c r="O747" s="13"/>
      <c r="P747" s="13"/>
    </row>
    <row r="748">
      <c r="C748" s="24"/>
      <c r="E748" s="13"/>
      <c r="F748" s="13"/>
      <c r="H748" s="24"/>
      <c r="J748" s="13"/>
      <c r="K748" s="13"/>
      <c r="M748" s="24"/>
      <c r="O748" s="13"/>
      <c r="P748" s="13"/>
    </row>
    <row r="749">
      <c r="C749" s="24"/>
      <c r="E749" s="13"/>
      <c r="F749" s="13"/>
      <c r="H749" s="24"/>
      <c r="J749" s="13"/>
      <c r="K749" s="13"/>
      <c r="M749" s="24"/>
      <c r="O749" s="13"/>
      <c r="P749" s="13"/>
    </row>
    <row r="750">
      <c r="C750" s="24"/>
      <c r="E750" s="13"/>
      <c r="F750" s="13"/>
      <c r="H750" s="24"/>
      <c r="J750" s="13"/>
      <c r="K750" s="13"/>
      <c r="M750" s="24"/>
      <c r="O750" s="13"/>
      <c r="P750" s="13"/>
    </row>
    <row r="751">
      <c r="C751" s="24"/>
      <c r="E751" s="13"/>
      <c r="F751" s="13"/>
      <c r="H751" s="24"/>
      <c r="J751" s="13"/>
      <c r="K751" s="13"/>
      <c r="M751" s="24"/>
      <c r="O751" s="13"/>
      <c r="P751" s="13"/>
    </row>
    <row r="752">
      <c r="C752" s="24"/>
      <c r="E752" s="13"/>
      <c r="F752" s="13"/>
      <c r="H752" s="24"/>
      <c r="J752" s="13"/>
      <c r="K752" s="13"/>
      <c r="M752" s="24"/>
      <c r="O752" s="13"/>
      <c r="P752" s="13"/>
    </row>
    <row r="753">
      <c r="C753" s="24"/>
      <c r="E753" s="13"/>
      <c r="F753" s="13"/>
      <c r="H753" s="24"/>
      <c r="J753" s="13"/>
      <c r="K753" s="13"/>
      <c r="M753" s="24"/>
      <c r="O753" s="13"/>
      <c r="P753" s="13"/>
    </row>
    <row r="754">
      <c r="C754" s="24"/>
      <c r="E754" s="13"/>
      <c r="F754" s="13"/>
      <c r="H754" s="24"/>
      <c r="J754" s="13"/>
      <c r="K754" s="13"/>
      <c r="M754" s="24"/>
      <c r="O754" s="13"/>
      <c r="P754" s="13"/>
    </row>
    <row r="755">
      <c r="C755" s="24"/>
      <c r="E755" s="13"/>
      <c r="F755" s="13"/>
      <c r="H755" s="24"/>
      <c r="J755" s="13"/>
      <c r="K755" s="13"/>
      <c r="M755" s="24"/>
      <c r="O755" s="13"/>
      <c r="P755" s="13"/>
    </row>
    <row r="756">
      <c r="C756" s="24"/>
      <c r="E756" s="13"/>
      <c r="F756" s="13"/>
      <c r="H756" s="24"/>
      <c r="J756" s="13"/>
      <c r="K756" s="13"/>
      <c r="M756" s="24"/>
      <c r="O756" s="13"/>
      <c r="P756" s="13"/>
    </row>
    <row r="757">
      <c r="C757" s="24"/>
      <c r="E757" s="13"/>
      <c r="F757" s="13"/>
      <c r="H757" s="24"/>
      <c r="J757" s="13"/>
      <c r="K757" s="13"/>
      <c r="M757" s="24"/>
      <c r="O757" s="13"/>
      <c r="P757" s="13"/>
    </row>
    <row r="758">
      <c r="C758" s="24"/>
      <c r="E758" s="13"/>
      <c r="F758" s="13"/>
      <c r="H758" s="24"/>
      <c r="J758" s="13"/>
      <c r="K758" s="13"/>
      <c r="M758" s="24"/>
      <c r="O758" s="13"/>
      <c r="P758" s="13"/>
    </row>
    <row r="759">
      <c r="C759" s="24"/>
      <c r="E759" s="13"/>
      <c r="F759" s="13"/>
      <c r="H759" s="24"/>
      <c r="J759" s="13"/>
      <c r="K759" s="13"/>
      <c r="M759" s="24"/>
      <c r="O759" s="13"/>
      <c r="P759" s="13"/>
    </row>
    <row r="760">
      <c r="C760" s="24"/>
      <c r="E760" s="13"/>
      <c r="F760" s="13"/>
      <c r="H760" s="24"/>
      <c r="J760" s="13"/>
      <c r="K760" s="13"/>
      <c r="M760" s="24"/>
      <c r="O760" s="13"/>
      <c r="P760" s="13"/>
    </row>
    <row r="761">
      <c r="C761" s="24"/>
      <c r="E761" s="13"/>
      <c r="F761" s="13"/>
      <c r="H761" s="24"/>
      <c r="J761" s="13"/>
      <c r="K761" s="13"/>
      <c r="M761" s="24"/>
      <c r="O761" s="13"/>
      <c r="P761" s="13"/>
    </row>
    <row r="762">
      <c r="C762" s="24"/>
      <c r="E762" s="13"/>
      <c r="F762" s="13"/>
      <c r="H762" s="24"/>
      <c r="J762" s="13"/>
      <c r="K762" s="13"/>
      <c r="M762" s="24"/>
      <c r="O762" s="13"/>
      <c r="P762" s="13"/>
    </row>
    <row r="763">
      <c r="C763" s="24"/>
      <c r="E763" s="13"/>
      <c r="F763" s="13"/>
      <c r="H763" s="24"/>
      <c r="J763" s="13"/>
      <c r="K763" s="13"/>
      <c r="M763" s="24"/>
      <c r="O763" s="13"/>
      <c r="P763" s="13"/>
    </row>
    <row r="764">
      <c r="C764" s="24"/>
      <c r="E764" s="13"/>
      <c r="F764" s="13"/>
      <c r="H764" s="24"/>
      <c r="J764" s="13"/>
      <c r="K764" s="13"/>
      <c r="M764" s="24"/>
      <c r="O764" s="13"/>
      <c r="P764" s="13"/>
    </row>
    <row r="765">
      <c r="C765" s="24"/>
      <c r="E765" s="13"/>
      <c r="F765" s="13"/>
      <c r="H765" s="24"/>
      <c r="J765" s="13"/>
      <c r="K765" s="13"/>
      <c r="M765" s="24"/>
      <c r="O765" s="13"/>
      <c r="P765" s="13"/>
    </row>
    <row r="766">
      <c r="C766" s="24"/>
      <c r="E766" s="13"/>
      <c r="F766" s="13"/>
      <c r="H766" s="24"/>
      <c r="J766" s="13"/>
      <c r="K766" s="13"/>
      <c r="M766" s="24"/>
      <c r="O766" s="13"/>
      <c r="P766" s="13"/>
    </row>
    <row r="767">
      <c r="C767" s="24"/>
      <c r="E767" s="13"/>
      <c r="F767" s="13"/>
      <c r="H767" s="24"/>
      <c r="J767" s="13"/>
      <c r="K767" s="13"/>
      <c r="M767" s="24"/>
      <c r="O767" s="13"/>
      <c r="P767" s="13"/>
    </row>
    <row r="768">
      <c r="C768" s="24"/>
      <c r="E768" s="13"/>
      <c r="F768" s="13"/>
      <c r="H768" s="24"/>
      <c r="J768" s="13"/>
      <c r="K768" s="13"/>
      <c r="M768" s="24"/>
      <c r="O768" s="13"/>
      <c r="P768" s="13"/>
    </row>
    <row r="769">
      <c r="C769" s="24"/>
      <c r="E769" s="13"/>
      <c r="F769" s="13"/>
      <c r="H769" s="24"/>
      <c r="J769" s="13"/>
      <c r="K769" s="13"/>
      <c r="M769" s="24"/>
      <c r="O769" s="13"/>
      <c r="P769" s="13"/>
    </row>
    <row r="770">
      <c r="C770" s="24"/>
      <c r="E770" s="13"/>
      <c r="F770" s="13"/>
      <c r="H770" s="24"/>
      <c r="J770" s="13"/>
      <c r="K770" s="13"/>
      <c r="M770" s="24"/>
      <c r="O770" s="13"/>
      <c r="P770" s="13"/>
    </row>
    <row r="771">
      <c r="C771" s="24"/>
      <c r="E771" s="13"/>
      <c r="F771" s="13"/>
      <c r="H771" s="24"/>
      <c r="J771" s="13"/>
      <c r="K771" s="13"/>
      <c r="M771" s="24"/>
      <c r="O771" s="13"/>
      <c r="P771" s="13"/>
    </row>
    <row r="772">
      <c r="C772" s="24"/>
      <c r="E772" s="13"/>
      <c r="F772" s="13"/>
      <c r="H772" s="24"/>
      <c r="J772" s="13"/>
      <c r="K772" s="13"/>
      <c r="M772" s="24"/>
      <c r="O772" s="13"/>
      <c r="P772" s="13"/>
    </row>
    <row r="773">
      <c r="C773" s="24"/>
      <c r="E773" s="13"/>
      <c r="F773" s="13"/>
      <c r="H773" s="24"/>
      <c r="J773" s="13"/>
      <c r="K773" s="13"/>
      <c r="M773" s="24"/>
      <c r="O773" s="13"/>
      <c r="P773" s="13"/>
    </row>
    <row r="774">
      <c r="C774" s="24"/>
      <c r="E774" s="13"/>
      <c r="F774" s="13"/>
      <c r="H774" s="24"/>
      <c r="J774" s="13"/>
      <c r="K774" s="13"/>
      <c r="M774" s="24"/>
      <c r="O774" s="13"/>
      <c r="P774" s="13"/>
    </row>
    <row r="775">
      <c r="C775" s="24"/>
      <c r="E775" s="13"/>
      <c r="F775" s="13"/>
      <c r="H775" s="24"/>
      <c r="J775" s="13"/>
      <c r="K775" s="13"/>
      <c r="M775" s="24"/>
      <c r="O775" s="13"/>
      <c r="P775" s="13"/>
    </row>
    <row r="776">
      <c r="C776" s="24"/>
      <c r="E776" s="13"/>
      <c r="F776" s="13"/>
      <c r="H776" s="24"/>
      <c r="J776" s="13"/>
      <c r="K776" s="13"/>
      <c r="M776" s="24"/>
      <c r="O776" s="13"/>
      <c r="P776" s="13"/>
    </row>
    <row r="777">
      <c r="C777" s="24"/>
      <c r="E777" s="13"/>
      <c r="F777" s="13"/>
      <c r="H777" s="24"/>
      <c r="J777" s="13"/>
      <c r="K777" s="13"/>
      <c r="M777" s="24"/>
      <c r="O777" s="13"/>
      <c r="P777" s="13"/>
    </row>
    <row r="778">
      <c r="C778" s="24"/>
      <c r="E778" s="13"/>
      <c r="F778" s="13"/>
      <c r="H778" s="24"/>
      <c r="J778" s="13"/>
      <c r="K778" s="13"/>
      <c r="M778" s="24"/>
      <c r="O778" s="13"/>
      <c r="P778" s="13"/>
    </row>
    <row r="779">
      <c r="C779" s="24"/>
      <c r="E779" s="13"/>
      <c r="F779" s="13"/>
      <c r="H779" s="24"/>
      <c r="J779" s="13"/>
      <c r="K779" s="13"/>
      <c r="M779" s="24"/>
      <c r="O779" s="13"/>
      <c r="P779" s="13"/>
    </row>
    <row r="780">
      <c r="C780" s="24"/>
      <c r="E780" s="13"/>
      <c r="F780" s="13"/>
      <c r="H780" s="24"/>
      <c r="J780" s="13"/>
      <c r="K780" s="13"/>
      <c r="M780" s="24"/>
      <c r="O780" s="13"/>
      <c r="P780" s="13"/>
    </row>
    <row r="781">
      <c r="C781" s="24"/>
      <c r="E781" s="13"/>
      <c r="F781" s="13"/>
      <c r="H781" s="24"/>
      <c r="J781" s="13"/>
      <c r="K781" s="13"/>
      <c r="M781" s="24"/>
      <c r="O781" s="13"/>
      <c r="P781" s="13"/>
    </row>
    <row r="782">
      <c r="C782" s="24"/>
      <c r="E782" s="13"/>
      <c r="F782" s="13"/>
      <c r="H782" s="24"/>
      <c r="J782" s="13"/>
      <c r="K782" s="13"/>
      <c r="M782" s="24"/>
      <c r="O782" s="13"/>
      <c r="P782" s="13"/>
    </row>
    <row r="783">
      <c r="C783" s="24"/>
      <c r="E783" s="13"/>
      <c r="F783" s="13"/>
      <c r="H783" s="24"/>
      <c r="J783" s="13"/>
      <c r="K783" s="13"/>
      <c r="M783" s="24"/>
      <c r="O783" s="13"/>
      <c r="P783" s="13"/>
    </row>
    <row r="784">
      <c r="C784" s="24"/>
      <c r="E784" s="13"/>
      <c r="F784" s="13"/>
      <c r="H784" s="24"/>
      <c r="J784" s="13"/>
      <c r="K784" s="13"/>
      <c r="M784" s="24"/>
      <c r="O784" s="13"/>
      <c r="P784" s="13"/>
    </row>
    <row r="785">
      <c r="C785" s="24"/>
      <c r="E785" s="13"/>
      <c r="F785" s="13"/>
      <c r="H785" s="24"/>
      <c r="J785" s="13"/>
      <c r="K785" s="13"/>
      <c r="M785" s="24"/>
      <c r="O785" s="13"/>
      <c r="P785" s="13"/>
    </row>
    <row r="786">
      <c r="C786" s="24"/>
      <c r="E786" s="13"/>
      <c r="F786" s="13"/>
      <c r="H786" s="24"/>
      <c r="J786" s="13"/>
      <c r="K786" s="13"/>
      <c r="M786" s="24"/>
      <c r="O786" s="13"/>
      <c r="P786" s="13"/>
    </row>
    <row r="787">
      <c r="C787" s="24"/>
      <c r="E787" s="13"/>
      <c r="F787" s="13"/>
      <c r="H787" s="24"/>
      <c r="J787" s="13"/>
      <c r="K787" s="13"/>
      <c r="M787" s="24"/>
      <c r="O787" s="13"/>
      <c r="P787" s="13"/>
    </row>
    <row r="788">
      <c r="C788" s="24"/>
      <c r="E788" s="13"/>
      <c r="F788" s="13"/>
      <c r="H788" s="24"/>
      <c r="J788" s="13"/>
      <c r="K788" s="13"/>
      <c r="M788" s="24"/>
      <c r="O788" s="13"/>
      <c r="P788" s="13"/>
    </row>
    <row r="789">
      <c r="C789" s="24"/>
      <c r="E789" s="13"/>
      <c r="F789" s="13"/>
      <c r="H789" s="24"/>
      <c r="J789" s="13"/>
      <c r="K789" s="13"/>
      <c r="M789" s="24"/>
      <c r="O789" s="13"/>
      <c r="P789" s="13"/>
    </row>
    <row r="790">
      <c r="C790" s="24"/>
      <c r="E790" s="13"/>
      <c r="F790" s="13"/>
      <c r="H790" s="24"/>
      <c r="J790" s="13"/>
      <c r="K790" s="13"/>
      <c r="M790" s="24"/>
      <c r="O790" s="13"/>
      <c r="P790" s="13"/>
    </row>
    <row r="791">
      <c r="C791" s="24"/>
      <c r="E791" s="13"/>
      <c r="F791" s="13"/>
      <c r="H791" s="24"/>
      <c r="J791" s="13"/>
      <c r="K791" s="13"/>
      <c r="M791" s="24"/>
      <c r="O791" s="13"/>
      <c r="P791" s="13"/>
    </row>
    <row r="792">
      <c r="C792" s="24"/>
      <c r="E792" s="13"/>
      <c r="F792" s="13"/>
      <c r="H792" s="24"/>
      <c r="J792" s="13"/>
      <c r="K792" s="13"/>
      <c r="M792" s="24"/>
      <c r="O792" s="13"/>
      <c r="P792" s="13"/>
    </row>
    <row r="793">
      <c r="C793" s="24"/>
      <c r="E793" s="13"/>
      <c r="F793" s="13"/>
      <c r="H793" s="24"/>
      <c r="J793" s="13"/>
      <c r="K793" s="13"/>
      <c r="M793" s="24"/>
      <c r="O793" s="13"/>
      <c r="P793" s="13"/>
    </row>
    <row r="794">
      <c r="C794" s="24"/>
      <c r="E794" s="13"/>
      <c r="F794" s="13"/>
      <c r="H794" s="24"/>
      <c r="J794" s="13"/>
      <c r="K794" s="13"/>
      <c r="M794" s="24"/>
      <c r="O794" s="13"/>
      <c r="P794" s="13"/>
    </row>
    <row r="795">
      <c r="C795" s="24"/>
      <c r="E795" s="13"/>
      <c r="F795" s="13"/>
      <c r="H795" s="24"/>
      <c r="J795" s="13"/>
      <c r="K795" s="13"/>
      <c r="M795" s="24"/>
      <c r="O795" s="13"/>
      <c r="P795" s="13"/>
    </row>
    <row r="796">
      <c r="C796" s="24"/>
      <c r="E796" s="13"/>
      <c r="F796" s="13"/>
      <c r="H796" s="24"/>
      <c r="J796" s="13"/>
      <c r="K796" s="13"/>
      <c r="M796" s="24"/>
      <c r="O796" s="13"/>
      <c r="P796" s="13"/>
    </row>
    <row r="797">
      <c r="C797" s="24"/>
      <c r="E797" s="13"/>
      <c r="F797" s="13"/>
      <c r="H797" s="24"/>
      <c r="J797" s="13"/>
      <c r="K797" s="13"/>
      <c r="M797" s="24"/>
      <c r="O797" s="13"/>
      <c r="P797" s="13"/>
    </row>
    <row r="798">
      <c r="C798" s="24"/>
      <c r="E798" s="13"/>
      <c r="F798" s="13"/>
      <c r="H798" s="24"/>
      <c r="J798" s="13"/>
      <c r="K798" s="13"/>
      <c r="M798" s="24"/>
      <c r="O798" s="13"/>
      <c r="P798" s="13"/>
    </row>
    <row r="799">
      <c r="C799" s="24"/>
      <c r="E799" s="13"/>
      <c r="F799" s="13"/>
      <c r="H799" s="24"/>
      <c r="J799" s="13"/>
      <c r="K799" s="13"/>
      <c r="M799" s="24"/>
      <c r="O799" s="13"/>
      <c r="P799" s="13"/>
    </row>
    <row r="800">
      <c r="C800" s="24"/>
      <c r="E800" s="13"/>
      <c r="F800" s="13"/>
      <c r="H800" s="24"/>
      <c r="J800" s="13"/>
      <c r="K800" s="13"/>
      <c r="M800" s="24"/>
      <c r="O800" s="13"/>
      <c r="P800" s="13"/>
    </row>
    <row r="801">
      <c r="C801" s="24"/>
      <c r="E801" s="13"/>
      <c r="F801" s="13"/>
      <c r="H801" s="24"/>
      <c r="J801" s="13"/>
      <c r="K801" s="13"/>
      <c r="M801" s="24"/>
      <c r="O801" s="13"/>
      <c r="P801" s="13"/>
    </row>
    <row r="802">
      <c r="C802" s="24"/>
      <c r="E802" s="13"/>
      <c r="F802" s="13"/>
      <c r="H802" s="24"/>
      <c r="J802" s="13"/>
      <c r="K802" s="13"/>
      <c r="M802" s="24"/>
      <c r="O802" s="13"/>
      <c r="P802" s="13"/>
    </row>
    <row r="803">
      <c r="C803" s="24"/>
      <c r="E803" s="13"/>
      <c r="F803" s="13"/>
      <c r="H803" s="24"/>
      <c r="J803" s="13"/>
      <c r="K803" s="13"/>
      <c r="M803" s="24"/>
      <c r="O803" s="13"/>
      <c r="P803" s="13"/>
    </row>
    <row r="804">
      <c r="C804" s="24"/>
      <c r="E804" s="13"/>
      <c r="F804" s="13"/>
      <c r="H804" s="24"/>
      <c r="J804" s="13"/>
      <c r="K804" s="13"/>
      <c r="M804" s="24"/>
      <c r="O804" s="13"/>
      <c r="P804" s="13"/>
    </row>
    <row r="805">
      <c r="C805" s="24"/>
      <c r="E805" s="13"/>
      <c r="F805" s="13"/>
      <c r="H805" s="24"/>
      <c r="J805" s="13"/>
      <c r="K805" s="13"/>
      <c r="M805" s="24"/>
      <c r="O805" s="13"/>
      <c r="P805" s="13"/>
    </row>
    <row r="806">
      <c r="C806" s="24"/>
      <c r="E806" s="13"/>
      <c r="F806" s="13"/>
      <c r="H806" s="24"/>
      <c r="J806" s="13"/>
      <c r="K806" s="13"/>
      <c r="M806" s="24"/>
      <c r="O806" s="13"/>
      <c r="P806" s="13"/>
    </row>
    <row r="807">
      <c r="C807" s="24"/>
      <c r="E807" s="13"/>
      <c r="F807" s="13"/>
      <c r="H807" s="24"/>
      <c r="J807" s="13"/>
      <c r="K807" s="13"/>
      <c r="M807" s="24"/>
      <c r="O807" s="13"/>
      <c r="P807" s="13"/>
    </row>
    <row r="808">
      <c r="C808" s="24"/>
      <c r="E808" s="13"/>
      <c r="F808" s="13"/>
      <c r="H808" s="24"/>
      <c r="J808" s="13"/>
      <c r="K808" s="13"/>
      <c r="M808" s="24"/>
      <c r="O808" s="13"/>
      <c r="P808" s="13"/>
    </row>
    <row r="809">
      <c r="C809" s="24"/>
      <c r="E809" s="13"/>
      <c r="F809" s="13"/>
      <c r="H809" s="24"/>
      <c r="J809" s="13"/>
      <c r="K809" s="13"/>
      <c r="M809" s="24"/>
      <c r="O809" s="13"/>
      <c r="P809" s="13"/>
    </row>
    <row r="810">
      <c r="C810" s="24"/>
      <c r="E810" s="13"/>
      <c r="F810" s="13"/>
      <c r="H810" s="24"/>
      <c r="J810" s="13"/>
      <c r="K810" s="13"/>
      <c r="M810" s="24"/>
      <c r="O810" s="13"/>
      <c r="P810" s="13"/>
    </row>
    <row r="811">
      <c r="C811" s="24"/>
      <c r="E811" s="13"/>
      <c r="F811" s="13"/>
      <c r="H811" s="24"/>
      <c r="J811" s="13"/>
      <c r="K811" s="13"/>
      <c r="M811" s="24"/>
      <c r="O811" s="13"/>
      <c r="P811" s="13"/>
    </row>
    <row r="812">
      <c r="C812" s="24"/>
      <c r="E812" s="13"/>
      <c r="F812" s="13"/>
      <c r="H812" s="24"/>
      <c r="J812" s="13"/>
      <c r="K812" s="13"/>
      <c r="M812" s="24"/>
      <c r="O812" s="13"/>
      <c r="P812" s="13"/>
    </row>
    <row r="813">
      <c r="C813" s="24"/>
      <c r="E813" s="13"/>
      <c r="F813" s="13"/>
      <c r="H813" s="24"/>
      <c r="J813" s="13"/>
      <c r="K813" s="13"/>
      <c r="M813" s="24"/>
      <c r="O813" s="13"/>
      <c r="P813" s="13"/>
    </row>
    <row r="814">
      <c r="C814" s="24"/>
      <c r="E814" s="13"/>
      <c r="F814" s="13"/>
      <c r="H814" s="24"/>
      <c r="J814" s="13"/>
      <c r="K814" s="13"/>
      <c r="M814" s="24"/>
      <c r="O814" s="13"/>
      <c r="P814" s="13"/>
    </row>
    <row r="815">
      <c r="C815" s="24"/>
      <c r="E815" s="13"/>
      <c r="F815" s="13"/>
      <c r="H815" s="24"/>
      <c r="J815" s="13"/>
      <c r="K815" s="13"/>
      <c r="M815" s="24"/>
      <c r="O815" s="13"/>
      <c r="P815" s="13"/>
    </row>
    <row r="816">
      <c r="C816" s="24"/>
      <c r="E816" s="13"/>
      <c r="F816" s="13"/>
      <c r="H816" s="24"/>
      <c r="J816" s="13"/>
      <c r="K816" s="13"/>
      <c r="M816" s="24"/>
      <c r="O816" s="13"/>
      <c r="P816" s="13"/>
    </row>
    <row r="817">
      <c r="C817" s="24"/>
      <c r="E817" s="13"/>
      <c r="F817" s="13"/>
      <c r="H817" s="24"/>
      <c r="J817" s="13"/>
      <c r="K817" s="13"/>
      <c r="M817" s="24"/>
      <c r="O817" s="13"/>
      <c r="P817" s="13"/>
    </row>
    <row r="818">
      <c r="C818" s="24"/>
      <c r="E818" s="13"/>
      <c r="F818" s="13"/>
      <c r="H818" s="24"/>
      <c r="J818" s="13"/>
      <c r="K818" s="13"/>
      <c r="M818" s="24"/>
      <c r="O818" s="13"/>
      <c r="P818" s="13"/>
    </row>
    <row r="819">
      <c r="C819" s="24"/>
      <c r="E819" s="13"/>
      <c r="F819" s="13"/>
      <c r="H819" s="24"/>
      <c r="J819" s="13"/>
      <c r="K819" s="13"/>
      <c r="M819" s="24"/>
      <c r="O819" s="13"/>
      <c r="P819" s="13"/>
    </row>
    <row r="820">
      <c r="C820" s="24"/>
      <c r="E820" s="13"/>
      <c r="F820" s="13"/>
      <c r="H820" s="24"/>
      <c r="J820" s="13"/>
      <c r="K820" s="13"/>
      <c r="M820" s="24"/>
      <c r="O820" s="13"/>
      <c r="P820" s="13"/>
    </row>
    <row r="821">
      <c r="C821" s="24"/>
      <c r="E821" s="13"/>
      <c r="F821" s="13"/>
      <c r="H821" s="24"/>
      <c r="J821" s="13"/>
      <c r="K821" s="13"/>
      <c r="M821" s="24"/>
      <c r="O821" s="13"/>
      <c r="P821" s="13"/>
    </row>
    <row r="822">
      <c r="C822" s="24"/>
      <c r="E822" s="13"/>
      <c r="F822" s="13"/>
      <c r="H822" s="24"/>
      <c r="J822" s="13"/>
      <c r="K822" s="13"/>
      <c r="M822" s="24"/>
      <c r="O822" s="13"/>
      <c r="P822" s="13"/>
    </row>
    <row r="823">
      <c r="C823" s="24"/>
      <c r="E823" s="13"/>
      <c r="F823" s="13"/>
      <c r="H823" s="24"/>
      <c r="J823" s="13"/>
      <c r="K823" s="13"/>
      <c r="M823" s="24"/>
      <c r="O823" s="13"/>
      <c r="P823" s="13"/>
    </row>
    <row r="824">
      <c r="C824" s="24"/>
      <c r="E824" s="13"/>
      <c r="F824" s="13"/>
      <c r="H824" s="24"/>
      <c r="J824" s="13"/>
      <c r="K824" s="13"/>
      <c r="M824" s="24"/>
      <c r="O824" s="13"/>
      <c r="P824" s="13"/>
    </row>
    <row r="825">
      <c r="C825" s="24"/>
      <c r="E825" s="13"/>
      <c r="F825" s="13"/>
      <c r="H825" s="24"/>
      <c r="J825" s="13"/>
      <c r="K825" s="13"/>
      <c r="M825" s="24"/>
      <c r="O825" s="13"/>
      <c r="P825" s="13"/>
    </row>
    <row r="826">
      <c r="C826" s="24"/>
      <c r="E826" s="13"/>
      <c r="F826" s="13"/>
      <c r="H826" s="24"/>
      <c r="J826" s="13"/>
      <c r="K826" s="13"/>
      <c r="M826" s="24"/>
      <c r="O826" s="13"/>
      <c r="P826" s="13"/>
    </row>
    <row r="827">
      <c r="C827" s="24"/>
      <c r="E827" s="13"/>
      <c r="F827" s="13"/>
      <c r="H827" s="24"/>
      <c r="J827" s="13"/>
      <c r="K827" s="13"/>
      <c r="M827" s="24"/>
      <c r="O827" s="13"/>
      <c r="P827" s="13"/>
    </row>
    <row r="828">
      <c r="C828" s="24"/>
      <c r="E828" s="13"/>
      <c r="F828" s="13"/>
      <c r="H828" s="24"/>
      <c r="J828" s="13"/>
      <c r="K828" s="13"/>
      <c r="M828" s="24"/>
      <c r="O828" s="13"/>
      <c r="P828" s="13"/>
    </row>
    <row r="829">
      <c r="C829" s="24"/>
      <c r="E829" s="13"/>
      <c r="F829" s="13"/>
      <c r="H829" s="24"/>
      <c r="J829" s="13"/>
      <c r="K829" s="13"/>
      <c r="M829" s="24"/>
      <c r="O829" s="13"/>
      <c r="P829" s="13"/>
    </row>
    <row r="830">
      <c r="C830" s="24"/>
      <c r="E830" s="13"/>
      <c r="F830" s="13"/>
      <c r="H830" s="24"/>
      <c r="J830" s="13"/>
      <c r="K830" s="13"/>
      <c r="M830" s="24"/>
      <c r="O830" s="13"/>
      <c r="P830" s="13"/>
    </row>
    <row r="831">
      <c r="C831" s="24"/>
      <c r="E831" s="13"/>
      <c r="F831" s="13"/>
      <c r="H831" s="24"/>
      <c r="J831" s="13"/>
      <c r="K831" s="13"/>
      <c r="M831" s="24"/>
      <c r="O831" s="13"/>
      <c r="P831" s="13"/>
    </row>
    <row r="832">
      <c r="C832" s="24"/>
      <c r="E832" s="13"/>
      <c r="F832" s="13"/>
      <c r="H832" s="24"/>
      <c r="J832" s="13"/>
      <c r="K832" s="13"/>
      <c r="M832" s="24"/>
      <c r="O832" s="13"/>
      <c r="P832" s="13"/>
    </row>
    <row r="833">
      <c r="C833" s="24"/>
      <c r="E833" s="13"/>
      <c r="F833" s="13"/>
      <c r="H833" s="24"/>
      <c r="J833" s="13"/>
      <c r="K833" s="13"/>
      <c r="M833" s="24"/>
      <c r="O833" s="13"/>
      <c r="P833" s="13"/>
    </row>
    <row r="834">
      <c r="C834" s="24"/>
      <c r="E834" s="13"/>
      <c r="F834" s="13"/>
      <c r="H834" s="24"/>
      <c r="J834" s="13"/>
      <c r="K834" s="13"/>
      <c r="M834" s="24"/>
      <c r="O834" s="13"/>
      <c r="P834" s="13"/>
    </row>
    <row r="835">
      <c r="C835" s="24"/>
      <c r="E835" s="13"/>
      <c r="F835" s="13"/>
      <c r="H835" s="24"/>
      <c r="J835" s="13"/>
      <c r="K835" s="13"/>
      <c r="M835" s="24"/>
      <c r="O835" s="13"/>
      <c r="P835" s="13"/>
    </row>
    <row r="836">
      <c r="C836" s="24"/>
      <c r="E836" s="13"/>
      <c r="F836" s="13"/>
      <c r="H836" s="24"/>
      <c r="J836" s="13"/>
      <c r="K836" s="13"/>
      <c r="M836" s="24"/>
      <c r="O836" s="13"/>
      <c r="P836" s="13"/>
    </row>
    <row r="837">
      <c r="C837" s="24"/>
      <c r="E837" s="13"/>
      <c r="F837" s="13"/>
      <c r="H837" s="24"/>
      <c r="J837" s="13"/>
      <c r="K837" s="13"/>
      <c r="M837" s="24"/>
      <c r="O837" s="13"/>
      <c r="P837" s="13"/>
    </row>
    <row r="838">
      <c r="C838" s="24"/>
      <c r="E838" s="13"/>
      <c r="F838" s="13"/>
      <c r="H838" s="24"/>
      <c r="J838" s="13"/>
      <c r="K838" s="13"/>
      <c r="M838" s="24"/>
      <c r="O838" s="13"/>
      <c r="P838" s="13"/>
    </row>
    <row r="839">
      <c r="C839" s="24"/>
      <c r="E839" s="13"/>
      <c r="F839" s="13"/>
      <c r="H839" s="24"/>
      <c r="J839" s="13"/>
      <c r="K839" s="13"/>
      <c r="M839" s="24"/>
      <c r="O839" s="13"/>
      <c r="P839" s="13"/>
    </row>
    <row r="840">
      <c r="C840" s="24"/>
      <c r="E840" s="13"/>
      <c r="F840" s="13"/>
      <c r="H840" s="24"/>
      <c r="J840" s="13"/>
      <c r="K840" s="13"/>
      <c r="M840" s="24"/>
      <c r="O840" s="13"/>
      <c r="P840" s="13"/>
    </row>
    <row r="841">
      <c r="C841" s="24"/>
      <c r="E841" s="13"/>
      <c r="F841" s="13"/>
      <c r="H841" s="24"/>
      <c r="J841" s="13"/>
      <c r="K841" s="13"/>
      <c r="M841" s="24"/>
      <c r="O841" s="13"/>
      <c r="P841" s="13"/>
    </row>
    <row r="842">
      <c r="C842" s="24"/>
      <c r="E842" s="13"/>
      <c r="F842" s="13"/>
      <c r="H842" s="24"/>
      <c r="J842" s="13"/>
      <c r="K842" s="13"/>
      <c r="M842" s="24"/>
      <c r="O842" s="13"/>
      <c r="P842" s="13"/>
    </row>
    <row r="843">
      <c r="C843" s="24"/>
      <c r="E843" s="13"/>
      <c r="F843" s="13"/>
      <c r="H843" s="24"/>
      <c r="J843" s="13"/>
      <c r="K843" s="13"/>
      <c r="M843" s="24"/>
      <c r="O843" s="13"/>
      <c r="P843" s="13"/>
    </row>
    <row r="844">
      <c r="C844" s="24"/>
      <c r="E844" s="13"/>
      <c r="F844" s="13"/>
      <c r="H844" s="24"/>
      <c r="J844" s="13"/>
      <c r="K844" s="13"/>
      <c r="M844" s="24"/>
      <c r="O844" s="13"/>
      <c r="P844" s="13"/>
    </row>
    <row r="845">
      <c r="C845" s="24"/>
      <c r="E845" s="13"/>
      <c r="F845" s="13"/>
      <c r="H845" s="24"/>
      <c r="J845" s="13"/>
      <c r="K845" s="13"/>
      <c r="M845" s="24"/>
      <c r="O845" s="13"/>
      <c r="P845" s="13"/>
    </row>
    <row r="846">
      <c r="C846" s="24"/>
      <c r="E846" s="13"/>
      <c r="F846" s="13"/>
      <c r="H846" s="24"/>
      <c r="J846" s="13"/>
      <c r="K846" s="13"/>
      <c r="M846" s="24"/>
      <c r="O846" s="13"/>
      <c r="P846" s="13"/>
    </row>
    <row r="847">
      <c r="C847" s="24"/>
      <c r="E847" s="13"/>
      <c r="F847" s="13"/>
      <c r="H847" s="24"/>
      <c r="J847" s="13"/>
      <c r="K847" s="13"/>
      <c r="M847" s="24"/>
      <c r="O847" s="13"/>
      <c r="P847" s="13"/>
    </row>
    <row r="848">
      <c r="C848" s="24"/>
      <c r="E848" s="13"/>
      <c r="F848" s="13"/>
      <c r="H848" s="24"/>
      <c r="J848" s="13"/>
      <c r="K848" s="13"/>
      <c r="M848" s="24"/>
      <c r="O848" s="13"/>
      <c r="P848" s="13"/>
    </row>
    <row r="849">
      <c r="C849" s="24"/>
      <c r="E849" s="13"/>
      <c r="F849" s="13"/>
      <c r="H849" s="24"/>
      <c r="J849" s="13"/>
      <c r="K849" s="13"/>
      <c r="M849" s="24"/>
      <c r="O849" s="13"/>
      <c r="P849" s="13"/>
    </row>
    <row r="850">
      <c r="C850" s="24"/>
      <c r="E850" s="13"/>
      <c r="F850" s="13"/>
      <c r="H850" s="24"/>
      <c r="J850" s="13"/>
      <c r="K850" s="13"/>
      <c r="M850" s="24"/>
      <c r="O850" s="13"/>
      <c r="P850" s="13"/>
    </row>
    <row r="851">
      <c r="C851" s="24"/>
      <c r="E851" s="13"/>
      <c r="F851" s="13"/>
      <c r="H851" s="24"/>
      <c r="J851" s="13"/>
      <c r="K851" s="13"/>
      <c r="M851" s="24"/>
      <c r="O851" s="13"/>
      <c r="P851" s="13"/>
    </row>
    <row r="852">
      <c r="C852" s="24"/>
      <c r="E852" s="13"/>
      <c r="F852" s="13"/>
      <c r="H852" s="24"/>
      <c r="J852" s="13"/>
      <c r="K852" s="13"/>
      <c r="M852" s="24"/>
      <c r="O852" s="13"/>
      <c r="P852" s="13"/>
    </row>
    <row r="853">
      <c r="C853" s="24"/>
      <c r="E853" s="13"/>
      <c r="F853" s="13"/>
      <c r="H853" s="24"/>
      <c r="J853" s="13"/>
      <c r="K853" s="13"/>
      <c r="M853" s="24"/>
      <c r="O853" s="13"/>
      <c r="P853" s="13"/>
    </row>
    <row r="854">
      <c r="C854" s="24"/>
      <c r="E854" s="13"/>
      <c r="F854" s="13"/>
      <c r="H854" s="24"/>
      <c r="J854" s="13"/>
      <c r="K854" s="13"/>
      <c r="M854" s="24"/>
      <c r="O854" s="13"/>
      <c r="P854" s="13"/>
    </row>
    <row r="855">
      <c r="C855" s="24"/>
      <c r="E855" s="13"/>
      <c r="F855" s="13"/>
      <c r="H855" s="24"/>
      <c r="J855" s="13"/>
      <c r="K855" s="13"/>
      <c r="M855" s="24"/>
      <c r="O855" s="13"/>
      <c r="P855" s="13"/>
    </row>
    <row r="856">
      <c r="C856" s="24"/>
      <c r="E856" s="13"/>
      <c r="F856" s="13"/>
      <c r="H856" s="24"/>
      <c r="J856" s="13"/>
      <c r="K856" s="13"/>
      <c r="M856" s="24"/>
      <c r="O856" s="13"/>
      <c r="P856" s="13"/>
    </row>
    <row r="857">
      <c r="C857" s="24"/>
      <c r="E857" s="13"/>
      <c r="F857" s="13"/>
      <c r="H857" s="24"/>
      <c r="J857" s="13"/>
      <c r="K857" s="13"/>
      <c r="M857" s="24"/>
      <c r="O857" s="13"/>
      <c r="P857" s="13"/>
    </row>
    <row r="858">
      <c r="C858" s="24"/>
      <c r="E858" s="13"/>
      <c r="F858" s="13"/>
      <c r="H858" s="24"/>
      <c r="J858" s="13"/>
      <c r="K858" s="13"/>
      <c r="M858" s="24"/>
      <c r="O858" s="13"/>
      <c r="P858" s="13"/>
    </row>
    <row r="859">
      <c r="C859" s="24"/>
      <c r="E859" s="13"/>
      <c r="F859" s="13"/>
      <c r="H859" s="24"/>
      <c r="J859" s="13"/>
      <c r="K859" s="13"/>
      <c r="M859" s="24"/>
      <c r="O859" s="13"/>
      <c r="P859" s="13"/>
    </row>
    <row r="860">
      <c r="C860" s="24"/>
      <c r="E860" s="13"/>
      <c r="F860" s="13"/>
      <c r="H860" s="24"/>
      <c r="J860" s="13"/>
      <c r="K860" s="13"/>
      <c r="M860" s="24"/>
      <c r="O860" s="13"/>
      <c r="P860" s="13"/>
    </row>
    <row r="861">
      <c r="C861" s="24"/>
      <c r="E861" s="13"/>
      <c r="F861" s="13"/>
      <c r="H861" s="24"/>
      <c r="J861" s="13"/>
      <c r="K861" s="13"/>
      <c r="M861" s="24"/>
      <c r="O861" s="13"/>
      <c r="P861" s="13"/>
    </row>
    <row r="862">
      <c r="C862" s="24"/>
      <c r="E862" s="13"/>
      <c r="F862" s="13"/>
      <c r="H862" s="24"/>
      <c r="J862" s="13"/>
      <c r="K862" s="13"/>
      <c r="M862" s="24"/>
      <c r="O862" s="13"/>
      <c r="P862" s="13"/>
    </row>
    <row r="863">
      <c r="C863" s="24"/>
      <c r="E863" s="13"/>
      <c r="F863" s="13"/>
      <c r="H863" s="24"/>
      <c r="J863" s="13"/>
      <c r="K863" s="13"/>
      <c r="M863" s="24"/>
      <c r="O863" s="13"/>
      <c r="P863" s="13"/>
    </row>
    <row r="864">
      <c r="C864" s="24"/>
      <c r="E864" s="13"/>
      <c r="F864" s="13"/>
      <c r="H864" s="24"/>
      <c r="J864" s="13"/>
      <c r="K864" s="13"/>
      <c r="M864" s="24"/>
      <c r="O864" s="13"/>
      <c r="P864" s="13"/>
    </row>
    <row r="865">
      <c r="C865" s="24"/>
      <c r="E865" s="13"/>
      <c r="F865" s="13"/>
      <c r="H865" s="24"/>
      <c r="J865" s="13"/>
      <c r="K865" s="13"/>
      <c r="M865" s="24"/>
      <c r="O865" s="13"/>
      <c r="P865" s="13"/>
    </row>
    <row r="866">
      <c r="C866" s="24"/>
      <c r="E866" s="13"/>
      <c r="F866" s="13"/>
      <c r="H866" s="24"/>
      <c r="J866" s="13"/>
      <c r="K866" s="13"/>
      <c r="M866" s="24"/>
      <c r="O866" s="13"/>
      <c r="P866" s="13"/>
    </row>
    <row r="867">
      <c r="C867" s="24"/>
      <c r="E867" s="13"/>
      <c r="F867" s="13"/>
      <c r="H867" s="24"/>
      <c r="J867" s="13"/>
      <c r="K867" s="13"/>
      <c r="M867" s="24"/>
      <c r="O867" s="13"/>
      <c r="P867" s="13"/>
    </row>
    <row r="868">
      <c r="C868" s="24"/>
      <c r="E868" s="13"/>
      <c r="F868" s="13"/>
      <c r="H868" s="24"/>
      <c r="J868" s="13"/>
      <c r="K868" s="13"/>
      <c r="M868" s="24"/>
      <c r="O868" s="13"/>
      <c r="P868" s="13"/>
    </row>
    <row r="869">
      <c r="C869" s="24"/>
      <c r="E869" s="13"/>
      <c r="F869" s="13"/>
      <c r="H869" s="24"/>
      <c r="J869" s="13"/>
      <c r="K869" s="13"/>
      <c r="M869" s="24"/>
      <c r="O869" s="13"/>
      <c r="P869" s="13"/>
    </row>
    <row r="870">
      <c r="C870" s="24"/>
      <c r="E870" s="13"/>
      <c r="F870" s="13"/>
      <c r="H870" s="24"/>
      <c r="J870" s="13"/>
      <c r="K870" s="13"/>
      <c r="M870" s="24"/>
      <c r="O870" s="13"/>
      <c r="P870" s="13"/>
    </row>
    <row r="871">
      <c r="C871" s="24"/>
      <c r="E871" s="13"/>
      <c r="F871" s="13"/>
      <c r="H871" s="24"/>
      <c r="J871" s="13"/>
      <c r="K871" s="13"/>
      <c r="M871" s="24"/>
      <c r="O871" s="13"/>
      <c r="P871" s="13"/>
    </row>
    <row r="872">
      <c r="C872" s="24"/>
      <c r="E872" s="13"/>
      <c r="F872" s="13"/>
      <c r="H872" s="24"/>
      <c r="J872" s="13"/>
      <c r="K872" s="13"/>
      <c r="M872" s="24"/>
      <c r="O872" s="13"/>
      <c r="P872" s="13"/>
    </row>
    <row r="873">
      <c r="C873" s="24"/>
      <c r="E873" s="13"/>
      <c r="F873" s="13"/>
      <c r="H873" s="24"/>
      <c r="J873" s="13"/>
      <c r="K873" s="13"/>
      <c r="M873" s="24"/>
      <c r="O873" s="13"/>
      <c r="P873" s="13"/>
    </row>
    <row r="874">
      <c r="C874" s="24"/>
      <c r="E874" s="13"/>
      <c r="F874" s="13"/>
      <c r="H874" s="24"/>
      <c r="J874" s="13"/>
      <c r="K874" s="13"/>
      <c r="M874" s="24"/>
      <c r="O874" s="13"/>
      <c r="P874" s="13"/>
    </row>
    <row r="875">
      <c r="C875" s="24"/>
      <c r="E875" s="13"/>
      <c r="F875" s="13"/>
      <c r="H875" s="24"/>
      <c r="J875" s="13"/>
      <c r="K875" s="13"/>
      <c r="M875" s="24"/>
      <c r="O875" s="13"/>
      <c r="P875" s="13"/>
    </row>
    <row r="876">
      <c r="C876" s="24"/>
      <c r="E876" s="13"/>
      <c r="F876" s="13"/>
      <c r="H876" s="24"/>
      <c r="J876" s="13"/>
      <c r="K876" s="13"/>
      <c r="M876" s="24"/>
      <c r="O876" s="13"/>
      <c r="P876" s="13"/>
    </row>
    <row r="877">
      <c r="C877" s="24"/>
      <c r="E877" s="13"/>
      <c r="F877" s="13"/>
      <c r="H877" s="24"/>
      <c r="J877" s="13"/>
      <c r="K877" s="13"/>
      <c r="M877" s="24"/>
      <c r="O877" s="13"/>
      <c r="P877" s="13"/>
    </row>
    <row r="878">
      <c r="C878" s="24"/>
      <c r="E878" s="13"/>
      <c r="F878" s="13"/>
      <c r="H878" s="24"/>
      <c r="J878" s="13"/>
      <c r="K878" s="13"/>
      <c r="M878" s="24"/>
      <c r="O878" s="13"/>
      <c r="P878" s="13"/>
    </row>
    <row r="879">
      <c r="C879" s="24"/>
      <c r="E879" s="13"/>
      <c r="F879" s="13"/>
      <c r="H879" s="24"/>
      <c r="J879" s="13"/>
      <c r="K879" s="13"/>
      <c r="M879" s="24"/>
      <c r="O879" s="13"/>
      <c r="P879" s="13"/>
    </row>
    <row r="880">
      <c r="C880" s="24"/>
      <c r="E880" s="13"/>
      <c r="F880" s="13"/>
      <c r="H880" s="24"/>
      <c r="J880" s="13"/>
      <c r="K880" s="13"/>
      <c r="M880" s="24"/>
      <c r="O880" s="13"/>
      <c r="P880" s="13"/>
    </row>
    <row r="881">
      <c r="C881" s="24"/>
      <c r="E881" s="13"/>
      <c r="F881" s="13"/>
      <c r="H881" s="24"/>
      <c r="J881" s="13"/>
      <c r="K881" s="13"/>
      <c r="M881" s="24"/>
      <c r="O881" s="13"/>
      <c r="P881" s="13"/>
    </row>
    <row r="882">
      <c r="C882" s="24"/>
      <c r="E882" s="13"/>
      <c r="F882" s="13"/>
      <c r="H882" s="24"/>
      <c r="J882" s="13"/>
      <c r="K882" s="13"/>
      <c r="M882" s="24"/>
      <c r="O882" s="13"/>
      <c r="P882" s="13"/>
    </row>
    <row r="883">
      <c r="C883" s="24"/>
      <c r="E883" s="13"/>
      <c r="F883" s="13"/>
      <c r="H883" s="24"/>
      <c r="J883" s="13"/>
      <c r="K883" s="13"/>
      <c r="M883" s="24"/>
      <c r="O883" s="13"/>
      <c r="P883" s="13"/>
    </row>
    <row r="884">
      <c r="C884" s="24"/>
      <c r="E884" s="13"/>
      <c r="F884" s="13"/>
      <c r="H884" s="24"/>
      <c r="J884" s="13"/>
      <c r="K884" s="13"/>
      <c r="M884" s="24"/>
      <c r="O884" s="13"/>
      <c r="P884" s="13"/>
    </row>
    <row r="885">
      <c r="C885" s="24"/>
      <c r="E885" s="13"/>
      <c r="F885" s="13"/>
      <c r="H885" s="24"/>
      <c r="J885" s="13"/>
      <c r="K885" s="13"/>
      <c r="M885" s="24"/>
      <c r="O885" s="13"/>
      <c r="P885" s="13"/>
    </row>
    <row r="886">
      <c r="C886" s="24"/>
      <c r="E886" s="13"/>
      <c r="F886" s="13"/>
      <c r="H886" s="24"/>
      <c r="J886" s="13"/>
      <c r="K886" s="13"/>
      <c r="M886" s="24"/>
      <c r="O886" s="13"/>
      <c r="P886" s="13"/>
    </row>
    <row r="887">
      <c r="C887" s="24"/>
      <c r="E887" s="13"/>
      <c r="F887" s="13"/>
      <c r="H887" s="24"/>
      <c r="J887" s="13"/>
      <c r="K887" s="13"/>
      <c r="M887" s="24"/>
      <c r="O887" s="13"/>
      <c r="P887" s="13"/>
    </row>
    <row r="888">
      <c r="C888" s="24"/>
      <c r="E888" s="13"/>
      <c r="F888" s="13"/>
      <c r="H888" s="24"/>
      <c r="J888" s="13"/>
      <c r="K888" s="13"/>
      <c r="M888" s="24"/>
      <c r="O888" s="13"/>
      <c r="P888" s="13"/>
    </row>
    <row r="889">
      <c r="C889" s="24"/>
      <c r="E889" s="13"/>
      <c r="F889" s="13"/>
      <c r="H889" s="24"/>
      <c r="J889" s="13"/>
      <c r="K889" s="13"/>
      <c r="M889" s="24"/>
      <c r="O889" s="13"/>
      <c r="P889" s="13"/>
    </row>
    <row r="890">
      <c r="C890" s="24"/>
      <c r="E890" s="13"/>
      <c r="F890" s="13"/>
      <c r="H890" s="24"/>
      <c r="J890" s="13"/>
      <c r="K890" s="13"/>
      <c r="M890" s="24"/>
      <c r="O890" s="13"/>
      <c r="P890" s="13"/>
    </row>
    <row r="891">
      <c r="C891" s="24"/>
      <c r="E891" s="13"/>
      <c r="F891" s="13"/>
      <c r="H891" s="24"/>
      <c r="J891" s="13"/>
      <c r="K891" s="13"/>
      <c r="M891" s="24"/>
      <c r="O891" s="13"/>
      <c r="P891" s="13"/>
    </row>
    <row r="892">
      <c r="C892" s="24"/>
      <c r="E892" s="13"/>
      <c r="F892" s="13"/>
      <c r="H892" s="24"/>
      <c r="J892" s="13"/>
      <c r="K892" s="13"/>
      <c r="M892" s="24"/>
      <c r="O892" s="13"/>
      <c r="P892" s="13"/>
    </row>
    <row r="893">
      <c r="C893" s="24"/>
      <c r="E893" s="13"/>
      <c r="F893" s="13"/>
      <c r="H893" s="24"/>
      <c r="J893" s="13"/>
      <c r="K893" s="13"/>
      <c r="M893" s="24"/>
      <c r="O893" s="13"/>
      <c r="P893" s="13"/>
    </row>
    <row r="894">
      <c r="C894" s="24"/>
      <c r="E894" s="13"/>
      <c r="F894" s="13"/>
      <c r="H894" s="24"/>
      <c r="J894" s="13"/>
      <c r="K894" s="13"/>
      <c r="M894" s="24"/>
      <c r="O894" s="13"/>
      <c r="P894" s="13"/>
    </row>
    <row r="895">
      <c r="C895" s="24"/>
      <c r="E895" s="13"/>
      <c r="F895" s="13"/>
      <c r="H895" s="24"/>
      <c r="J895" s="13"/>
      <c r="K895" s="13"/>
      <c r="M895" s="24"/>
      <c r="O895" s="13"/>
      <c r="P895" s="13"/>
    </row>
    <row r="896">
      <c r="C896" s="24"/>
      <c r="E896" s="13"/>
      <c r="F896" s="13"/>
      <c r="H896" s="24"/>
      <c r="J896" s="13"/>
      <c r="K896" s="13"/>
      <c r="M896" s="24"/>
      <c r="O896" s="13"/>
      <c r="P896" s="13"/>
    </row>
    <row r="897">
      <c r="C897" s="24"/>
      <c r="E897" s="13"/>
      <c r="F897" s="13"/>
      <c r="H897" s="24"/>
      <c r="J897" s="13"/>
      <c r="K897" s="13"/>
      <c r="M897" s="24"/>
      <c r="O897" s="13"/>
      <c r="P897" s="13"/>
    </row>
    <row r="898">
      <c r="C898" s="24"/>
      <c r="E898" s="13"/>
      <c r="F898" s="13"/>
      <c r="H898" s="24"/>
      <c r="J898" s="13"/>
      <c r="K898" s="13"/>
      <c r="M898" s="24"/>
      <c r="O898" s="13"/>
      <c r="P898" s="13"/>
    </row>
    <row r="899">
      <c r="C899" s="24"/>
      <c r="E899" s="13"/>
      <c r="F899" s="13"/>
      <c r="H899" s="24"/>
      <c r="J899" s="13"/>
      <c r="K899" s="13"/>
      <c r="M899" s="24"/>
      <c r="O899" s="13"/>
      <c r="P899" s="13"/>
    </row>
    <row r="900">
      <c r="C900" s="24"/>
      <c r="E900" s="13"/>
      <c r="F900" s="13"/>
      <c r="H900" s="24"/>
      <c r="J900" s="13"/>
      <c r="K900" s="13"/>
      <c r="M900" s="24"/>
      <c r="O900" s="13"/>
      <c r="P900" s="13"/>
    </row>
    <row r="901">
      <c r="C901" s="24"/>
      <c r="E901" s="13"/>
      <c r="F901" s="13"/>
      <c r="H901" s="24"/>
      <c r="J901" s="13"/>
      <c r="K901" s="13"/>
      <c r="M901" s="24"/>
      <c r="O901" s="13"/>
      <c r="P901" s="13"/>
    </row>
    <row r="902">
      <c r="C902" s="24"/>
      <c r="E902" s="13"/>
      <c r="F902" s="13"/>
      <c r="H902" s="24"/>
      <c r="J902" s="13"/>
      <c r="K902" s="13"/>
      <c r="M902" s="24"/>
      <c r="O902" s="13"/>
      <c r="P902" s="13"/>
    </row>
    <row r="903">
      <c r="C903" s="24"/>
      <c r="E903" s="13"/>
      <c r="F903" s="13"/>
      <c r="H903" s="24"/>
      <c r="J903" s="13"/>
      <c r="K903" s="13"/>
      <c r="M903" s="24"/>
      <c r="O903" s="13"/>
      <c r="P903" s="13"/>
    </row>
    <row r="904">
      <c r="C904" s="24"/>
      <c r="E904" s="13"/>
      <c r="F904" s="13"/>
      <c r="H904" s="24"/>
      <c r="J904" s="13"/>
      <c r="K904" s="13"/>
      <c r="M904" s="24"/>
      <c r="O904" s="13"/>
      <c r="P904" s="13"/>
    </row>
    <row r="905">
      <c r="C905" s="24"/>
      <c r="E905" s="13"/>
      <c r="F905" s="13"/>
      <c r="H905" s="24"/>
      <c r="J905" s="13"/>
      <c r="K905" s="13"/>
      <c r="M905" s="24"/>
      <c r="O905" s="13"/>
      <c r="P905" s="13"/>
    </row>
    <row r="906">
      <c r="C906" s="24"/>
      <c r="E906" s="13"/>
      <c r="F906" s="13"/>
      <c r="H906" s="24"/>
      <c r="J906" s="13"/>
      <c r="K906" s="13"/>
      <c r="M906" s="24"/>
      <c r="O906" s="13"/>
      <c r="P906" s="13"/>
    </row>
    <row r="907">
      <c r="C907" s="24"/>
      <c r="E907" s="13"/>
      <c r="F907" s="13"/>
      <c r="H907" s="24"/>
      <c r="J907" s="13"/>
      <c r="K907" s="13"/>
      <c r="M907" s="24"/>
      <c r="O907" s="13"/>
      <c r="P907" s="13"/>
    </row>
    <row r="908">
      <c r="C908" s="24"/>
      <c r="E908" s="13"/>
      <c r="F908" s="13"/>
      <c r="H908" s="24"/>
      <c r="J908" s="13"/>
      <c r="K908" s="13"/>
      <c r="M908" s="24"/>
      <c r="O908" s="13"/>
      <c r="P908" s="13"/>
    </row>
    <row r="909">
      <c r="C909" s="24"/>
      <c r="E909" s="13"/>
      <c r="F909" s="13"/>
      <c r="H909" s="24"/>
      <c r="J909" s="13"/>
      <c r="K909" s="13"/>
      <c r="M909" s="24"/>
      <c r="O909" s="13"/>
      <c r="P909" s="13"/>
    </row>
    <row r="910">
      <c r="C910" s="24"/>
      <c r="E910" s="13"/>
      <c r="F910" s="13"/>
      <c r="H910" s="24"/>
      <c r="J910" s="13"/>
      <c r="K910" s="13"/>
      <c r="M910" s="24"/>
      <c r="O910" s="13"/>
      <c r="P910" s="13"/>
    </row>
    <row r="911">
      <c r="C911" s="24"/>
      <c r="E911" s="13"/>
      <c r="F911" s="13"/>
      <c r="H911" s="24"/>
      <c r="J911" s="13"/>
      <c r="K911" s="13"/>
      <c r="M911" s="24"/>
      <c r="O911" s="13"/>
      <c r="P911" s="13"/>
    </row>
    <row r="912">
      <c r="C912" s="24"/>
      <c r="E912" s="13"/>
      <c r="F912" s="13"/>
      <c r="H912" s="24"/>
      <c r="J912" s="13"/>
      <c r="K912" s="13"/>
      <c r="M912" s="24"/>
      <c r="O912" s="13"/>
      <c r="P912" s="13"/>
    </row>
    <row r="913">
      <c r="C913" s="24"/>
      <c r="E913" s="13"/>
      <c r="F913" s="13"/>
      <c r="H913" s="24"/>
      <c r="J913" s="13"/>
      <c r="K913" s="13"/>
      <c r="M913" s="24"/>
      <c r="O913" s="13"/>
      <c r="P913" s="13"/>
    </row>
    <row r="914">
      <c r="C914" s="24"/>
      <c r="E914" s="13"/>
      <c r="F914" s="13"/>
      <c r="H914" s="24"/>
      <c r="J914" s="13"/>
      <c r="K914" s="13"/>
      <c r="M914" s="24"/>
      <c r="O914" s="13"/>
      <c r="P914" s="13"/>
    </row>
    <row r="915">
      <c r="C915" s="24"/>
      <c r="E915" s="13"/>
      <c r="F915" s="13"/>
      <c r="H915" s="24"/>
      <c r="J915" s="13"/>
      <c r="K915" s="13"/>
      <c r="M915" s="24"/>
      <c r="O915" s="13"/>
      <c r="P915" s="13"/>
    </row>
    <row r="916">
      <c r="C916" s="24"/>
      <c r="E916" s="13"/>
      <c r="F916" s="13"/>
      <c r="H916" s="24"/>
      <c r="J916" s="13"/>
      <c r="K916" s="13"/>
      <c r="M916" s="24"/>
      <c r="O916" s="13"/>
      <c r="P916" s="13"/>
    </row>
    <row r="917">
      <c r="C917" s="24"/>
      <c r="E917" s="13"/>
      <c r="F917" s="13"/>
      <c r="H917" s="24"/>
      <c r="J917" s="13"/>
      <c r="K917" s="13"/>
      <c r="M917" s="24"/>
      <c r="O917" s="13"/>
      <c r="P917" s="13"/>
    </row>
    <row r="918">
      <c r="C918" s="24"/>
      <c r="E918" s="13"/>
      <c r="F918" s="13"/>
      <c r="H918" s="24"/>
      <c r="J918" s="13"/>
      <c r="K918" s="13"/>
      <c r="M918" s="24"/>
      <c r="O918" s="13"/>
      <c r="P918" s="13"/>
    </row>
    <row r="919">
      <c r="C919" s="24"/>
      <c r="E919" s="13"/>
      <c r="F919" s="13"/>
      <c r="H919" s="24"/>
      <c r="J919" s="13"/>
      <c r="K919" s="13"/>
      <c r="M919" s="24"/>
      <c r="O919" s="13"/>
      <c r="P919" s="13"/>
    </row>
    <row r="920">
      <c r="C920" s="24"/>
      <c r="E920" s="13"/>
      <c r="F920" s="13"/>
      <c r="H920" s="24"/>
      <c r="J920" s="13"/>
      <c r="K920" s="13"/>
      <c r="M920" s="24"/>
      <c r="O920" s="13"/>
      <c r="P920" s="13"/>
    </row>
    <row r="921">
      <c r="C921" s="24"/>
      <c r="E921" s="13"/>
      <c r="F921" s="13"/>
      <c r="H921" s="24"/>
      <c r="J921" s="13"/>
      <c r="K921" s="13"/>
      <c r="M921" s="24"/>
      <c r="O921" s="13"/>
      <c r="P921" s="13"/>
    </row>
    <row r="922">
      <c r="C922" s="24"/>
      <c r="E922" s="13"/>
      <c r="F922" s="13"/>
      <c r="H922" s="24"/>
      <c r="J922" s="13"/>
      <c r="K922" s="13"/>
      <c r="M922" s="24"/>
      <c r="O922" s="13"/>
      <c r="P922" s="13"/>
    </row>
    <row r="923">
      <c r="C923" s="24"/>
      <c r="E923" s="13"/>
      <c r="F923" s="13"/>
      <c r="H923" s="24"/>
      <c r="J923" s="13"/>
      <c r="K923" s="13"/>
      <c r="M923" s="24"/>
      <c r="O923" s="13"/>
      <c r="P923" s="13"/>
    </row>
    <row r="924">
      <c r="C924" s="24"/>
      <c r="E924" s="13"/>
      <c r="F924" s="13"/>
      <c r="H924" s="24"/>
      <c r="J924" s="13"/>
      <c r="K924" s="13"/>
      <c r="M924" s="24"/>
      <c r="O924" s="13"/>
      <c r="P924" s="13"/>
    </row>
    <row r="925">
      <c r="C925" s="24"/>
      <c r="E925" s="13"/>
      <c r="F925" s="13"/>
      <c r="H925" s="24"/>
      <c r="J925" s="13"/>
      <c r="K925" s="13"/>
      <c r="M925" s="24"/>
      <c r="O925" s="13"/>
      <c r="P925" s="13"/>
    </row>
    <row r="926">
      <c r="C926" s="24"/>
      <c r="E926" s="13"/>
      <c r="F926" s="13"/>
      <c r="H926" s="24"/>
      <c r="J926" s="13"/>
      <c r="K926" s="13"/>
      <c r="M926" s="24"/>
      <c r="O926" s="13"/>
      <c r="P926" s="13"/>
    </row>
    <row r="927">
      <c r="C927" s="24"/>
      <c r="E927" s="13"/>
      <c r="F927" s="13"/>
      <c r="H927" s="24"/>
      <c r="J927" s="13"/>
      <c r="K927" s="13"/>
      <c r="M927" s="24"/>
      <c r="O927" s="13"/>
      <c r="P927" s="13"/>
    </row>
    <row r="928">
      <c r="C928" s="24"/>
      <c r="E928" s="13"/>
      <c r="F928" s="13"/>
      <c r="H928" s="24"/>
      <c r="J928" s="13"/>
      <c r="K928" s="13"/>
      <c r="M928" s="24"/>
      <c r="O928" s="13"/>
      <c r="P928" s="13"/>
    </row>
    <row r="929">
      <c r="C929" s="24"/>
      <c r="E929" s="13"/>
      <c r="F929" s="13"/>
      <c r="H929" s="24"/>
      <c r="J929" s="13"/>
      <c r="K929" s="13"/>
      <c r="M929" s="24"/>
      <c r="O929" s="13"/>
      <c r="P929" s="13"/>
    </row>
    <row r="930">
      <c r="C930" s="24"/>
      <c r="E930" s="13"/>
      <c r="F930" s="13"/>
      <c r="H930" s="24"/>
      <c r="J930" s="13"/>
      <c r="K930" s="13"/>
      <c r="M930" s="24"/>
      <c r="O930" s="13"/>
      <c r="P930" s="13"/>
    </row>
    <row r="931">
      <c r="C931" s="24"/>
      <c r="E931" s="13"/>
      <c r="F931" s="13"/>
      <c r="H931" s="24"/>
      <c r="J931" s="13"/>
      <c r="K931" s="13"/>
      <c r="M931" s="24"/>
      <c r="O931" s="13"/>
      <c r="P931" s="13"/>
    </row>
    <row r="932">
      <c r="C932" s="24"/>
      <c r="E932" s="13"/>
      <c r="F932" s="13"/>
      <c r="H932" s="24"/>
      <c r="J932" s="13"/>
      <c r="K932" s="13"/>
      <c r="M932" s="24"/>
      <c r="O932" s="13"/>
      <c r="P932" s="13"/>
    </row>
    <row r="933">
      <c r="C933" s="24"/>
      <c r="E933" s="13"/>
      <c r="F933" s="13"/>
      <c r="H933" s="24"/>
      <c r="J933" s="13"/>
      <c r="K933" s="13"/>
      <c r="M933" s="24"/>
      <c r="O933" s="13"/>
      <c r="P933" s="13"/>
    </row>
    <row r="934">
      <c r="C934" s="24"/>
      <c r="E934" s="13"/>
      <c r="F934" s="13"/>
      <c r="H934" s="24"/>
      <c r="J934" s="13"/>
      <c r="K934" s="13"/>
      <c r="M934" s="24"/>
      <c r="O934" s="13"/>
      <c r="P934" s="13"/>
    </row>
    <row r="935">
      <c r="C935" s="24"/>
      <c r="E935" s="13"/>
      <c r="F935" s="13"/>
      <c r="H935" s="24"/>
      <c r="J935" s="13"/>
      <c r="K935" s="13"/>
      <c r="M935" s="24"/>
      <c r="O935" s="13"/>
      <c r="P935" s="13"/>
    </row>
    <row r="936">
      <c r="C936" s="24"/>
      <c r="E936" s="13"/>
      <c r="F936" s="13"/>
      <c r="H936" s="24"/>
      <c r="J936" s="13"/>
      <c r="K936" s="13"/>
      <c r="M936" s="24"/>
      <c r="O936" s="13"/>
      <c r="P936" s="13"/>
    </row>
    <row r="937">
      <c r="C937" s="24"/>
      <c r="E937" s="13"/>
      <c r="F937" s="13"/>
      <c r="H937" s="24"/>
      <c r="J937" s="13"/>
      <c r="K937" s="13"/>
      <c r="M937" s="24"/>
      <c r="O937" s="13"/>
      <c r="P937" s="13"/>
    </row>
    <row r="938">
      <c r="C938" s="24"/>
      <c r="E938" s="13"/>
      <c r="F938" s="13"/>
      <c r="H938" s="24"/>
      <c r="J938" s="13"/>
      <c r="K938" s="13"/>
      <c r="M938" s="24"/>
      <c r="O938" s="13"/>
      <c r="P938" s="13"/>
    </row>
    <row r="939">
      <c r="C939" s="24"/>
      <c r="E939" s="13"/>
      <c r="F939" s="13"/>
      <c r="H939" s="24"/>
      <c r="J939" s="13"/>
      <c r="K939" s="13"/>
      <c r="M939" s="24"/>
      <c r="O939" s="13"/>
      <c r="P939" s="13"/>
    </row>
    <row r="940">
      <c r="C940" s="24"/>
      <c r="E940" s="13"/>
      <c r="F940" s="13"/>
      <c r="H940" s="24"/>
      <c r="J940" s="13"/>
      <c r="K940" s="13"/>
      <c r="M940" s="24"/>
      <c r="O940" s="13"/>
      <c r="P940" s="13"/>
    </row>
    <row r="941">
      <c r="C941" s="24"/>
      <c r="E941" s="13"/>
      <c r="F941" s="13"/>
      <c r="H941" s="24"/>
      <c r="J941" s="13"/>
      <c r="K941" s="13"/>
      <c r="M941" s="24"/>
      <c r="O941" s="13"/>
      <c r="P941" s="13"/>
    </row>
    <row r="942">
      <c r="C942" s="24"/>
      <c r="E942" s="13"/>
      <c r="F942" s="13"/>
      <c r="H942" s="24"/>
      <c r="J942" s="13"/>
      <c r="K942" s="13"/>
      <c r="M942" s="24"/>
      <c r="O942" s="13"/>
      <c r="P942" s="13"/>
    </row>
    <row r="943">
      <c r="C943" s="24"/>
      <c r="E943" s="13"/>
      <c r="F943" s="13"/>
      <c r="H943" s="24"/>
      <c r="J943" s="13"/>
      <c r="K943" s="13"/>
      <c r="M943" s="24"/>
      <c r="O943" s="13"/>
      <c r="P943" s="13"/>
    </row>
    <row r="944">
      <c r="C944" s="24"/>
      <c r="E944" s="13"/>
      <c r="F944" s="13"/>
      <c r="H944" s="24"/>
      <c r="J944" s="13"/>
      <c r="K944" s="13"/>
      <c r="M944" s="24"/>
      <c r="O944" s="13"/>
      <c r="P944" s="13"/>
    </row>
    <row r="945">
      <c r="C945" s="24"/>
      <c r="E945" s="13"/>
      <c r="F945" s="13"/>
      <c r="H945" s="24"/>
      <c r="J945" s="13"/>
      <c r="K945" s="13"/>
      <c r="M945" s="24"/>
      <c r="O945" s="13"/>
      <c r="P945" s="13"/>
    </row>
    <row r="946">
      <c r="C946" s="24"/>
      <c r="E946" s="13"/>
      <c r="F946" s="13"/>
      <c r="H946" s="24"/>
      <c r="J946" s="13"/>
      <c r="K946" s="13"/>
      <c r="M946" s="24"/>
      <c r="O946" s="13"/>
      <c r="P946" s="13"/>
    </row>
    <row r="947">
      <c r="C947" s="24"/>
      <c r="E947" s="13"/>
      <c r="F947" s="13"/>
      <c r="H947" s="24"/>
      <c r="J947" s="13"/>
      <c r="K947" s="13"/>
      <c r="M947" s="24"/>
      <c r="O947" s="13"/>
      <c r="P947" s="13"/>
    </row>
    <row r="948">
      <c r="C948" s="24"/>
      <c r="E948" s="13"/>
      <c r="F948" s="13"/>
      <c r="H948" s="24"/>
      <c r="J948" s="13"/>
      <c r="K948" s="13"/>
      <c r="M948" s="24"/>
      <c r="O948" s="13"/>
      <c r="P948" s="13"/>
    </row>
    <row r="949">
      <c r="C949" s="24"/>
      <c r="E949" s="13"/>
      <c r="F949" s="13"/>
      <c r="H949" s="24"/>
      <c r="J949" s="13"/>
      <c r="K949" s="13"/>
      <c r="M949" s="24"/>
      <c r="O949" s="13"/>
      <c r="P949" s="13"/>
    </row>
    <row r="950">
      <c r="C950" s="24"/>
      <c r="E950" s="13"/>
      <c r="F950" s="13"/>
      <c r="H950" s="24"/>
      <c r="J950" s="13"/>
      <c r="K950" s="13"/>
      <c r="M950" s="24"/>
      <c r="O950" s="13"/>
      <c r="P950" s="13"/>
    </row>
    <row r="951">
      <c r="C951" s="24"/>
      <c r="E951" s="13"/>
      <c r="F951" s="13"/>
      <c r="H951" s="24"/>
      <c r="J951" s="13"/>
      <c r="K951" s="13"/>
      <c r="M951" s="24"/>
      <c r="O951" s="13"/>
      <c r="P951" s="13"/>
    </row>
    <row r="952">
      <c r="C952" s="24"/>
      <c r="E952" s="13"/>
      <c r="F952" s="13"/>
      <c r="H952" s="24"/>
      <c r="J952" s="13"/>
      <c r="K952" s="13"/>
      <c r="M952" s="24"/>
      <c r="O952" s="13"/>
      <c r="P952" s="13"/>
    </row>
    <row r="953">
      <c r="C953" s="24"/>
      <c r="E953" s="13"/>
      <c r="F953" s="13"/>
      <c r="H953" s="24"/>
      <c r="J953" s="13"/>
      <c r="K953" s="13"/>
      <c r="M953" s="24"/>
      <c r="O953" s="13"/>
      <c r="P953" s="13"/>
    </row>
    <row r="954">
      <c r="C954" s="24"/>
      <c r="E954" s="13"/>
      <c r="F954" s="13"/>
      <c r="H954" s="24"/>
      <c r="J954" s="13"/>
      <c r="K954" s="13"/>
      <c r="M954" s="24"/>
      <c r="O954" s="13"/>
      <c r="P954" s="13"/>
    </row>
    <row r="955">
      <c r="C955" s="24"/>
      <c r="E955" s="13"/>
      <c r="F955" s="13"/>
      <c r="H955" s="24"/>
      <c r="J955" s="13"/>
      <c r="K955" s="13"/>
      <c r="M955" s="24"/>
      <c r="O955" s="13"/>
      <c r="P955" s="13"/>
    </row>
    <row r="956">
      <c r="C956" s="24"/>
      <c r="E956" s="13"/>
      <c r="F956" s="13"/>
      <c r="H956" s="24"/>
      <c r="J956" s="13"/>
      <c r="K956" s="13"/>
      <c r="M956" s="24"/>
      <c r="O956" s="13"/>
      <c r="P956" s="13"/>
    </row>
    <row r="957">
      <c r="C957" s="24"/>
      <c r="E957" s="13"/>
      <c r="F957" s="13"/>
      <c r="H957" s="24"/>
      <c r="J957" s="13"/>
      <c r="K957" s="13"/>
      <c r="M957" s="24"/>
      <c r="O957" s="13"/>
      <c r="P957" s="13"/>
    </row>
    <row r="958">
      <c r="C958" s="24"/>
      <c r="E958" s="13"/>
      <c r="F958" s="13"/>
      <c r="H958" s="24"/>
      <c r="J958" s="13"/>
      <c r="K958" s="13"/>
      <c r="M958" s="24"/>
      <c r="O958" s="13"/>
      <c r="P958" s="13"/>
    </row>
    <row r="959">
      <c r="C959" s="24"/>
      <c r="E959" s="13"/>
      <c r="F959" s="13"/>
      <c r="H959" s="24"/>
      <c r="J959" s="13"/>
      <c r="K959" s="13"/>
      <c r="M959" s="24"/>
      <c r="O959" s="13"/>
      <c r="P959" s="13"/>
    </row>
    <row r="960">
      <c r="C960" s="24"/>
      <c r="E960" s="13"/>
      <c r="F960" s="13"/>
      <c r="H960" s="24"/>
      <c r="J960" s="13"/>
      <c r="K960" s="13"/>
      <c r="M960" s="24"/>
      <c r="O960" s="13"/>
      <c r="P960" s="13"/>
    </row>
    <row r="961">
      <c r="C961" s="24"/>
      <c r="E961" s="13"/>
      <c r="F961" s="13"/>
      <c r="H961" s="24"/>
      <c r="J961" s="13"/>
      <c r="K961" s="13"/>
      <c r="M961" s="24"/>
      <c r="O961" s="13"/>
      <c r="P961" s="13"/>
    </row>
    <row r="962">
      <c r="C962" s="24"/>
      <c r="E962" s="13"/>
      <c r="F962" s="13"/>
      <c r="H962" s="24"/>
      <c r="J962" s="13"/>
      <c r="K962" s="13"/>
      <c r="M962" s="24"/>
      <c r="O962" s="13"/>
      <c r="P962" s="13"/>
    </row>
    <row r="963">
      <c r="C963" s="24"/>
      <c r="E963" s="13"/>
      <c r="F963" s="13"/>
      <c r="H963" s="24"/>
      <c r="J963" s="13"/>
      <c r="K963" s="13"/>
      <c r="M963" s="24"/>
      <c r="O963" s="13"/>
      <c r="P963" s="13"/>
    </row>
    <row r="964">
      <c r="C964" s="24"/>
      <c r="E964" s="13"/>
      <c r="F964" s="13"/>
      <c r="H964" s="24"/>
      <c r="J964" s="13"/>
      <c r="K964" s="13"/>
      <c r="M964" s="24"/>
      <c r="O964" s="13"/>
      <c r="P964" s="13"/>
    </row>
    <row r="965">
      <c r="C965" s="24"/>
      <c r="E965" s="13"/>
      <c r="F965" s="13"/>
      <c r="H965" s="24"/>
      <c r="J965" s="13"/>
      <c r="K965" s="13"/>
      <c r="M965" s="24"/>
      <c r="O965" s="13"/>
      <c r="P965" s="13"/>
    </row>
    <row r="966">
      <c r="C966" s="24"/>
      <c r="E966" s="13"/>
      <c r="F966" s="13"/>
      <c r="H966" s="24"/>
      <c r="J966" s="13"/>
      <c r="K966" s="13"/>
      <c r="M966" s="24"/>
      <c r="O966" s="13"/>
      <c r="P966" s="13"/>
    </row>
    <row r="967">
      <c r="C967" s="24"/>
      <c r="E967" s="13"/>
      <c r="F967" s="13"/>
      <c r="H967" s="24"/>
      <c r="J967" s="13"/>
      <c r="K967" s="13"/>
      <c r="M967" s="24"/>
      <c r="O967" s="13"/>
      <c r="P967" s="13"/>
    </row>
    <row r="968">
      <c r="C968" s="24"/>
      <c r="E968" s="13"/>
      <c r="F968" s="13"/>
      <c r="H968" s="24"/>
      <c r="J968" s="13"/>
      <c r="K968" s="13"/>
      <c r="M968" s="24"/>
      <c r="O968" s="13"/>
      <c r="P968" s="13"/>
    </row>
    <row r="969">
      <c r="C969" s="24"/>
      <c r="E969" s="13"/>
      <c r="F969" s="13"/>
      <c r="H969" s="24"/>
      <c r="J969" s="13"/>
      <c r="K969" s="13"/>
      <c r="M969" s="24"/>
      <c r="O969" s="13"/>
      <c r="P969" s="13"/>
    </row>
    <row r="970">
      <c r="C970" s="24"/>
      <c r="E970" s="13"/>
      <c r="F970" s="13"/>
      <c r="H970" s="24"/>
      <c r="J970" s="13"/>
      <c r="K970" s="13"/>
      <c r="M970" s="24"/>
      <c r="O970" s="13"/>
      <c r="P970" s="13"/>
    </row>
    <row r="971">
      <c r="C971" s="24"/>
      <c r="E971" s="13"/>
      <c r="F971" s="13"/>
      <c r="H971" s="24"/>
      <c r="J971" s="13"/>
      <c r="K971" s="13"/>
      <c r="M971" s="24"/>
      <c r="O971" s="13"/>
      <c r="P971" s="13"/>
    </row>
    <row r="972">
      <c r="C972" s="24"/>
      <c r="E972" s="13"/>
      <c r="F972" s="13"/>
      <c r="H972" s="24"/>
      <c r="J972" s="13"/>
      <c r="K972" s="13"/>
      <c r="M972" s="24"/>
      <c r="O972" s="13"/>
      <c r="P972" s="13"/>
    </row>
    <row r="973">
      <c r="C973" s="24"/>
      <c r="E973" s="13"/>
      <c r="F973" s="13"/>
      <c r="H973" s="24"/>
      <c r="J973" s="13"/>
      <c r="K973" s="13"/>
      <c r="M973" s="24"/>
      <c r="O973" s="13"/>
      <c r="P973" s="13"/>
    </row>
    <row r="974">
      <c r="C974" s="24"/>
      <c r="E974" s="13"/>
      <c r="F974" s="13"/>
      <c r="H974" s="24"/>
      <c r="J974" s="13"/>
      <c r="K974" s="13"/>
      <c r="M974" s="24"/>
      <c r="O974" s="13"/>
      <c r="P974" s="13"/>
    </row>
    <row r="975">
      <c r="C975" s="24"/>
      <c r="E975" s="13"/>
      <c r="F975" s="13"/>
      <c r="H975" s="24"/>
      <c r="J975" s="13"/>
      <c r="K975" s="13"/>
      <c r="M975" s="24"/>
      <c r="O975" s="13"/>
      <c r="P975" s="13"/>
    </row>
    <row r="976">
      <c r="C976" s="24"/>
      <c r="E976" s="13"/>
      <c r="F976" s="13"/>
      <c r="H976" s="24"/>
      <c r="J976" s="13"/>
      <c r="K976" s="13"/>
      <c r="M976" s="24"/>
      <c r="O976" s="13"/>
      <c r="P976" s="13"/>
    </row>
    <row r="977">
      <c r="C977" s="24"/>
      <c r="E977" s="13"/>
      <c r="F977" s="13"/>
      <c r="H977" s="24"/>
      <c r="J977" s="13"/>
      <c r="K977" s="13"/>
      <c r="M977" s="24"/>
      <c r="O977" s="13"/>
      <c r="P977" s="13"/>
    </row>
    <row r="978">
      <c r="C978" s="24"/>
      <c r="E978" s="13"/>
      <c r="F978" s="13"/>
      <c r="H978" s="24"/>
      <c r="J978" s="13"/>
      <c r="K978" s="13"/>
      <c r="M978" s="24"/>
      <c r="O978" s="13"/>
      <c r="P978" s="13"/>
    </row>
    <row r="979">
      <c r="C979" s="24"/>
      <c r="E979" s="13"/>
      <c r="F979" s="13"/>
      <c r="H979" s="24"/>
      <c r="J979" s="13"/>
      <c r="K979" s="13"/>
      <c r="M979" s="24"/>
      <c r="O979" s="13"/>
      <c r="P979" s="13"/>
    </row>
    <row r="980">
      <c r="C980" s="24"/>
      <c r="E980" s="13"/>
      <c r="F980" s="13"/>
      <c r="H980" s="24"/>
      <c r="J980" s="13"/>
      <c r="K980" s="13"/>
      <c r="M980" s="24"/>
      <c r="O980" s="13"/>
      <c r="P980" s="13"/>
    </row>
    <row r="981">
      <c r="C981" s="24"/>
      <c r="E981" s="13"/>
      <c r="F981" s="13"/>
      <c r="H981" s="24"/>
      <c r="J981" s="13"/>
      <c r="K981" s="13"/>
      <c r="M981" s="24"/>
      <c r="O981" s="13"/>
      <c r="P981" s="13"/>
    </row>
    <row r="982">
      <c r="C982" s="24"/>
      <c r="E982" s="13"/>
      <c r="F982" s="13"/>
      <c r="H982" s="24"/>
      <c r="J982" s="13"/>
      <c r="K982" s="13"/>
      <c r="M982" s="24"/>
      <c r="O982" s="13"/>
      <c r="P982" s="13"/>
    </row>
    <row r="983">
      <c r="C983" s="24"/>
      <c r="E983" s="13"/>
      <c r="F983" s="13"/>
      <c r="H983" s="24"/>
      <c r="J983" s="13"/>
      <c r="K983" s="13"/>
      <c r="M983" s="24"/>
      <c r="O983" s="13"/>
      <c r="P983" s="13"/>
    </row>
    <row r="984">
      <c r="C984" s="24"/>
      <c r="E984" s="13"/>
      <c r="F984" s="13"/>
      <c r="H984" s="24"/>
      <c r="J984" s="13"/>
      <c r="K984" s="13"/>
      <c r="M984" s="24"/>
      <c r="O984" s="13"/>
      <c r="P984" s="13"/>
    </row>
    <row r="985">
      <c r="C985" s="24"/>
      <c r="E985" s="13"/>
      <c r="F985" s="13"/>
      <c r="H985" s="24"/>
      <c r="J985" s="13"/>
      <c r="K985" s="13"/>
      <c r="M985" s="24"/>
      <c r="O985" s="13"/>
      <c r="P985" s="13"/>
    </row>
    <row r="986">
      <c r="C986" s="24"/>
      <c r="E986" s="13"/>
      <c r="F986" s="13"/>
      <c r="H986" s="24"/>
      <c r="J986" s="13"/>
      <c r="K986" s="13"/>
      <c r="M986" s="24"/>
      <c r="O986" s="13"/>
      <c r="P986" s="13"/>
    </row>
    <row r="987">
      <c r="C987" s="24"/>
      <c r="E987" s="13"/>
      <c r="F987" s="13"/>
      <c r="H987" s="24"/>
      <c r="J987" s="13"/>
      <c r="K987" s="13"/>
      <c r="M987" s="24"/>
      <c r="O987" s="13"/>
      <c r="P987" s="13"/>
    </row>
    <row r="988">
      <c r="C988" s="24"/>
      <c r="E988" s="13"/>
      <c r="F988" s="13"/>
      <c r="H988" s="24"/>
      <c r="J988" s="13"/>
      <c r="K988" s="13"/>
      <c r="M988" s="24"/>
      <c r="O988" s="13"/>
      <c r="P988" s="13"/>
    </row>
    <row r="989">
      <c r="C989" s="24"/>
      <c r="E989" s="13"/>
      <c r="F989" s="13"/>
      <c r="H989" s="24"/>
      <c r="J989" s="13"/>
      <c r="K989" s="13"/>
      <c r="M989" s="24"/>
      <c r="O989" s="13"/>
      <c r="P989" s="13"/>
    </row>
    <row r="990">
      <c r="C990" s="24"/>
      <c r="E990" s="13"/>
      <c r="F990" s="13"/>
      <c r="H990" s="24"/>
      <c r="J990" s="13"/>
      <c r="K990" s="13"/>
      <c r="M990" s="24"/>
      <c r="O990" s="13"/>
      <c r="P990" s="13"/>
    </row>
    <row r="991">
      <c r="C991" s="24"/>
      <c r="E991" s="13"/>
      <c r="F991" s="13"/>
      <c r="H991" s="24"/>
      <c r="J991" s="13"/>
      <c r="K991" s="13"/>
      <c r="M991" s="24"/>
      <c r="O991" s="13"/>
      <c r="P991" s="13"/>
    </row>
    <row r="992">
      <c r="C992" s="24"/>
      <c r="E992" s="13"/>
      <c r="F992" s="13"/>
      <c r="H992" s="24"/>
      <c r="J992" s="13"/>
      <c r="K992" s="13"/>
      <c r="M992" s="24"/>
      <c r="O992" s="13"/>
      <c r="P992" s="13"/>
    </row>
    <row r="993">
      <c r="C993" s="24"/>
      <c r="E993" s="13"/>
      <c r="F993" s="13"/>
      <c r="H993" s="24"/>
      <c r="J993" s="13"/>
      <c r="K993" s="13"/>
      <c r="M993" s="24"/>
      <c r="O993" s="13"/>
      <c r="P993" s="13"/>
    </row>
    <row r="994">
      <c r="C994" s="24"/>
      <c r="E994" s="13"/>
      <c r="F994" s="13"/>
      <c r="H994" s="24"/>
      <c r="J994" s="13"/>
      <c r="K994" s="13"/>
      <c r="M994" s="24"/>
      <c r="O994" s="13"/>
      <c r="P994" s="13"/>
    </row>
    <row r="995">
      <c r="C995" s="24"/>
      <c r="E995" s="13"/>
      <c r="F995" s="13"/>
      <c r="H995" s="24"/>
      <c r="J995" s="13"/>
      <c r="K995" s="13"/>
      <c r="M995" s="24"/>
      <c r="O995" s="13"/>
      <c r="P995" s="13"/>
    </row>
    <row r="996">
      <c r="C996" s="24"/>
      <c r="E996" s="13"/>
      <c r="F996" s="13"/>
      <c r="H996" s="24"/>
      <c r="J996" s="13"/>
      <c r="K996" s="13"/>
      <c r="M996" s="24"/>
      <c r="O996" s="13"/>
      <c r="P996" s="13"/>
    </row>
    <row r="997">
      <c r="C997" s="24"/>
      <c r="E997" s="13"/>
      <c r="F997" s="13"/>
      <c r="H997" s="24"/>
      <c r="J997" s="13"/>
      <c r="K997" s="13"/>
      <c r="M997" s="24"/>
      <c r="O997" s="13"/>
      <c r="P997" s="13"/>
    </row>
    <row r="998">
      <c r="C998" s="24"/>
      <c r="E998" s="13"/>
      <c r="F998" s="13"/>
      <c r="H998" s="24"/>
      <c r="J998" s="13"/>
      <c r="K998" s="13"/>
      <c r="M998" s="24"/>
      <c r="O998" s="13"/>
      <c r="P998" s="13"/>
    </row>
    <row r="999">
      <c r="C999" s="24"/>
      <c r="E999" s="13"/>
      <c r="F999" s="13"/>
      <c r="H999" s="24"/>
      <c r="J999" s="13"/>
      <c r="K999" s="13"/>
      <c r="M999" s="24"/>
      <c r="O999" s="13"/>
      <c r="P999" s="13"/>
    </row>
    <row r="1000">
      <c r="C1000" s="24"/>
      <c r="E1000" s="13"/>
      <c r="F1000" s="13"/>
      <c r="H1000" s="24"/>
      <c r="J1000" s="13"/>
      <c r="K1000" s="13"/>
      <c r="M1000" s="24"/>
      <c r="O1000" s="13"/>
      <c r="P1000" s="13"/>
    </row>
    <row r="1001">
      <c r="C1001" s="24"/>
      <c r="E1001" s="13"/>
      <c r="F1001" s="13"/>
      <c r="H1001" s="24"/>
      <c r="J1001" s="13"/>
      <c r="K1001" s="13"/>
      <c r="M1001" s="24"/>
      <c r="O1001" s="13"/>
      <c r="P1001" s="13"/>
    </row>
    <row r="1002">
      <c r="C1002" s="24"/>
      <c r="E1002" s="13"/>
      <c r="F1002" s="13"/>
      <c r="H1002" s="24"/>
      <c r="J1002" s="13"/>
      <c r="K1002" s="13"/>
      <c r="M1002" s="24"/>
      <c r="O1002" s="13"/>
      <c r="P1002" s="13"/>
    </row>
    <row r="1003">
      <c r="C1003" s="24"/>
      <c r="E1003" s="13"/>
      <c r="F1003" s="13"/>
      <c r="H1003" s="24"/>
      <c r="J1003" s="13"/>
      <c r="K1003" s="13"/>
      <c r="M1003" s="24"/>
      <c r="O1003" s="13"/>
      <c r="P1003" s="13"/>
    </row>
    <row r="1004">
      <c r="C1004" s="24"/>
      <c r="E1004" s="13"/>
      <c r="F1004" s="13"/>
      <c r="H1004" s="24"/>
      <c r="J1004" s="13"/>
      <c r="K1004" s="13"/>
      <c r="M1004" s="24"/>
      <c r="O1004" s="13"/>
      <c r="P1004" s="13"/>
    </row>
    <row r="1005">
      <c r="C1005" s="24"/>
      <c r="E1005" s="13"/>
      <c r="F1005" s="13"/>
      <c r="H1005" s="24"/>
      <c r="J1005" s="13"/>
      <c r="K1005" s="13"/>
      <c r="M1005" s="24"/>
      <c r="O1005" s="13"/>
      <c r="P1005" s="13"/>
    </row>
    <row r="1006">
      <c r="C1006" s="24"/>
      <c r="E1006" s="13"/>
      <c r="F1006" s="13"/>
      <c r="H1006" s="24"/>
      <c r="J1006" s="13"/>
      <c r="K1006" s="13"/>
      <c r="M1006" s="24"/>
      <c r="O1006" s="13"/>
      <c r="P1006" s="13"/>
    </row>
    <row r="1007">
      <c r="C1007" s="24"/>
      <c r="E1007" s="13"/>
      <c r="F1007" s="13"/>
      <c r="H1007" s="24"/>
      <c r="J1007" s="13"/>
      <c r="K1007" s="13"/>
      <c r="M1007" s="24"/>
      <c r="O1007" s="13"/>
      <c r="P1007" s="13"/>
    </row>
    <row r="1008">
      <c r="C1008" s="24"/>
      <c r="E1008" s="13"/>
      <c r="F1008" s="13"/>
      <c r="H1008" s="24"/>
      <c r="J1008" s="13"/>
      <c r="K1008" s="13"/>
      <c r="M1008" s="24"/>
      <c r="O1008" s="13"/>
      <c r="P1008" s="13"/>
    </row>
    <row r="1009">
      <c r="C1009" s="24"/>
      <c r="E1009" s="13"/>
      <c r="F1009" s="13"/>
      <c r="H1009" s="24"/>
      <c r="J1009" s="13"/>
      <c r="K1009" s="13"/>
      <c r="M1009" s="24"/>
      <c r="O1009" s="13"/>
      <c r="P1009" s="13"/>
    </row>
    <row r="1010">
      <c r="C1010" s="55"/>
      <c r="F1010" s="13"/>
      <c r="H1010" s="55"/>
      <c r="K1010" s="13"/>
      <c r="M1010" s="55"/>
      <c r="P1010" s="13"/>
    </row>
  </sheetData>
  <mergeCells count="9">
    <mergeCell ref="M2:O2"/>
    <mergeCell ref="M3:O3"/>
    <mergeCell ref="C1:E1"/>
    <mergeCell ref="H1:J1"/>
    <mergeCell ref="M1:O1"/>
    <mergeCell ref="C2:E2"/>
    <mergeCell ref="H2:J2"/>
    <mergeCell ref="C3:E3"/>
    <mergeCell ref="H3:J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.88"/>
    <col customWidth="1" min="2" max="2" width="23.5"/>
    <col customWidth="1" min="3" max="3" width="18.63"/>
    <col customWidth="1" min="4" max="4" width="9.88"/>
    <col customWidth="1" min="5" max="5" width="5.75"/>
    <col customWidth="1" min="6" max="6" width="6.13"/>
    <col customWidth="1" min="7" max="7" width="23.5"/>
    <col customWidth="1" min="8" max="8" width="18.63"/>
    <col customWidth="1" min="9" max="9" width="9.88"/>
    <col customWidth="1" min="10" max="10" width="5.75"/>
    <col customWidth="1" min="11" max="11" width="6.13"/>
    <col customWidth="1" min="12" max="12" width="23.5"/>
    <col customWidth="1" min="13" max="13" width="18.63"/>
    <col customWidth="1" min="14" max="14" width="9.88"/>
    <col customWidth="1" min="15" max="15" width="8.88"/>
    <col customWidth="1" min="16" max="16" width="4.25"/>
    <col customWidth="1" min="17" max="17" width="9.38"/>
  </cols>
  <sheetData>
    <row r="1">
      <c r="A1" s="1"/>
      <c r="B1" s="2" t="s">
        <v>0</v>
      </c>
      <c r="C1" s="3"/>
      <c r="F1" s="4"/>
      <c r="G1" s="2" t="s">
        <v>0</v>
      </c>
      <c r="H1" s="3"/>
      <c r="K1" s="4"/>
      <c r="L1" s="2" t="s">
        <v>0</v>
      </c>
      <c r="M1" s="3" t="s">
        <v>1</v>
      </c>
      <c r="P1" s="4"/>
    </row>
    <row r="2">
      <c r="A2" s="5"/>
      <c r="B2" s="6" t="s">
        <v>2</v>
      </c>
      <c r="C2" s="7" t="s">
        <v>70</v>
      </c>
      <c r="D2" s="8"/>
      <c r="E2" s="9"/>
      <c r="F2" s="4"/>
      <c r="G2" s="6" t="s">
        <v>2</v>
      </c>
      <c r="H2" s="7" t="s">
        <v>71</v>
      </c>
      <c r="I2" s="8"/>
      <c r="J2" s="9"/>
      <c r="K2" s="4"/>
      <c r="L2" s="6" t="s">
        <v>2</v>
      </c>
      <c r="M2" s="7" t="s">
        <v>72</v>
      </c>
      <c r="N2" s="8"/>
      <c r="O2" s="9"/>
      <c r="P2" s="4"/>
    </row>
    <row r="3">
      <c r="A3" s="5"/>
      <c r="B3" s="6" t="s">
        <v>6</v>
      </c>
      <c r="C3" s="10" t="s">
        <v>7</v>
      </c>
      <c r="D3" s="11"/>
      <c r="E3" s="12"/>
      <c r="F3" s="13"/>
      <c r="G3" s="6" t="s">
        <v>6</v>
      </c>
      <c r="H3" s="10" t="s">
        <v>8</v>
      </c>
      <c r="I3" s="11"/>
      <c r="J3" s="12"/>
      <c r="K3" s="13"/>
      <c r="L3" s="6" t="s">
        <v>6</v>
      </c>
      <c r="M3" s="10" t="s">
        <v>73</v>
      </c>
      <c r="N3" s="11"/>
      <c r="O3" s="12"/>
      <c r="P3" s="13"/>
    </row>
    <row r="4">
      <c r="A4" s="5"/>
      <c r="B4" s="6"/>
      <c r="C4" s="14" t="s">
        <v>10</v>
      </c>
      <c r="D4" s="15" t="s">
        <v>11</v>
      </c>
      <c r="E4" s="15" t="s">
        <v>12</v>
      </c>
      <c r="F4" s="16"/>
      <c r="G4" s="6"/>
      <c r="H4" s="14" t="s">
        <v>10</v>
      </c>
      <c r="I4" s="15" t="s">
        <v>11</v>
      </c>
      <c r="J4" s="15" t="s">
        <v>12</v>
      </c>
      <c r="K4" s="16"/>
      <c r="L4" s="6"/>
      <c r="M4" s="14" t="s">
        <v>10</v>
      </c>
      <c r="N4" s="15" t="s">
        <v>11</v>
      </c>
      <c r="O4" s="15" t="s">
        <v>12</v>
      </c>
      <c r="P4" s="16"/>
    </row>
    <row r="5">
      <c r="A5" s="5"/>
      <c r="B5" s="6" t="s">
        <v>13</v>
      </c>
      <c r="C5" s="17"/>
      <c r="D5" s="18"/>
      <c r="E5" s="19"/>
      <c r="F5" s="13"/>
      <c r="G5" s="6" t="s">
        <v>13</v>
      </c>
      <c r="H5" s="17"/>
      <c r="I5" s="18"/>
      <c r="J5" s="19"/>
      <c r="K5" s="13"/>
      <c r="L5" s="6" t="s">
        <v>13</v>
      </c>
      <c r="M5" s="17"/>
      <c r="N5" s="18"/>
      <c r="O5" s="19"/>
      <c r="P5" s="13"/>
    </row>
    <row r="6">
      <c r="B6" s="6" t="s">
        <v>14</v>
      </c>
      <c r="C6" s="20">
        <v>1958.0</v>
      </c>
      <c r="D6" s="20"/>
      <c r="E6" s="19"/>
      <c r="F6" s="13"/>
      <c r="G6" s="6" t="s">
        <v>14</v>
      </c>
      <c r="H6" s="20">
        <v>1958.0</v>
      </c>
      <c r="I6" s="20"/>
      <c r="J6" s="19"/>
      <c r="K6" s="13"/>
      <c r="L6" s="6" t="s">
        <v>14</v>
      </c>
      <c r="M6" s="20">
        <v>1958.0</v>
      </c>
      <c r="N6" s="20"/>
      <c r="O6" s="19"/>
      <c r="P6" s="13"/>
    </row>
    <row r="7">
      <c r="B7" s="6" t="s">
        <v>15</v>
      </c>
      <c r="C7" s="17" t="s">
        <v>16</v>
      </c>
      <c r="D7" s="18"/>
      <c r="E7" s="19"/>
      <c r="F7" s="13"/>
      <c r="G7" s="6" t="s">
        <v>15</v>
      </c>
      <c r="H7" s="17" t="s">
        <v>16</v>
      </c>
      <c r="I7" s="18"/>
      <c r="J7" s="19"/>
      <c r="K7" s="13"/>
      <c r="L7" s="6" t="s">
        <v>15</v>
      </c>
      <c r="M7" s="17" t="s">
        <v>16</v>
      </c>
      <c r="N7" s="18"/>
      <c r="O7" s="19"/>
      <c r="P7" s="13"/>
    </row>
    <row r="8">
      <c r="B8" s="6" t="s">
        <v>17</v>
      </c>
      <c r="C8" s="17" t="s">
        <v>18</v>
      </c>
      <c r="D8" s="18"/>
      <c r="E8" s="19"/>
      <c r="F8" s="13"/>
      <c r="G8" s="6" t="s">
        <v>17</v>
      </c>
      <c r="H8" s="17" t="s">
        <v>18</v>
      </c>
      <c r="I8" s="18"/>
      <c r="J8" s="19"/>
      <c r="K8" s="13"/>
      <c r="L8" s="6" t="s">
        <v>17</v>
      </c>
      <c r="M8" s="17" t="s">
        <v>18</v>
      </c>
      <c r="N8" s="18"/>
      <c r="O8" s="19"/>
      <c r="P8" s="13"/>
    </row>
    <row r="9">
      <c r="B9" s="21" t="s">
        <v>19</v>
      </c>
      <c r="C9" s="22">
        <f t="shared" ref="C9:D9" si="1">C21+C31+C38</f>
        <v>2.199165556</v>
      </c>
      <c r="D9" s="22">
        <f t="shared" si="1"/>
        <v>0</v>
      </c>
      <c r="E9" s="23">
        <f>D9-C9</f>
        <v>-2.199165556</v>
      </c>
      <c r="F9" s="13"/>
      <c r="G9" s="21" t="s">
        <v>19</v>
      </c>
      <c r="H9" s="22">
        <f t="shared" ref="H9:I9" si="2">H21+H31+H38</f>
        <v>0.4399735833</v>
      </c>
      <c r="I9" s="22">
        <f t="shared" si="2"/>
        <v>0</v>
      </c>
      <c r="J9" s="23">
        <f>I9-H9</f>
        <v>-0.4399735833</v>
      </c>
      <c r="K9" s="13"/>
      <c r="L9" s="21" t="s">
        <v>19</v>
      </c>
      <c r="M9" s="22">
        <f>M21+M31+M38</f>
        <v>5.509338613</v>
      </c>
      <c r="N9" s="22"/>
      <c r="O9" s="23">
        <f>N9-M9</f>
        <v>-5.509338613</v>
      </c>
      <c r="P9" s="13"/>
    </row>
    <row r="10">
      <c r="C10" s="24"/>
      <c r="D10" s="13"/>
      <c r="E10" s="13"/>
      <c r="F10" s="13"/>
      <c r="H10" s="24"/>
      <c r="I10" s="13"/>
      <c r="J10" s="13"/>
      <c r="K10" s="13"/>
      <c r="M10" s="24"/>
      <c r="N10" s="13"/>
      <c r="O10" s="13"/>
      <c r="P10" s="13"/>
    </row>
    <row r="11">
      <c r="B11" s="2" t="s">
        <v>20</v>
      </c>
      <c r="C11" s="14" t="s">
        <v>10</v>
      </c>
      <c r="D11" s="15" t="s">
        <v>11</v>
      </c>
      <c r="E11" s="15" t="s">
        <v>12</v>
      </c>
      <c r="F11" s="13"/>
      <c r="G11" s="2" t="s">
        <v>20</v>
      </c>
      <c r="H11" s="14" t="s">
        <v>10</v>
      </c>
      <c r="I11" s="15" t="s">
        <v>11</v>
      </c>
      <c r="J11" s="15" t="s">
        <v>12</v>
      </c>
      <c r="K11" s="13"/>
      <c r="L11" s="2" t="s">
        <v>21</v>
      </c>
      <c r="M11" s="14" t="s">
        <v>10</v>
      </c>
      <c r="N11" s="15" t="s">
        <v>11</v>
      </c>
      <c r="O11" s="15" t="s">
        <v>12</v>
      </c>
      <c r="P11" s="13"/>
    </row>
    <row r="12">
      <c r="B12" s="26" t="s">
        <v>22</v>
      </c>
      <c r="C12" s="27" t="s">
        <v>23</v>
      </c>
      <c r="D12" s="27"/>
      <c r="E12" s="19"/>
      <c r="F12" s="13"/>
      <c r="G12" s="26" t="s">
        <v>22</v>
      </c>
      <c r="H12" s="17" t="s">
        <v>24</v>
      </c>
      <c r="I12" s="27"/>
      <c r="J12" s="19"/>
      <c r="K12" s="13"/>
      <c r="L12" s="28" t="str">
        <f>C2</f>
        <v>W11796806</v>
      </c>
      <c r="M12" s="17">
        <f>C9</f>
        <v>2.199165556</v>
      </c>
      <c r="N12" s="17"/>
      <c r="O12" s="19"/>
      <c r="P12" s="13"/>
    </row>
    <row r="13">
      <c r="B13" s="30" t="s">
        <v>25</v>
      </c>
      <c r="C13" s="17" t="s">
        <v>26</v>
      </c>
      <c r="D13" s="17"/>
      <c r="E13" s="19"/>
      <c r="F13" s="13"/>
      <c r="G13" s="30" t="s">
        <v>25</v>
      </c>
      <c r="H13" s="17" t="s">
        <v>26</v>
      </c>
      <c r="I13" s="17"/>
      <c r="J13" s="19"/>
      <c r="K13" s="13"/>
      <c r="L13" s="31" t="str">
        <f>H2</f>
        <v>W11242125</v>
      </c>
      <c r="M13" s="17">
        <f>H9</f>
        <v>0.4399735833</v>
      </c>
      <c r="N13" s="17"/>
      <c r="O13" s="19"/>
      <c r="P13" s="13"/>
    </row>
    <row r="14">
      <c r="B14" s="30" t="s">
        <v>27</v>
      </c>
      <c r="C14" s="32">
        <v>2.66</v>
      </c>
      <c r="D14" s="33"/>
      <c r="E14" s="34"/>
      <c r="F14" s="13"/>
      <c r="G14" s="30" t="s">
        <v>27</v>
      </c>
      <c r="H14" s="32">
        <v>1.55</v>
      </c>
      <c r="I14" s="17"/>
      <c r="J14" s="34"/>
      <c r="K14" s="13"/>
      <c r="L14" s="35" t="s">
        <v>28</v>
      </c>
      <c r="M14" s="36">
        <f>(0.6868*2)*1.03</f>
        <v>1.414808</v>
      </c>
      <c r="N14" s="36"/>
      <c r="O14" s="34"/>
      <c r="P14" s="13"/>
    </row>
    <row r="15">
      <c r="B15" s="30" t="s">
        <v>29</v>
      </c>
      <c r="C15" s="17">
        <v>0.5788</v>
      </c>
      <c r="D15" s="17"/>
      <c r="E15" s="38">
        <f t="shared" ref="E15:E16" si="3">D15-C15</f>
        <v>-0.5788</v>
      </c>
      <c r="F15" s="13"/>
      <c r="G15" s="30" t="s">
        <v>29</v>
      </c>
      <c r="H15" s="17">
        <v>0.1493</v>
      </c>
      <c r="I15" s="17"/>
      <c r="J15" s="38">
        <f t="shared" ref="J15:J16" si="4">I15-H15</f>
        <v>-0.1493</v>
      </c>
      <c r="K15" s="13"/>
      <c r="L15" s="35" t="s">
        <v>30</v>
      </c>
      <c r="M15" s="36">
        <f>0.0245*2*1.03</f>
        <v>0.05047</v>
      </c>
      <c r="N15" s="36"/>
      <c r="O15" s="38">
        <f t="shared" ref="O15:O16" si="5">N15-M15</f>
        <v>-0.05047</v>
      </c>
      <c r="P15" s="13"/>
    </row>
    <row r="16">
      <c r="B16" s="30" t="s">
        <v>31</v>
      </c>
      <c r="C16" s="17">
        <v>0.596</v>
      </c>
      <c r="D16" s="17"/>
      <c r="E16" s="38">
        <f t="shared" si="3"/>
        <v>-0.596</v>
      </c>
      <c r="F16" s="13"/>
      <c r="G16" s="30" t="s">
        <v>31</v>
      </c>
      <c r="H16" s="17">
        <v>0.15378</v>
      </c>
      <c r="I16" s="17"/>
      <c r="J16" s="38">
        <f t="shared" si="4"/>
        <v>-0.15378</v>
      </c>
      <c r="K16" s="13"/>
      <c r="L16" s="30"/>
      <c r="M16" s="17"/>
      <c r="N16" s="39"/>
      <c r="O16" s="56">
        <f t="shared" si="5"/>
        <v>0</v>
      </c>
      <c r="P16" s="13"/>
    </row>
    <row r="17">
      <c r="B17" s="30" t="s">
        <v>32</v>
      </c>
      <c r="C17" s="17"/>
      <c r="D17" s="18"/>
      <c r="E17" s="19"/>
      <c r="F17" s="13"/>
      <c r="G17" s="30" t="s">
        <v>32</v>
      </c>
      <c r="H17" s="17"/>
      <c r="I17" s="17"/>
      <c r="J17" s="19"/>
      <c r="K17" s="13"/>
      <c r="L17" s="30"/>
      <c r="M17" s="17"/>
      <c r="N17" s="18"/>
      <c r="O17" s="19"/>
      <c r="P17" s="13"/>
    </row>
    <row r="18">
      <c r="B18" s="30" t="s">
        <v>33</v>
      </c>
      <c r="C18" s="17">
        <v>0.0</v>
      </c>
      <c r="D18" s="40"/>
      <c r="E18" s="34"/>
      <c r="F18" s="13"/>
      <c r="G18" s="30" t="s">
        <v>33</v>
      </c>
      <c r="H18" s="17">
        <v>0.0</v>
      </c>
      <c r="I18" s="40"/>
      <c r="J18" s="34"/>
      <c r="K18" s="13"/>
      <c r="L18" s="30"/>
      <c r="M18" s="17"/>
      <c r="N18" s="40"/>
      <c r="O18" s="34"/>
      <c r="P18" s="13"/>
    </row>
    <row r="19">
      <c r="B19" s="30" t="s">
        <v>34</v>
      </c>
      <c r="C19" s="17">
        <v>0.0</v>
      </c>
      <c r="D19" s="17"/>
      <c r="E19" s="19"/>
      <c r="F19" s="13"/>
      <c r="G19" s="30" t="s">
        <v>34</v>
      </c>
      <c r="H19" s="17">
        <v>0.0</v>
      </c>
      <c r="I19" s="17"/>
      <c r="J19" s="19"/>
      <c r="K19" s="13"/>
      <c r="L19" s="30"/>
      <c r="M19" s="17"/>
      <c r="N19" s="17"/>
      <c r="O19" s="19"/>
      <c r="P19" s="13"/>
    </row>
    <row r="20">
      <c r="B20" s="30" t="s">
        <v>35</v>
      </c>
      <c r="C20" s="17">
        <v>0.0</v>
      </c>
      <c r="D20" s="17"/>
      <c r="E20" s="19"/>
      <c r="F20" s="13"/>
      <c r="G20" s="30" t="s">
        <v>35</v>
      </c>
      <c r="H20" s="17">
        <f>H19</f>
        <v>0</v>
      </c>
      <c r="I20" s="17"/>
      <c r="J20" s="19"/>
      <c r="K20" s="13"/>
      <c r="L20" s="30"/>
      <c r="M20" s="17"/>
      <c r="N20" s="17"/>
      <c r="O20" s="19"/>
      <c r="P20" s="13"/>
    </row>
    <row r="21">
      <c r="B21" s="21" t="s">
        <v>36</v>
      </c>
      <c r="C21" s="22">
        <f>((C14*C16)+(C18*C20))</f>
        <v>1.58536</v>
      </c>
      <c r="D21" s="22"/>
      <c r="E21" s="23">
        <f>D21-C21</f>
        <v>-1.58536</v>
      </c>
      <c r="F21" s="13"/>
      <c r="G21" s="21" t="s">
        <v>36</v>
      </c>
      <c r="H21" s="22">
        <f>((H14*H16)+(H18*H20))</f>
        <v>0.238359</v>
      </c>
      <c r="I21" s="22"/>
      <c r="J21" s="23">
        <f>I21-H21</f>
        <v>-0.238359</v>
      </c>
      <c r="K21" s="13"/>
      <c r="L21" s="21" t="s">
        <v>37</v>
      </c>
      <c r="M21" s="22">
        <f>M12+M13+M14+M15</f>
        <v>4.104417139</v>
      </c>
      <c r="N21" s="22"/>
      <c r="O21" s="23">
        <f>N21-M21</f>
        <v>-4.104417139</v>
      </c>
      <c r="P21" s="13"/>
    </row>
    <row r="22">
      <c r="C22" s="24"/>
      <c r="D22" s="13"/>
      <c r="E22" s="13"/>
      <c r="F22" s="13"/>
      <c r="H22" s="24"/>
      <c r="I22" s="13"/>
      <c r="J22" s="13"/>
      <c r="K22" s="13"/>
      <c r="M22" s="24"/>
      <c r="N22" s="13"/>
      <c r="O22" s="13"/>
      <c r="P22" s="13"/>
    </row>
    <row r="23">
      <c r="B23" s="2" t="s">
        <v>38</v>
      </c>
      <c r="C23" s="14" t="s">
        <v>10</v>
      </c>
      <c r="D23" s="15" t="s">
        <v>11</v>
      </c>
      <c r="E23" s="15" t="s">
        <v>12</v>
      </c>
      <c r="F23" s="13"/>
      <c r="G23" s="2" t="s">
        <v>38</v>
      </c>
      <c r="H23" s="14" t="s">
        <v>10</v>
      </c>
      <c r="I23" s="15" t="s">
        <v>11</v>
      </c>
      <c r="J23" s="15" t="s">
        <v>12</v>
      </c>
      <c r="K23" s="13"/>
      <c r="L23" s="2" t="s">
        <v>39</v>
      </c>
      <c r="M23" s="14" t="s">
        <v>10</v>
      </c>
      <c r="N23" s="15" t="s">
        <v>11</v>
      </c>
      <c r="O23" s="15" t="s">
        <v>12</v>
      </c>
      <c r="P23" s="13"/>
    </row>
    <row r="24">
      <c r="B24" s="41" t="s">
        <v>40</v>
      </c>
      <c r="C24" s="17">
        <v>2.0</v>
      </c>
      <c r="D24" s="20"/>
      <c r="E24" s="19"/>
      <c r="F24" s="13"/>
      <c r="G24" s="41" t="s">
        <v>40</v>
      </c>
      <c r="H24" s="17">
        <v>2.0</v>
      </c>
      <c r="I24" s="20"/>
      <c r="J24" s="19"/>
      <c r="K24" s="13"/>
      <c r="L24" s="41"/>
      <c r="M24" s="17"/>
      <c r="N24" s="20"/>
      <c r="O24" s="19"/>
      <c r="P24" s="13"/>
    </row>
    <row r="25">
      <c r="B25" s="41" t="s">
        <v>41</v>
      </c>
      <c r="C25" s="17" t="s">
        <v>42</v>
      </c>
      <c r="D25" s="42"/>
      <c r="E25" s="18"/>
      <c r="G25" s="41" t="s">
        <v>41</v>
      </c>
      <c r="H25" s="17" t="s">
        <v>43</v>
      </c>
      <c r="I25" s="42"/>
      <c r="J25" s="18"/>
      <c r="L25" s="41"/>
      <c r="M25" s="17"/>
      <c r="N25" s="42"/>
      <c r="O25" s="18"/>
    </row>
    <row r="26">
      <c r="B26" s="41" t="s">
        <v>45</v>
      </c>
      <c r="C26" s="17">
        <v>50.0</v>
      </c>
      <c r="D26" s="20"/>
      <c r="E26" s="43">
        <v>1.0</v>
      </c>
      <c r="F26" s="44" t="s">
        <v>46</v>
      </c>
      <c r="G26" s="41" t="s">
        <v>45</v>
      </c>
      <c r="H26" s="17">
        <v>35.0</v>
      </c>
      <c r="I26" s="20"/>
      <c r="J26" s="43">
        <v>1.0</v>
      </c>
      <c r="K26" s="44" t="s">
        <v>46</v>
      </c>
      <c r="L26" s="41" t="s">
        <v>45</v>
      </c>
      <c r="M26" s="17">
        <v>55.0</v>
      </c>
      <c r="N26" s="20"/>
      <c r="O26" s="43">
        <v>1.0</v>
      </c>
      <c r="P26" s="44" t="s">
        <v>46</v>
      </c>
    </row>
    <row r="27">
      <c r="B27" s="41" t="s">
        <v>47</v>
      </c>
      <c r="C27" s="17">
        <v>0.5</v>
      </c>
      <c r="D27" s="45"/>
      <c r="E27" s="46"/>
      <c r="F27" s="13"/>
      <c r="G27" s="41" t="s">
        <v>47</v>
      </c>
      <c r="H27" s="17">
        <v>0.25</v>
      </c>
      <c r="I27" s="45"/>
      <c r="J27" s="46"/>
      <c r="K27" s="13"/>
      <c r="L27" s="41" t="s">
        <v>47</v>
      </c>
      <c r="M27" s="17">
        <v>1.0</v>
      </c>
      <c r="N27" s="45"/>
      <c r="O27" s="46"/>
      <c r="P27" s="13"/>
    </row>
    <row r="28">
      <c r="B28" s="41" t="s">
        <v>49</v>
      </c>
      <c r="C28" s="17">
        <f>(F28/F30)*C27</f>
        <v>0.078125</v>
      </c>
      <c r="D28" s="17"/>
      <c r="E28" s="48">
        <f>C28-D28</f>
        <v>0.078125</v>
      </c>
      <c r="F28" s="44">
        <v>22.5</v>
      </c>
      <c r="G28" s="41" t="s">
        <v>49</v>
      </c>
      <c r="H28" s="17">
        <f>(K28/K30)*H27</f>
        <v>0.02734375</v>
      </c>
      <c r="I28" s="17"/>
      <c r="J28" s="48">
        <f>H28-I28</f>
        <v>0.02734375</v>
      </c>
      <c r="K28" s="44">
        <v>22.5</v>
      </c>
      <c r="L28" s="41" t="s">
        <v>49</v>
      </c>
      <c r="M28" s="17">
        <f>(P28/P30)*M27</f>
        <v>0.3895833333</v>
      </c>
      <c r="N28" s="17"/>
      <c r="O28" s="48">
        <f>M28-N28</f>
        <v>0.3895833333</v>
      </c>
      <c r="P28" s="44">
        <v>25.5</v>
      </c>
    </row>
    <row r="29">
      <c r="B29" s="41" t="s">
        <v>51</v>
      </c>
      <c r="C29" s="17">
        <f>(F29/F30)</f>
        <v>0.5356805556</v>
      </c>
      <c r="D29" s="17"/>
      <c r="E29" s="23">
        <f>D29-C29</f>
        <v>-0.5356805556</v>
      </c>
      <c r="F29" s="44">
        <v>77.138</v>
      </c>
      <c r="G29" s="41" t="s">
        <v>51</v>
      </c>
      <c r="H29" s="17">
        <f>(K29/K30)</f>
        <v>0.1742708333</v>
      </c>
      <c r="I29" s="17"/>
      <c r="J29" s="23">
        <f>I29-H29</f>
        <v>-0.1742708333</v>
      </c>
      <c r="K29" s="44">
        <v>35.85</v>
      </c>
      <c r="L29" s="41" t="s">
        <v>51</v>
      </c>
      <c r="M29" s="17">
        <f>(P29/P30)</f>
        <v>0.1749305556</v>
      </c>
      <c r="N29" s="17"/>
      <c r="O29" s="23">
        <f>N29-M29</f>
        <v>-0.1749305556</v>
      </c>
      <c r="P29" s="44">
        <v>11.45</v>
      </c>
    </row>
    <row r="30">
      <c r="B30" s="41" t="s">
        <v>53</v>
      </c>
      <c r="C30" s="17">
        <v>0.0</v>
      </c>
      <c r="D30" s="17"/>
      <c r="E30" s="34">
        <f>C30-D30</f>
        <v>0</v>
      </c>
      <c r="F30" s="49">
        <f>((3600/C26)*C24)</f>
        <v>144</v>
      </c>
      <c r="G30" s="41" t="s">
        <v>53</v>
      </c>
      <c r="H30" s="17">
        <v>0.0</v>
      </c>
      <c r="I30" s="17"/>
      <c r="J30" s="34">
        <f>H30-I30</f>
        <v>0</v>
      </c>
      <c r="K30" s="49">
        <f>((3600/H26)*H24)</f>
        <v>205.7142857</v>
      </c>
      <c r="L30" s="41" t="s">
        <v>53</v>
      </c>
      <c r="M30" s="17">
        <v>0.0</v>
      </c>
      <c r="N30" s="17"/>
      <c r="O30" s="34">
        <f>M30-N30</f>
        <v>0</v>
      </c>
      <c r="P30" s="49">
        <f>(3600/M26)</f>
        <v>65.45454545</v>
      </c>
    </row>
    <row r="31">
      <c r="B31" s="21" t="s">
        <v>54</v>
      </c>
      <c r="C31" s="22">
        <f>SUM(C28:C30)</f>
        <v>0.6138055556</v>
      </c>
      <c r="D31" s="22"/>
      <c r="E31" s="23">
        <f>D31-C31</f>
        <v>-0.6138055556</v>
      </c>
      <c r="F31" s="13"/>
      <c r="G31" s="21" t="s">
        <v>54</v>
      </c>
      <c r="H31" s="22">
        <f>SUM(H28:H30)</f>
        <v>0.2016145833</v>
      </c>
      <c r="I31" s="22"/>
      <c r="J31" s="23">
        <f>I31-H31</f>
        <v>-0.2016145833</v>
      </c>
      <c r="K31" s="13"/>
      <c r="L31" s="21" t="s">
        <v>54</v>
      </c>
      <c r="M31" s="22">
        <f>SUM(M28:M30)</f>
        <v>0.5645138889</v>
      </c>
      <c r="N31" s="22"/>
      <c r="O31" s="23">
        <f>N31-M31</f>
        <v>-0.5645138889</v>
      </c>
      <c r="P31" s="13"/>
    </row>
    <row r="32">
      <c r="C32" s="24"/>
      <c r="D32" s="13"/>
      <c r="E32" s="13"/>
      <c r="F32" s="13"/>
      <c r="H32" s="24"/>
      <c r="I32" s="13"/>
      <c r="J32" s="13"/>
      <c r="K32" s="13"/>
      <c r="M32" s="24"/>
      <c r="N32" s="13"/>
      <c r="O32" s="13"/>
      <c r="P32" s="13"/>
    </row>
    <row r="33">
      <c r="B33" s="2" t="s">
        <v>55</v>
      </c>
      <c r="C33" s="14" t="s">
        <v>10</v>
      </c>
      <c r="D33" s="15" t="s">
        <v>11</v>
      </c>
      <c r="E33" s="15" t="s">
        <v>12</v>
      </c>
      <c r="F33" s="13"/>
      <c r="G33" s="2" t="s">
        <v>55</v>
      </c>
      <c r="H33" s="14" t="s">
        <v>10</v>
      </c>
      <c r="I33" s="15" t="s">
        <v>11</v>
      </c>
      <c r="J33" s="15" t="s">
        <v>12</v>
      </c>
      <c r="K33" s="13"/>
      <c r="L33" s="2" t="s">
        <v>55</v>
      </c>
      <c r="M33" s="14" t="s">
        <v>10</v>
      </c>
      <c r="N33" s="15" t="s">
        <v>11</v>
      </c>
      <c r="O33" s="15" t="s">
        <v>12</v>
      </c>
      <c r="P33" s="13"/>
    </row>
    <row r="34">
      <c r="B34" s="41" t="s">
        <v>56</v>
      </c>
      <c r="C34" s="17">
        <v>0.0</v>
      </c>
      <c r="D34" s="51"/>
      <c r="E34" s="19"/>
      <c r="F34" s="13"/>
      <c r="G34" s="41" t="s">
        <v>56</v>
      </c>
      <c r="H34" s="17">
        <v>0.0</v>
      </c>
      <c r="I34" s="51"/>
      <c r="J34" s="19"/>
      <c r="K34" s="13"/>
      <c r="L34" s="41" t="s">
        <v>56</v>
      </c>
      <c r="M34" s="17">
        <v>0.16</v>
      </c>
      <c r="N34" s="51"/>
      <c r="O34" s="19"/>
      <c r="P34" s="13"/>
    </row>
    <row r="35">
      <c r="B35" s="41" t="s">
        <v>58</v>
      </c>
      <c r="C35" s="17">
        <f>(C21+C31)*C34</f>
        <v>0</v>
      </c>
      <c r="D35" s="52"/>
      <c r="E35" s="34">
        <f t="shared" ref="E35:E38" si="6">D35-C35</f>
        <v>0</v>
      </c>
      <c r="F35" s="13"/>
      <c r="G35" s="41" t="s">
        <v>58</v>
      </c>
      <c r="H35" s="17">
        <f>(H21+H31)*H34</f>
        <v>0</v>
      </c>
      <c r="I35" s="52"/>
      <c r="J35" s="34">
        <f t="shared" ref="J35:J38" si="7">I35-H35</f>
        <v>0</v>
      </c>
      <c r="K35" s="13"/>
      <c r="L35" s="41" t="s">
        <v>58</v>
      </c>
      <c r="M35" s="17">
        <f>(M21+M31)*M34</f>
        <v>0.7470289644</v>
      </c>
      <c r="N35" s="17"/>
      <c r="O35" s="34">
        <f t="shared" ref="O35:O38" si="8">N35-M35</f>
        <v>-0.7470289644</v>
      </c>
      <c r="P35" s="13"/>
    </row>
    <row r="36">
      <c r="B36" s="41" t="s">
        <v>59</v>
      </c>
      <c r="C36" s="17">
        <v>0.0</v>
      </c>
      <c r="D36" s="52"/>
      <c r="E36" s="34">
        <f t="shared" si="6"/>
        <v>0</v>
      </c>
      <c r="F36" s="13"/>
      <c r="G36" s="41" t="s">
        <v>59</v>
      </c>
      <c r="H36" s="17">
        <v>0.0</v>
      </c>
      <c r="I36" s="52"/>
      <c r="J36" s="34">
        <f t="shared" si="7"/>
        <v>0</v>
      </c>
      <c r="K36" s="13"/>
      <c r="L36" s="41" t="s">
        <v>59</v>
      </c>
      <c r="M36" s="17">
        <f>(M21+M31)*0.02</f>
        <v>0.09337862056</v>
      </c>
      <c r="N36" s="17"/>
      <c r="O36" s="34">
        <f t="shared" si="8"/>
        <v>-0.09337862056</v>
      </c>
      <c r="P36" s="13"/>
    </row>
    <row r="37">
      <c r="B37" s="41" t="s">
        <v>60</v>
      </c>
      <c r="C37" s="17"/>
      <c r="D37" s="40"/>
      <c r="E37" s="34">
        <f t="shared" si="6"/>
        <v>0</v>
      </c>
      <c r="F37" s="13"/>
      <c r="G37" s="41" t="s">
        <v>60</v>
      </c>
      <c r="H37" s="17"/>
      <c r="I37" s="40"/>
      <c r="J37" s="34">
        <f t="shared" si="7"/>
        <v>0</v>
      </c>
      <c r="K37" s="13"/>
      <c r="L37" s="41" t="s">
        <v>60</v>
      </c>
      <c r="M37" s="17"/>
      <c r="N37" s="40"/>
      <c r="O37" s="34">
        <f t="shared" si="8"/>
        <v>0</v>
      </c>
      <c r="P37" s="13"/>
    </row>
    <row r="38">
      <c r="B38" s="21" t="s">
        <v>61</v>
      </c>
      <c r="C38" s="22">
        <f>SUM(C35:C37)</f>
        <v>0</v>
      </c>
      <c r="D38" s="53"/>
      <c r="E38" s="54">
        <f t="shared" si="6"/>
        <v>0</v>
      </c>
      <c r="F38" s="13"/>
      <c r="G38" s="21" t="s">
        <v>61</v>
      </c>
      <c r="H38" s="22">
        <f>SUM(H35:H37)</f>
        <v>0</v>
      </c>
      <c r="I38" s="53"/>
      <c r="J38" s="54">
        <f t="shared" si="7"/>
        <v>0</v>
      </c>
      <c r="K38" s="13"/>
      <c r="L38" s="21" t="s">
        <v>61</v>
      </c>
      <c r="M38" s="22">
        <f>SUM(M35:M37)</f>
        <v>0.840407585</v>
      </c>
      <c r="N38" s="22"/>
      <c r="O38" s="54">
        <f t="shared" si="8"/>
        <v>-0.840407585</v>
      </c>
      <c r="P38" s="13"/>
    </row>
    <row r="39">
      <c r="C39" s="24"/>
      <c r="E39" s="13"/>
      <c r="F39" s="13"/>
      <c r="H39" s="24"/>
      <c r="J39" s="13"/>
      <c r="K39" s="13"/>
      <c r="M39" s="24"/>
      <c r="O39" s="13"/>
      <c r="P39" s="13"/>
    </row>
    <row r="40">
      <c r="E40" s="13"/>
      <c r="F40" s="13"/>
      <c r="G40" s="13"/>
      <c r="H40" s="13"/>
      <c r="I40" s="13"/>
      <c r="J40" s="13"/>
      <c r="K40" s="13"/>
      <c r="L40" s="13"/>
      <c r="M40" s="13"/>
      <c r="O40" s="13"/>
      <c r="P40" s="13"/>
    </row>
    <row r="41">
      <c r="E41" s="13"/>
      <c r="F41" s="13"/>
      <c r="G41" s="13"/>
      <c r="H41" s="13"/>
      <c r="I41" s="13"/>
      <c r="J41" s="13"/>
      <c r="K41" s="13"/>
      <c r="L41" s="13"/>
      <c r="M41" s="13"/>
      <c r="O41" s="13"/>
      <c r="P41" s="13"/>
    </row>
    <row r="42">
      <c r="E42" s="13"/>
      <c r="F42" s="13"/>
      <c r="G42" s="13"/>
      <c r="H42" s="13"/>
      <c r="I42" s="13"/>
      <c r="J42" s="13"/>
      <c r="K42" s="13"/>
      <c r="L42" s="13"/>
      <c r="M42" s="13"/>
      <c r="O42" s="13"/>
      <c r="P42" s="13"/>
    </row>
    <row r="43">
      <c r="E43" s="13"/>
      <c r="F43" s="13"/>
      <c r="G43" s="13"/>
      <c r="H43" s="13"/>
      <c r="I43" s="13"/>
      <c r="J43" s="13"/>
      <c r="K43" s="13"/>
      <c r="L43" s="13"/>
      <c r="M43" s="13"/>
      <c r="O43" s="13"/>
      <c r="P43" s="13"/>
    </row>
    <row r="44">
      <c r="E44" s="13"/>
      <c r="F44" s="13"/>
      <c r="G44" s="13"/>
      <c r="H44" s="13"/>
      <c r="I44" s="13"/>
      <c r="J44" s="13"/>
      <c r="K44" s="13"/>
      <c r="M44" s="24"/>
      <c r="O44" s="13"/>
      <c r="P44" s="13"/>
    </row>
    <row r="45">
      <c r="C45" s="24"/>
      <c r="E45" s="13"/>
      <c r="F45" s="13"/>
      <c r="G45" s="13"/>
      <c r="H45" s="13"/>
      <c r="I45" s="13"/>
      <c r="J45" s="13"/>
      <c r="K45" s="13"/>
      <c r="M45" s="24"/>
      <c r="O45" s="13"/>
      <c r="P45" s="13"/>
    </row>
    <row r="46">
      <c r="C46" s="24"/>
      <c r="E46" s="13"/>
      <c r="F46" s="13"/>
      <c r="G46" s="13"/>
      <c r="H46" s="13"/>
      <c r="I46" s="13"/>
      <c r="J46" s="13"/>
      <c r="K46" s="13"/>
      <c r="M46" s="24"/>
      <c r="O46" s="13"/>
      <c r="P46" s="13"/>
    </row>
    <row r="47">
      <c r="C47" s="24"/>
      <c r="E47" s="13"/>
      <c r="F47" s="13"/>
      <c r="H47" s="24"/>
      <c r="J47" s="13"/>
      <c r="K47" s="13"/>
      <c r="M47" s="24"/>
      <c r="O47" s="13"/>
      <c r="P47" s="13"/>
    </row>
    <row r="48">
      <c r="C48" s="24"/>
      <c r="E48" s="13"/>
      <c r="F48" s="13"/>
      <c r="H48" s="24"/>
      <c r="J48" s="13"/>
      <c r="K48" s="13"/>
      <c r="M48" s="24"/>
      <c r="O48" s="13"/>
      <c r="P48" s="13"/>
    </row>
    <row r="49">
      <c r="C49" s="24"/>
      <c r="E49" s="13"/>
      <c r="F49" s="13"/>
      <c r="H49" s="24"/>
      <c r="J49" s="13"/>
      <c r="K49" s="13"/>
      <c r="M49" s="24"/>
      <c r="O49" s="13"/>
      <c r="P49" s="13"/>
    </row>
    <row r="50">
      <c r="C50" s="24"/>
      <c r="E50" s="13"/>
      <c r="F50" s="13"/>
      <c r="H50" s="24"/>
      <c r="J50" s="13"/>
      <c r="K50" s="13"/>
      <c r="M50" s="24"/>
      <c r="O50" s="13"/>
      <c r="P50" s="13"/>
    </row>
    <row r="51">
      <c r="C51" s="24"/>
      <c r="E51" s="13"/>
      <c r="F51" s="13"/>
      <c r="H51" s="24"/>
      <c r="J51" s="13"/>
      <c r="K51" s="13"/>
      <c r="M51" s="24"/>
      <c r="O51" s="13"/>
      <c r="P51" s="13"/>
    </row>
    <row r="52">
      <c r="C52" s="24"/>
      <c r="E52" s="13"/>
      <c r="F52" s="13"/>
      <c r="H52" s="24"/>
      <c r="J52" s="13"/>
      <c r="K52" s="13"/>
      <c r="M52" s="24"/>
      <c r="O52" s="13"/>
      <c r="P52" s="13"/>
    </row>
    <row r="53">
      <c r="C53" s="24"/>
      <c r="E53" s="13"/>
      <c r="F53" s="13"/>
      <c r="H53" s="24"/>
      <c r="J53" s="13"/>
      <c r="K53" s="13"/>
      <c r="M53" s="24"/>
      <c r="O53" s="13"/>
      <c r="P53" s="13"/>
    </row>
    <row r="54">
      <c r="C54" s="24"/>
      <c r="E54" s="13"/>
      <c r="F54" s="13"/>
      <c r="H54" s="24"/>
      <c r="J54" s="13"/>
      <c r="K54" s="13"/>
      <c r="M54" s="24"/>
      <c r="O54" s="13"/>
      <c r="P54" s="13"/>
    </row>
    <row r="55">
      <c r="C55" s="24"/>
      <c r="E55" s="13"/>
      <c r="F55" s="13"/>
      <c r="H55" s="24"/>
      <c r="J55" s="13"/>
      <c r="K55" s="13"/>
      <c r="M55" s="24"/>
      <c r="O55" s="13"/>
      <c r="P55" s="13"/>
    </row>
    <row r="56">
      <c r="C56" s="24"/>
      <c r="E56" s="13"/>
      <c r="F56" s="13"/>
      <c r="H56" s="24"/>
      <c r="J56" s="13"/>
      <c r="K56" s="13"/>
      <c r="M56" s="24"/>
      <c r="O56" s="13"/>
      <c r="P56" s="13"/>
    </row>
    <row r="57">
      <c r="C57" s="24"/>
      <c r="E57" s="13"/>
      <c r="F57" s="13"/>
      <c r="H57" s="24"/>
      <c r="J57" s="13"/>
      <c r="K57" s="13"/>
      <c r="M57" s="24"/>
      <c r="O57" s="13"/>
      <c r="P57" s="13"/>
    </row>
    <row r="58">
      <c r="C58" s="24"/>
      <c r="E58" s="13"/>
      <c r="F58" s="13"/>
      <c r="H58" s="24"/>
      <c r="J58" s="13"/>
      <c r="K58" s="13"/>
      <c r="M58" s="24"/>
      <c r="O58" s="13"/>
      <c r="P58" s="13"/>
    </row>
    <row r="59">
      <c r="C59" s="24"/>
      <c r="E59" s="13"/>
      <c r="F59" s="13"/>
      <c r="H59" s="24"/>
      <c r="J59" s="13"/>
      <c r="K59" s="13"/>
      <c r="M59" s="24"/>
      <c r="O59" s="13"/>
      <c r="P59" s="13"/>
    </row>
    <row r="60">
      <c r="C60" s="24"/>
      <c r="E60" s="13"/>
      <c r="F60" s="13"/>
      <c r="H60" s="24"/>
      <c r="J60" s="13"/>
      <c r="K60" s="13"/>
      <c r="M60" s="24"/>
      <c r="O60" s="13"/>
      <c r="P60" s="13"/>
    </row>
    <row r="61">
      <c r="C61" s="24"/>
      <c r="E61" s="13"/>
      <c r="F61" s="13"/>
      <c r="H61" s="24"/>
      <c r="J61" s="13"/>
      <c r="K61" s="13"/>
      <c r="M61" s="24"/>
      <c r="O61" s="13"/>
      <c r="P61" s="13"/>
    </row>
    <row r="62">
      <c r="C62" s="24"/>
      <c r="E62" s="13"/>
      <c r="F62" s="13"/>
      <c r="H62" s="24"/>
      <c r="J62" s="13"/>
      <c r="K62" s="13"/>
      <c r="M62" s="24"/>
      <c r="O62" s="13"/>
      <c r="P62" s="13"/>
    </row>
    <row r="63">
      <c r="C63" s="24"/>
      <c r="E63" s="13"/>
      <c r="F63" s="13"/>
      <c r="H63" s="24"/>
      <c r="J63" s="13"/>
      <c r="K63" s="13"/>
      <c r="M63" s="24"/>
      <c r="O63" s="13"/>
      <c r="P63" s="13"/>
    </row>
    <row r="64">
      <c r="C64" s="24"/>
      <c r="E64" s="13"/>
      <c r="F64" s="13"/>
      <c r="H64" s="24"/>
      <c r="J64" s="13"/>
      <c r="K64" s="13"/>
      <c r="M64" s="24"/>
      <c r="O64" s="13"/>
      <c r="P64" s="13"/>
    </row>
    <row r="65">
      <c r="C65" s="24"/>
      <c r="E65" s="13"/>
      <c r="F65" s="13"/>
      <c r="H65" s="24"/>
      <c r="J65" s="13"/>
      <c r="K65" s="13"/>
      <c r="M65" s="24"/>
      <c r="O65" s="13"/>
      <c r="P65" s="13"/>
    </row>
    <row r="66">
      <c r="C66" s="24"/>
      <c r="E66" s="13"/>
      <c r="F66" s="13"/>
      <c r="H66" s="24"/>
      <c r="J66" s="13"/>
      <c r="K66" s="13"/>
      <c r="M66" s="24"/>
      <c r="O66" s="13"/>
      <c r="P66" s="13"/>
    </row>
    <row r="67">
      <c r="C67" s="24"/>
      <c r="E67" s="13"/>
      <c r="F67" s="13"/>
      <c r="H67" s="24"/>
      <c r="J67" s="13"/>
      <c r="K67" s="13"/>
      <c r="M67" s="24"/>
      <c r="O67" s="13"/>
      <c r="P67" s="13"/>
    </row>
    <row r="68">
      <c r="C68" s="24"/>
      <c r="E68" s="13"/>
      <c r="F68" s="13"/>
      <c r="H68" s="24"/>
      <c r="J68" s="13"/>
      <c r="K68" s="13"/>
      <c r="M68" s="24"/>
      <c r="O68" s="13"/>
      <c r="P68" s="13"/>
    </row>
    <row r="69">
      <c r="C69" s="24"/>
      <c r="E69" s="13"/>
      <c r="F69" s="13"/>
      <c r="H69" s="24"/>
      <c r="J69" s="13"/>
      <c r="K69" s="13"/>
      <c r="M69" s="24"/>
      <c r="O69" s="13"/>
      <c r="P69" s="13"/>
    </row>
    <row r="70">
      <c r="C70" s="24"/>
      <c r="E70" s="13"/>
      <c r="F70" s="13"/>
      <c r="H70" s="24"/>
      <c r="J70" s="13"/>
      <c r="K70" s="13"/>
      <c r="M70" s="24"/>
      <c r="O70" s="13"/>
      <c r="P70" s="13"/>
    </row>
    <row r="71">
      <c r="C71" s="24"/>
      <c r="E71" s="13"/>
      <c r="F71" s="13"/>
      <c r="H71" s="24"/>
      <c r="J71" s="13"/>
      <c r="K71" s="13"/>
      <c r="M71" s="24"/>
      <c r="O71" s="13"/>
      <c r="P71" s="13"/>
    </row>
    <row r="72">
      <c r="C72" s="24"/>
      <c r="E72" s="13"/>
      <c r="F72" s="13"/>
      <c r="H72" s="24"/>
      <c r="J72" s="13"/>
      <c r="K72" s="13"/>
      <c r="M72" s="24"/>
      <c r="O72" s="13"/>
      <c r="P72" s="13"/>
    </row>
    <row r="73">
      <c r="C73" s="24"/>
      <c r="E73" s="13"/>
      <c r="F73" s="13"/>
      <c r="H73" s="24"/>
      <c r="J73" s="13"/>
      <c r="K73" s="13"/>
      <c r="M73" s="24"/>
      <c r="O73" s="13"/>
      <c r="P73" s="13"/>
    </row>
    <row r="74">
      <c r="C74" s="24"/>
      <c r="E74" s="13"/>
      <c r="F74" s="13"/>
      <c r="H74" s="24"/>
      <c r="J74" s="13"/>
      <c r="K74" s="13"/>
      <c r="M74" s="24"/>
      <c r="O74" s="13"/>
      <c r="P74" s="13"/>
    </row>
    <row r="75">
      <c r="C75" s="24"/>
      <c r="E75" s="13"/>
      <c r="F75" s="13"/>
      <c r="H75" s="24"/>
      <c r="J75" s="13"/>
      <c r="K75" s="13"/>
      <c r="M75" s="24"/>
      <c r="O75" s="13"/>
      <c r="P75" s="13"/>
    </row>
    <row r="76">
      <c r="C76" s="24"/>
      <c r="E76" s="13"/>
      <c r="F76" s="13"/>
      <c r="H76" s="24"/>
      <c r="J76" s="13"/>
      <c r="K76" s="13"/>
      <c r="M76" s="24"/>
      <c r="O76" s="13"/>
      <c r="P76" s="13"/>
    </row>
    <row r="77">
      <c r="C77" s="24"/>
      <c r="E77" s="13"/>
      <c r="F77" s="13"/>
      <c r="H77" s="24"/>
      <c r="J77" s="13"/>
      <c r="K77" s="13"/>
      <c r="M77" s="24"/>
      <c r="O77" s="13"/>
      <c r="P77" s="13"/>
    </row>
    <row r="78">
      <c r="C78" s="24"/>
      <c r="E78" s="13"/>
      <c r="F78" s="13"/>
      <c r="H78" s="24"/>
      <c r="J78" s="13"/>
      <c r="K78" s="13"/>
      <c r="M78" s="24"/>
      <c r="O78" s="13"/>
      <c r="P78" s="13"/>
    </row>
    <row r="79">
      <c r="C79" s="24"/>
      <c r="E79" s="13"/>
      <c r="F79" s="13"/>
      <c r="H79" s="24"/>
      <c r="J79" s="13"/>
      <c r="K79" s="13"/>
      <c r="M79" s="24"/>
      <c r="O79" s="13"/>
      <c r="P79" s="13"/>
    </row>
    <row r="80">
      <c r="C80" s="24"/>
      <c r="E80" s="13"/>
      <c r="F80" s="13"/>
      <c r="H80" s="24"/>
      <c r="J80" s="13"/>
      <c r="K80" s="13"/>
      <c r="M80" s="24"/>
      <c r="O80" s="13"/>
      <c r="P80" s="13"/>
    </row>
    <row r="81">
      <c r="C81" s="24"/>
      <c r="E81" s="13"/>
      <c r="F81" s="13"/>
      <c r="H81" s="24"/>
      <c r="J81" s="13"/>
      <c r="K81" s="13"/>
      <c r="M81" s="24"/>
      <c r="O81" s="13"/>
      <c r="P81" s="13"/>
    </row>
    <row r="82">
      <c r="C82" s="24"/>
      <c r="E82" s="13"/>
      <c r="F82" s="13"/>
      <c r="H82" s="24"/>
      <c r="J82" s="13"/>
      <c r="K82" s="13"/>
      <c r="M82" s="24"/>
      <c r="O82" s="13"/>
      <c r="P82" s="13"/>
    </row>
    <row r="83">
      <c r="C83" s="24"/>
      <c r="E83" s="13"/>
      <c r="F83" s="13"/>
      <c r="H83" s="24"/>
      <c r="J83" s="13"/>
      <c r="K83" s="13"/>
      <c r="M83" s="24"/>
      <c r="O83" s="13"/>
      <c r="P83" s="13"/>
    </row>
    <row r="84">
      <c r="C84" s="24"/>
      <c r="E84" s="13"/>
      <c r="F84" s="13"/>
      <c r="H84" s="24"/>
      <c r="J84" s="13"/>
      <c r="K84" s="13"/>
      <c r="M84" s="24"/>
      <c r="O84" s="13"/>
      <c r="P84" s="13"/>
    </row>
    <row r="85">
      <c r="C85" s="24"/>
      <c r="E85" s="13"/>
      <c r="F85" s="13"/>
      <c r="H85" s="24"/>
      <c r="J85" s="13"/>
      <c r="K85" s="13"/>
      <c r="M85" s="24"/>
      <c r="O85" s="13"/>
      <c r="P85" s="13"/>
    </row>
    <row r="86">
      <c r="C86" s="24"/>
      <c r="E86" s="13"/>
      <c r="F86" s="13"/>
      <c r="H86" s="24"/>
      <c r="J86" s="13"/>
      <c r="K86" s="13"/>
      <c r="M86" s="24"/>
      <c r="O86" s="13"/>
      <c r="P86" s="13"/>
    </row>
    <row r="87">
      <c r="C87" s="24"/>
      <c r="E87" s="13"/>
      <c r="F87" s="13"/>
      <c r="H87" s="24"/>
      <c r="J87" s="13"/>
      <c r="K87" s="13"/>
      <c r="M87" s="24"/>
      <c r="O87" s="13"/>
      <c r="P87" s="13"/>
    </row>
    <row r="88">
      <c r="C88" s="24"/>
      <c r="E88" s="13"/>
      <c r="F88" s="13"/>
      <c r="H88" s="24"/>
      <c r="J88" s="13"/>
      <c r="K88" s="13"/>
      <c r="M88" s="24"/>
      <c r="O88" s="13"/>
      <c r="P88" s="13"/>
    </row>
    <row r="89">
      <c r="C89" s="24"/>
      <c r="E89" s="13"/>
      <c r="F89" s="13"/>
      <c r="H89" s="24"/>
      <c r="J89" s="13"/>
      <c r="K89" s="13"/>
      <c r="M89" s="24"/>
      <c r="O89" s="13"/>
      <c r="P89" s="13"/>
    </row>
    <row r="90">
      <c r="C90" s="24"/>
      <c r="E90" s="13"/>
      <c r="F90" s="13"/>
      <c r="H90" s="24"/>
      <c r="J90" s="13"/>
      <c r="K90" s="13"/>
      <c r="M90" s="24"/>
      <c r="O90" s="13"/>
      <c r="P90" s="13"/>
    </row>
    <row r="91">
      <c r="C91" s="24"/>
      <c r="E91" s="13"/>
      <c r="F91" s="13"/>
      <c r="H91" s="24"/>
      <c r="J91" s="13"/>
      <c r="K91" s="13"/>
      <c r="M91" s="24"/>
      <c r="O91" s="13"/>
      <c r="P91" s="13"/>
    </row>
    <row r="92">
      <c r="C92" s="24"/>
      <c r="E92" s="13"/>
      <c r="F92" s="13"/>
      <c r="H92" s="24"/>
      <c r="J92" s="13"/>
      <c r="K92" s="13"/>
      <c r="M92" s="24"/>
      <c r="O92" s="13"/>
      <c r="P92" s="13"/>
    </row>
    <row r="93">
      <c r="C93" s="24"/>
      <c r="E93" s="13"/>
      <c r="F93" s="13"/>
      <c r="H93" s="24"/>
      <c r="J93" s="13"/>
      <c r="K93" s="13"/>
      <c r="M93" s="24"/>
      <c r="O93" s="13"/>
      <c r="P93" s="13"/>
    </row>
    <row r="94">
      <c r="C94" s="24"/>
      <c r="E94" s="13"/>
      <c r="F94" s="13"/>
      <c r="H94" s="24"/>
      <c r="J94" s="13"/>
      <c r="K94" s="13"/>
      <c r="M94" s="24"/>
      <c r="O94" s="13"/>
      <c r="P94" s="13"/>
    </row>
    <row r="95">
      <c r="C95" s="24"/>
      <c r="E95" s="13"/>
      <c r="F95" s="13"/>
      <c r="H95" s="24"/>
      <c r="J95" s="13"/>
      <c r="K95" s="13"/>
      <c r="M95" s="24"/>
      <c r="O95" s="13"/>
      <c r="P95" s="13"/>
    </row>
    <row r="96">
      <c r="C96" s="24"/>
      <c r="E96" s="13"/>
      <c r="F96" s="13"/>
      <c r="H96" s="24"/>
      <c r="J96" s="13"/>
      <c r="K96" s="13"/>
      <c r="M96" s="24"/>
      <c r="O96" s="13"/>
      <c r="P96" s="13"/>
    </row>
    <row r="97">
      <c r="C97" s="24"/>
      <c r="E97" s="13"/>
      <c r="F97" s="13"/>
      <c r="H97" s="24"/>
      <c r="J97" s="13"/>
      <c r="K97" s="13"/>
      <c r="M97" s="24"/>
      <c r="O97" s="13"/>
      <c r="P97" s="13"/>
    </row>
    <row r="98">
      <c r="C98" s="24"/>
      <c r="E98" s="13"/>
      <c r="F98" s="13"/>
      <c r="H98" s="24"/>
      <c r="J98" s="13"/>
      <c r="K98" s="13"/>
      <c r="M98" s="24"/>
      <c r="O98" s="13"/>
      <c r="P98" s="13"/>
    </row>
    <row r="99">
      <c r="C99" s="24"/>
      <c r="E99" s="13"/>
      <c r="F99" s="13"/>
      <c r="H99" s="24"/>
      <c r="J99" s="13"/>
      <c r="K99" s="13"/>
      <c r="M99" s="24"/>
      <c r="O99" s="13"/>
      <c r="P99" s="13"/>
    </row>
    <row r="100">
      <c r="C100" s="24"/>
      <c r="E100" s="13"/>
      <c r="F100" s="13"/>
      <c r="H100" s="24"/>
      <c r="J100" s="13"/>
      <c r="K100" s="13"/>
      <c r="M100" s="24"/>
      <c r="O100" s="13"/>
      <c r="P100" s="13"/>
    </row>
    <row r="101">
      <c r="C101" s="24"/>
      <c r="E101" s="13"/>
      <c r="F101" s="13"/>
      <c r="H101" s="24"/>
      <c r="J101" s="13"/>
      <c r="K101" s="13"/>
      <c r="M101" s="24"/>
      <c r="O101" s="13"/>
      <c r="P101" s="13"/>
    </row>
    <row r="102">
      <c r="C102" s="24"/>
      <c r="E102" s="13"/>
      <c r="F102" s="13"/>
      <c r="H102" s="24"/>
      <c r="J102" s="13"/>
      <c r="K102" s="13"/>
      <c r="M102" s="24"/>
      <c r="O102" s="13"/>
      <c r="P102" s="13"/>
    </row>
    <row r="103">
      <c r="C103" s="24"/>
      <c r="E103" s="13"/>
      <c r="F103" s="13"/>
      <c r="H103" s="24"/>
      <c r="J103" s="13"/>
      <c r="K103" s="13"/>
      <c r="M103" s="24"/>
      <c r="O103" s="13"/>
      <c r="P103" s="13"/>
    </row>
    <row r="104">
      <c r="C104" s="24"/>
      <c r="E104" s="13"/>
      <c r="F104" s="13"/>
      <c r="H104" s="24"/>
      <c r="J104" s="13"/>
      <c r="K104" s="13"/>
      <c r="M104" s="24"/>
      <c r="O104" s="13"/>
      <c r="P104" s="13"/>
    </row>
    <row r="105">
      <c r="C105" s="24"/>
      <c r="E105" s="13"/>
      <c r="F105" s="13"/>
      <c r="H105" s="24"/>
      <c r="J105" s="13"/>
      <c r="K105" s="13"/>
      <c r="M105" s="24"/>
      <c r="O105" s="13"/>
      <c r="P105" s="13"/>
    </row>
    <row r="106">
      <c r="C106" s="24"/>
      <c r="E106" s="13"/>
      <c r="F106" s="13"/>
      <c r="H106" s="24"/>
      <c r="J106" s="13"/>
      <c r="K106" s="13"/>
      <c r="M106" s="24"/>
      <c r="O106" s="13"/>
      <c r="P106" s="13"/>
    </row>
    <row r="107">
      <c r="C107" s="24"/>
      <c r="E107" s="13"/>
      <c r="F107" s="13"/>
      <c r="H107" s="24"/>
      <c r="J107" s="13"/>
      <c r="K107" s="13"/>
      <c r="M107" s="24"/>
      <c r="O107" s="13"/>
      <c r="P107" s="13"/>
    </row>
    <row r="108">
      <c r="C108" s="24"/>
      <c r="E108" s="13"/>
      <c r="F108" s="13"/>
      <c r="H108" s="24"/>
      <c r="J108" s="13"/>
      <c r="K108" s="13"/>
      <c r="M108" s="24"/>
      <c r="O108" s="13"/>
      <c r="P108" s="13"/>
    </row>
    <row r="109">
      <c r="C109" s="24"/>
      <c r="E109" s="13"/>
      <c r="F109" s="13"/>
      <c r="H109" s="24"/>
      <c r="J109" s="13"/>
      <c r="K109" s="13"/>
      <c r="M109" s="24"/>
      <c r="O109" s="13"/>
      <c r="P109" s="13"/>
    </row>
    <row r="110">
      <c r="C110" s="24"/>
      <c r="E110" s="13"/>
      <c r="F110" s="13"/>
      <c r="H110" s="24"/>
      <c r="J110" s="13"/>
      <c r="K110" s="13"/>
      <c r="M110" s="24"/>
      <c r="O110" s="13"/>
      <c r="P110" s="13"/>
    </row>
    <row r="111">
      <c r="C111" s="24"/>
      <c r="E111" s="13"/>
      <c r="F111" s="13"/>
      <c r="H111" s="24"/>
      <c r="J111" s="13"/>
      <c r="K111" s="13"/>
      <c r="M111" s="24"/>
      <c r="O111" s="13"/>
      <c r="P111" s="13"/>
    </row>
    <row r="112">
      <c r="C112" s="24"/>
      <c r="E112" s="13"/>
      <c r="F112" s="13"/>
      <c r="H112" s="24"/>
      <c r="J112" s="13"/>
      <c r="K112" s="13"/>
      <c r="M112" s="24"/>
      <c r="O112" s="13"/>
      <c r="P112" s="13"/>
    </row>
    <row r="113">
      <c r="C113" s="24"/>
      <c r="E113" s="13"/>
      <c r="F113" s="13"/>
      <c r="H113" s="24"/>
      <c r="J113" s="13"/>
      <c r="K113" s="13"/>
      <c r="M113" s="24"/>
      <c r="O113" s="13"/>
      <c r="P113" s="13"/>
    </row>
    <row r="114">
      <c r="C114" s="24"/>
      <c r="E114" s="13"/>
      <c r="F114" s="13"/>
      <c r="H114" s="24"/>
      <c r="J114" s="13"/>
      <c r="K114" s="13"/>
      <c r="M114" s="24"/>
      <c r="O114" s="13"/>
      <c r="P114" s="13"/>
    </row>
    <row r="115">
      <c r="C115" s="24"/>
      <c r="E115" s="13"/>
      <c r="F115" s="13"/>
      <c r="H115" s="24"/>
      <c r="J115" s="13"/>
      <c r="K115" s="13"/>
      <c r="M115" s="24"/>
      <c r="O115" s="13"/>
      <c r="P115" s="13"/>
    </row>
    <row r="116">
      <c r="C116" s="24"/>
      <c r="E116" s="13"/>
      <c r="F116" s="13"/>
      <c r="H116" s="24"/>
      <c r="J116" s="13"/>
      <c r="K116" s="13"/>
      <c r="M116" s="24"/>
      <c r="O116" s="13"/>
      <c r="P116" s="13"/>
    </row>
    <row r="117">
      <c r="C117" s="24"/>
      <c r="E117" s="13"/>
      <c r="F117" s="13"/>
      <c r="H117" s="24"/>
      <c r="J117" s="13"/>
      <c r="K117" s="13"/>
      <c r="M117" s="24"/>
      <c r="O117" s="13"/>
      <c r="P117" s="13"/>
    </row>
    <row r="118">
      <c r="C118" s="24"/>
      <c r="E118" s="13"/>
      <c r="F118" s="13"/>
      <c r="H118" s="24"/>
      <c r="J118" s="13"/>
      <c r="K118" s="13"/>
      <c r="M118" s="24"/>
      <c r="O118" s="13"/>
      <c r="P118" s="13"/>
    </row>
    <row r="119">
      <c r="C119" s="24"/>
      <c r="E119" s="13"/>
      <c r="F119" s="13"/>
      <c r="H119" s="24"/>
      <c r="J119" s="13"/>
      <c r="K119" s="13"/>
      <c r="M119" s="24"/>
      <c r="O119" s="13"/>
      <c r="P119" s="13"/>
    </row>
    <row r="120">
      <c r="C120" s="24"/>
      <c r="E120" s="13"/>
      <c r="F120" s="13"/>
      <c r="H120" s="24"/>
      <c r="J120" s="13"/>
      <c r="K120" s="13"/>
      <c r="M120" s="24"/>
      <c r="O120" s="13"/>
      <c r="P120" s="13"/>
    </row>
    <row r="121">
      <c r="C121" s="24"/>
      <c r="E121" s="13"/>
      <c r="F121" s="13"/>
      <c r="H121" s="24"/>
      <c r="J121" s="13"/>
      <c r="K121" s="13"/>
      <c r="M121" s="24"/>
      <c r="O121" s="13"/>
      <c r="P121" s="13"/>
    </row>
    <row r="122">
      <c r="C122" s="24"/>
      <c r="E122" s="13"/>
      <c r="F122" s="13"/>
      <c r="H122" s="24"/>
      <c r="J122" s="13"/>
      <c r="K122" s="13"/>
      <c r="M122" s="24"/>
      <c r="O122" s="13"/>
      <c r="P122" s="13"/>
    </row>
    <row r="123">
      <c r="C123" s="24"/>
      <c r="E123" s="13"/>
      <c r="F123" s="13"/>
      <c r="H123" s="24"/>
      <c r="J123" s="13"/>
      <c r="K123" s="13"/>
      <c r="M123" s="24"/>
      <c r="O123" s="13"/>
      <c r="P123" s="13"/>
    </row>
    <row r="124">
      <c r="C124" s="24"/>
      <c r="E124" s="13"/>
      <c r="F124" s="13"/>
      <c r="H124" s="24"/>
      <c r="J124" s="13"/>
      <c r="K124" s="13"/>
      <c r="M124" s="24"/>
      <c r="O124" s="13"/>
      <c r="P124" s="13"/>
    </row>
    <row r="125">
      <c r="C125" s="24"/>
      <c r="E125" s="13"/>
      <c r="F125" s="13"/>
      <c r="H125" s="24"/>
      <c r="J125" s="13"/>
      <c r="K125" s="13"/>
      <c r="M125" s="24"/>
      <c r="O125" s="13"/>
      <c r="P125" s="13"/>
    </row>
    <row r="126">
      <c r="C126" s="24"/>
      <c r="E126" s="13"/>
      <c r="F126" s="13"/>
      <c r="H126" s="24"/>
      <c r="J126" s="13"/>
      <c r="K126" s="13"/>
      <c r="M126" s="24"/>
      <c r="O126" s="13"/>
      <c r="P126" s="13"/>
    </row>
    <row r="127">
      <c r="C127" s="24"/>
      <c r="E127" s="13"/>
      <c r="F127" s="13"/>
      <c r="H127" s="24"/>
      <c r="J127" s="13"/>
      <c r="K127" s="13"/>
      <c r="M127" s="24"/>
      <c r="O127" s="13"/>
      <c r="P127" s="13"/>
    </row>
    <row r="128">
      <c r="C128" s="24"/>
      <c r="E128" s="13"/>
      <c r="F128" s="13"/>
      <c r="H128" s="24"/>
      <c r="J128" s="13"/>
      <c r="K128" s="13"/>
      <c r="M128" s="24"/>
      <c r="O128" s="13"/>
      <c r="P128" s="13"/>
    </row>
    <row r="129">
      <c r="C129" s="24"/>
      <c r="E129" s="13"/>
      <c r="F129" s="13"/>
      <c r="H129" s="24"/>
      <c r="J129" s="13"/>
      <c r="K129" s="13"/>
      <c r="M129" s="24"/>
      <c r="O129" s="13"/>
      <c r="P129" s="13"/>
    </row>
    <row r="130">
      <c r="C130" s="24"/>
      <c r="E130" s="13"/>
      <c r="F130" s="13"/>
      <c r="H130" s="24"/>
      <c r="J130" s="13"/>
      <c r="K130" s="13"/>
      <c r="M130" s="24"/>
      <c r="O130" s="13"/>
      <c r="P130" s="13"/>
    </row>
    <row r="131">
      <c r="C131" s="24"/>
      <c r="E131" s="13"/>
      <c r="F131" s="13"/>
      <c r="H131" s="24"/>
      <c r="J131" s="13"/>
      <c r="K131" s="13"/>
      <c r="M131" s="24"/>
      <c r="O131" s="13"/>
      <c r="P131" s="13"/>
    </row>
    <row r="132">
      <c r="C132" s="24"/>
      <c r="E132" s="13"/>
      <c r="F132" s="13"/>
      <c r="H132" s="24"/>
      <c r="J132" s="13"/>
      <c r="K132" s="13"/>
      <c r="M132" s="24"/>
      <c r="O132" s="13"/>
      <c r="P132" s="13"/>
    </row>
    <row r="133">
      <c r="C133" s="24"/>
      <c r="E133" s="13"/>
      <c r="F133" s="13"/>
      <c r="H133" s="24"/>
      <c r="J133" s="13"/>
      <c r="K133" s="13"/>
      <c r="M133" s="24"/>
      <c r="O133" s="13"/>
      <c r="P133" s="13"/>
    </row>
    <row r="134">
      <c r="C134" s="24"/>
      <c r="E134" s="13"/>
      <c r="F134" s="13"/>
      <c r="H134" s="24"/>
      <c r="J134" s="13"/>
      <c r="K134" s="13"/>
      <c r="M134" s="24"/>
      <c r="O134" s="13"/>
      <c r="P134" s="13"/>
    </row>
    <row r="135">
      <c r="C135" s="24"/>
      <c r="E135" s="13"/>
      <c r="F135" s="13"/>
      <c r="H135" s="24"/>
      <c r="J135" s="13"/>
      <c r="K135" s="13"/>
      <c r="M135" s="24"/>
      <c r="O135" s="13"/>
      <c r="P135" s="13"/>
    </row>
    <row r="136">
      <c r="C136" s="24"/>
      <c r="E136" s="13"/>
      <c r="F136" s="13"/>
      <c r="H136" s="24"/>
      <c r="J136" s="13"/>
      <c r="K136" s="13"/>
      <c r="M136" s="24"/>
      <c r="O136" s="13"/>
      <c r="P136" s="13"/>
    </row>
    <row r="137">
      <c r="C137" s="24"/>
      <c r="E137" s="13"/>
      <c r="F137" s="13"/>
      <c r="H137" s="24"/>
      <c r="J137" s="13"/>
      <c r="K137" s="13"/>
      <c r="M137" s="24"/>
      <c r="O137" s="13"/>
      <c r="P137" s="13"/>
    </row>
    <row r="138">
      <c r="C138" s="24"/>
      <c r="E138" s="13"/>
      <c r="F138" s="13"/>
      <c r="H138" s="24"/>
      <c r="J138" s="13"/>
      <c r="K138" s="13"/>
      <c r="M138" s="24"/>
      <c r="O138" s="13"/>
      <c r="P138" s="13"/>
    </row>
    <row r="139">
      <c r="C139" s="24"/>
      <c r="E139" s="13"/>
      <c r="F139" s="13"/>
      <c r="H139" s="24"/>
      <c r="J139" s="13"/>
      <c r="K139" s="13"/>
      <c r="M139" s="24"/>
      <c r="O139" s="13"/>
      <c r="P139" s="13"/>
    </row>
    <row r="140">
      <c r="C140" s="24"/>
      <c r="E140" s="13"/>
      <c r="F140" s="13"/>
      <c r="H140" s="24"/>
      <c r="J140" s="13"/>
      <c r="K140" s="13"/>
      <c r="M140" s="24"/>
      <c r="O140" s="13"/>
      <c r="P140" s="13"/>
    </row>
    <row r="141">
      <c r="C141" s="24"/>
      <c r="E141" s="13"/>
      <c r="F141" s="13"/>
      <c r="H141" s="24"/>
      <c r="J141" s="13"/>
      <c r="K141" s="13"/>
      <c r="M141" s="24"/>
      <c r="O141" s="13"/>
      <c r="P141" s="13"/>
    </row>
    <row r="142">
      <c r="C142" s="24"/>
      <c r="E142" s="13"/>
      <c r="F142" s="13"/>
      <c r="H142" s="24"/>
      <c r="J142" s="13"/>
      <c r="K142" s="13"/>
      <c r="M142" s="24"/>
      <c r="O142" s="13"/>
      <c r="P142" s="13"/>
    </row>
    <row r="143">
      <c r="C143" s="24"/>
      <c r="E143" s="13"/>
      <c r="F143" s="13"/>
      <c r="H143" s="24"/>
      <c r="J143" s="13"/>
      <c r="K143" s="13"/>
      <c r="M143" s="24"/>
      <c r="O143" s="13"/>
      <c r="P143" s="13"/>
    </row>
    <row r="144">
      <c r="C144" s="24"/>
      <c r="E144" s="13"/>
      <c r="F144" s="13"/>
      <c r="H144" s="24"/>
      <c r="J144" s="13"/>
      <c r="K144" s="13"/>
      <c r="M144" s="24"/>
      <c r="O144" s="13"/>
      <c r="P144" s="13"/>
    </row>
    <row r="145">
      <c r="C145" s="24"/>
      <c r="E145" s="13"/>
      <c r="F145" s="13"/>
      <c r="H145" s="24"/>
      <c r="J145" s="13"/>
      <c r="K145" s="13"/>
      <c r="M145" s="24"/>
      <c r="O145" s="13"/>
      <c r="P145" s="13"/>
    </row>
    <row r="146">
      <c r="C146" s="24"/>
      <c r="E146" s="13"/>
      <c r="F146" s="13"/>
      <c r="H146" s="24"/>
      <c r="J146" s="13"/>
      <c r="K146" s="13"/>
      <c r="M146" s="24"/>
      <c r="O146" s="13"/>
      <c r="P146" s="13"/>
    </row>
    <row r="147">
      <c r="C147" s="24"/>
      <c r="E147" s="13"/>
      <c r="F147" s="13"/>
      <c r="H147" s="24"/>
      <c r="J147" s="13"/>
      <c r="K147" s="13"/>
      <c r="M147" s="24"/>
      <c r="O147" s="13"/>
      <c r="P147" s="13"/>
    </row>
    <row r="148">
      <c r="C148" s="24"/>
      <c r="E148" s="13"/>
      <c r="F148" s="13"/>
      <c r="H148" s="24"/>
      <c r="J148" s="13"/>
      <c r="K148" s="13"/>
      <c r="M148" s="24"/>
      <c r="O148" s="13"/>
      <c r="P148" s="13"/>
    </row>
    <row r="149">
      <c r="C149" s="24"/>
      <c r="E149" s="13"/>
      <c r="F149" s="13"/>
      <c r="H149" s="24"/>
      <c r="J149" s="13"/>
      <c r="K149" s="13"/>
      <c r="M149" s="24"/>
      <c r="O149" s="13"/>
      <c r="P149" s="13"/>
    </row>
    <row r="150">
      <c r="C150" s="24"/>
      <c r="E150" s="13"/>
      <c r="F150" s="13"/>
      <c r="H150" s="24"/>
      <c r="J150" s="13"/>
      <c r="K150" s="13"/>
      <c r="M150" s="24"/>
      <c r="O150" s="13"/>
      <c r="P150" s="13"/>
    </row>
    <row r="151">
      <c r="C151" s="24"/>
      <c r="E151" s="13"/>
      <c r="F151" s="13"/>
      <c r="H151" s="24"/>
      <c r="J151" s="13"/>
      <c r="K151" s="13"/>
      <c r="M151" s="24"/>
      <c r="O151" s="13"/>
      <c r="P151" s="13"/>
    </row>
    <row r="152">
      <c r="C152" s="24"/>
      <c r="E152" s="13"/>
      <c r="F152" s="13"/>
      <c r="H152" s="24"/>
      <c r="J152" s="13"/>
      <c r="K152" s="13"/>
      <c r="M152" s="24"/>
      <c r="O152" s="13"/>
      <c r="P152" s="13"/>
    </row>
    <row r="153">
      <c r="C153" s="24"/>
      <c r="E153" s="13"/>
      <c r="F153" s="13"/>
      <c r="H153" s="24"/>
      <c r="J153" s="13"/>
      <c r="K153" s="13"/>
      <c r="M153" s="24"/>
      <c r="O153" s="13"/>
      <c r="P153" s="13"/>
    </row>
    <row r="154">
      <c r="C154" s="24"/>
      <c r="E154" s="13"/>
      <c r="F154" s="13"/>
      <c r="H154" s="24"/>
      <c r="J154" s="13"/>
      <c r="K154" s="13"/>
      <c r="M154" s="24"/>
      <c r="O154" s="13"/>
      <c r="P154" s="13"/>
    </row>
    <row r="155">
      <c r="C155" s="24"/>
      <c r="E155" s="13"/>
      <c r="F155" s="13"/>
      <c r="H155" s="24"/>
      <c r="J155" s="13"/>
      <c r="K155" s="13"/>
      <c r="M155" s="24"/>
      <c r="O155" s="13"/>
      <c r="P155" s="13"/>
    </row>
    <row r="156">
      <c r="C156" s="24"/>
      <c r="E156" s="13"/>
      <c r="F156" s="13"/>
      <c r="H156" s="24"/>
      <c r="J156" s="13"/>
      <c r="K156" s="13"/>
      <c r="M156" s="24"/>
      <c r="O156" s="13"/>
      <c r="P156" s="13"/>
    </row>
    <row r="157">
      <c r="C157" s="24"/>
      <c r="E157" s="13"/>
      <c r="F157" s="13"/>
      <c r="H157" s="24"/>
      <c r="J157" s="13"/>
      <c r="K157" s="13"/>
      <c r="M157" s="24"/>
      <c r="O157" s="13"/>
      <c r="P157" s="13"/>
    </row>
    <row r="158">
      <c r="C158" s="24"/>
      <c r="E158" s="13"/>
      <c r="F158" s="13"/>
      <c r="H158" s="24"/>
      <c r="J158" s="13"/>
      <c r="K158" s="13"/>
      <c r="M158" s="24"/>
      <c r="O158" s="13"/>
      <c r="P158" s="13"/>
    </row>
    <row r="159">
      <c r="C159" s="24"/>
      <c r="E159" s="13"/>
      <c r="F159" s="13"/>
      <c r="H159" s="24"/>
      <c r="J159" s="13"/>
      <c r="K159" s="13"/>
      <c r="M159" s="24"/>
      <c r="O159" s="13"/>
      <c r="P159" s="13"/>
    </row>
    <row r="160">
      <c r="C160" s="24"/>
      <c r="E160" s="13"/>
      <c r="F160" s="13"/>
      <c r="H160" s="24"/>
      <c r="J160" s="13"/>
      <c r="K160" s="13"/>
      <c r="M160" s="24"/>
      <c r="O160" s="13"/>
      <c r="P160" s="13"/>
    </row>
    <row r="161">
      <c r="C161" s="24"/>
      <c r="E161" s="13"/>
      <c r="F161" s="13"/>
      <c r="H161" s="24"/>
      <c r="J161" s="13"/>
      <c r="K161" s="13"/>
      <c r="M161" s="24"/>
      <c r="O161" s="13"/>
      <c r="P161" s="13"/>
    </row>
    <row r="162">
      <c r="C162" s="24"/>
      <c r="E162" s="13"/>
      <c r="F162" s="13"/>
      <c r="H162" s="24"/>
      <c r="J162" s="13"/>
      <c r="K162" s="13"/>
      <c r="M162" s="24"/>
      <c r="O162" s="13"/>
      <c r="P162" s="13"/>
    </row>
    <row r="163">
      <c r="C163" s="24"/>
      <c r="E163" s="13"/>
      <c r="F163" s="13"/>
      <c r="H163" s="24"/>
      <c r="J163" s="13"/>
      <c r="K163" s="13"/>
      <c r="M163" s="24"/>
      <c r="O163" s="13"/>
      <c r="P163" s="13"/>
    </row>
    <row r="164">
      <c r="C164" s="24"/>
      <c r="E164" s="13"/>
      <c r="F164" s="13"/>
      <c r="H164" s="24"/>
      <c r="J164" s="13"/>
      <c r="K164" s="13"/>
      <c r="M164" s="24"/>
      <c r="O164" s="13"/>
      <c r="P164" s="13"/>
    </row>
    <row r="165">
      <c r="C165" s="24"/>
      <c r="E165" s="13"/>
      <c r="F165" s="13"/>
      <c r="H165" s="24"/>
      <c r="J165" s="13"/>
      <c r="K165" s="13"/>
      <c r="M165" s="24"/>
      <c r="O165" s="13"/>
      <c r="P165" s="13"/>
    </row>
    <row r="166">
      <c r="C166" s="24"/>
      <c r="E166" s="13"/>
      <c r="F166" s="13"/>
      <c r="H166" s="24"/>
      <c r="J166" s="13"/>
      <c r="K166" s="13"/>
      <c r="M166" s="24"/>
      <c r="O166" s="13"/>
      <c r="P166" s="13"/>
    </row>
    <row r="167">
      <c r="C167" s="24"/>
      <c r="E167" s="13"/>
      <c r="F167" s="13"/>
      <c r="H167" s="24"/>
      <c r="J167" s="13"/>
      <c r="K167" s="13"/>
      <c r="M167" s="24"/>
      <c r="O167" s="13"/>
      <c r="P167" s="13"/>
    </row>
    <row r="168">
      <c r="C168" s="24"/>
      <c r="E168" s="13"/>
      <c r="F168" s="13"/>
      <c r="H168" s="24"/>
      <c r="J168" s="13"/>
      <c r="K168" s="13"/>
      <c r="M168" s="24"/>
      <c r="O168" s="13"/>
      <c r="P168" s="13"/>
    </row>
    <row r="169">
      <c r="C169" s="24"/>
      <c r="E169" s="13"/>
      <c r="F169" s="13"/>
      <c r="H169" s="24"/>
      <c r="J169" s="13"/>
      <c r="K169" s="13"/>
      <c r="M169" s="24"/>
      <c r="O169" s="13"/>
      <c r="P169" s="13"/>
    </row>
    <row r="170">
      <c r="C170" s="24"/>
      <c r="E170" s="13"/>
      <c r="F170" s="13"/>
      <c r="H170" s="24"/>
      <c r="J170" s="13"/>
      <c r="K170" s="13"/>
      <c r="M170" s="24"/>
      <c r="O170" s="13"/>
      <c r="P170" s="13"/>
    </row>
    <row r="171">
      <c r="C171" s="24"/>
      <c r="E171" s="13"/>
      <c r="F171" s="13"/>
      <c r="H171" s="24"/>
      <c r="J171" s="13"/>
      <c r="K171" s="13"/>
      <c r="M171" s="24"/>
      <c r="O171" s="13"/>
      <c r="P171" s="13"/>
    </row>
    <row r="172">
      <c r="C172" s="24"/>
      <c r="E172" s="13"/>
      <c r="F172" s="13"/>
      <c r="H172" s="24"/>
      <c r="J172" s="13"/>
      <c r="K172" s="13"/>
      <c r="M172" s="24"/>
      <c r="O172" s="13"/>
      <c r="P172" s="13"/>
    </row>
    <row r="173">
      <c r="C173" s="24"/>
      <c r="E173" s="13"/>
      <c r="F173" s="13"/>
      <c r="H173" s="24"/>
      <c r="J173" s="13"/>
      <c r="K173" s="13"/>
      <c r="M173" s="24"/>
      <c r="O173" s="13"/>
      <c r="P173" s="13"/>
    </row>
    <row r="174">
      <c r="C174" s="24"/>
      <c r="E174" s="13"/>
      <c r="F174" s="13"/>
      <c r="H174" s="24"/>
      <c r="J174" s="13"/>
      <c r="K174" s="13"/>
      <c r="M174" s="24"/>
      <c r="O174" s="13"/>
      <c r="P174" s="13"/>
    </row>
    <row r="175">
      <c r="C175" s="24"/>
      <c r="E175" s="13"/>
      <c r="F175" s="13"/>
      <c r="H175" s="24"/>
      <c r="J175" s="13"/>
      <c r="K175" s="13"/>
      <c r="M175" s="24"/>
      <c r="O175" s="13"/>
      <c r="P175" s="13"/>
    </row>
    <row r="176">
      <c r="C176" s="24"/>
      <c r="E176" s="13"/>
      <c r="F176" s="13"/>
      <c r="H176" s="24"/>
      <c r="J176" s="13"/>
      <c r="K176" s="13"/>
      <c r="M176" s="24"/>
      <c r="O176" s="13"/>
      <c r="P176" s="13"/>
    </row>
    <row r="177">
      <c r="C177" s="24"/>
      <c r="E177" s="13"/>
      <c r="F177" s="13"/>
      <c r="H177" s="24"/>
      <c r="J177" s="13"/>
      <c r="K177" s="13"/>
      <c r="M177" s="24"/>
      <c r="O177" s="13"/>
      <c r="P177" s="13"/>
    </row>
    <row r="178">
      <c r="C178" s="24"/>
      <c r="E178" s="13"/>
      <c r="F178" s="13"/>
      <c r="H178" s="24"/>
      <c r="J178" s="13"/>
      <c r="K178" s="13"/>
      <c r="M178" s="24"/>
      <c r="O178" s="13"/>
      <c r="P178" s="13"/>
    </row>
    <row r="179">
      <c r="C179" s="24"/>
      <c r="E179" s="13"/>
      <c r="F179" s="13"/>
      <c r="H179" s="24"/>
      <c r="J179" s="13"/>
      <c r="K179" s="13"/>
      <c r="M179" s="24"/>
      <c r="O179" s="13"/>
      <c r="P179" s="13"/>
    </row>
    <row r="180">
      <c r="C180" s="24"/>
      <c r="E180" s="13"/>
      <c r="F180" s="13"/>
      <c r="H180" s="24"/>
      <c r="J180" s="13"/>
      <c r="K180" s="13"/>
      <c r="M180" s="24"/>
      <c r="O180" s="13"/>
      <c r="P180" s="13"/>
    </row>
    <row r="181">
      <c r="C181" s="24"/>
      <c r="E181" s="13"/>
      <c r="F181" s="13"/>
      <c r="H181" s="24"/>
      <c r="J181" s="13"/>
      <c r="K181" s="13"/>
      <c r="M181" s="24"/>
      <c r="O181" s="13"/>
      <c r="P181" s="13"/>
    </row>
    <row r="182">
      <c r="C182" s="24"/>
      <c r="E182" s="13"/>
      <c r="F182" s="13"/>
      <c r="H182" s="24"/>
      <c r="J182" s="13"/>
      <c r="K182" s="13"/>
      <c r="M182" s="24"/>
      <c r="O182" s="13"/>
      <c r="P182" s="13"/>
    </row>
    <row r="183">
      <c r="C183" s="24"/>
      <c r="E183" s="13"/>
      <c r="F183" s="13"/>
      <c r="H183" s="24"/>
      <c r="J183" s="13"/>
      <c r="K183" s="13"/>
      <c r="M183" s="24"/>
      <c r="O183" s="13"/>
      <c r="P183" s="13"/>
    </row>
    <row r="184">
      <c r="C184" s="24"/>
      <c r="E184" s="13"/>
      <c r="F184" s="13"/>
      <c r="H184" s="24"/>
      <c r="J184" s="13"/>
      <c r="K184" s="13"/>
      <c r="M184" s="24"/>
      <c r="O184" s="13"/>
      <c r="P184" s="13"/>
    </row>
    <row r="185">
      <c r="C185" s="24"/>
      <c r="E185" s="13"/>
      <c r="F185" s="13"/>
      <c r="H185" s="24"/>
      <c r="J185" s="13"/>
      <c r="K185" s="13"/>
      <c r="M185" s="24"/>
      <c r="O185" s="13"/>
      <c r="P185" s="13"/>
    </row>
    <row r="186">
      <c r="C186" s="24"/>
      <c r="E186" s="13"/>
      <c r="F186" s="13"/>
      <c r="H186" s="24"/>
      <c r="J186" s="13"/>
      <c r="K186" s="13"/>
      <c r="M186" s="24"/>
      <c r="O186" s="13"/>
      <c r="P186" s="13"/>
    </row>
    <row r="187">
      <c r="C187" s="24"/>
      <c r="E187" s="13"/>
      <c r="F187" s="13"/>
      <c r="H187" s="24"/>
      <c r="J187" s="13"/>
      <c r="K187" s="13"/>
      <c r="M187" s="24"/>
      <c r="O187" s="13"/>
      <c r="P187" s="13"/>
    </row>
    <row r="188">
      <c r="C188" s="24"/>
      <c r="E188" s="13"/>
      <c r="F188" s="13"/>
      <c r="H188" s="24"/>
      <c r="J188" s="13"/>
      <c r="K188" s="13"/>
      <c r="M188" s="24"/>
      <c r="O188" s="13"/>
      <c r="P188" s="13"/>
    </row>
    <row r="189">
      <c r="C189" s="24"/>
      <c r="E189" s="13"/>
      <c r="F189" s="13"/>
      <c r="H189" s="24"/>
      <c r="J189" s="13"/>
      <c r="K189" s="13"/>
      <c r="M189" s="24"/>
      <c r="O189" s="13"/>
      <c r="P189" s="13"/>
    </row>
    <row r="190">
      <c r="C190" s="24"/>
      <c r="E190" s="13"/>
      <c r="F190" s="13"/>
      <c r="H190" s="24"/>
      <c r="J190" s="13"/>
      <c r="K190" s="13"/>
      <c r="M190" s="24"/>
      <c r="O190" s="13"/>
      <c r="P190" s="13"/>
    </row>
    <row r="191">
      <c r="C191" s="24"/>
      <c r="E191" s="13"/>
      <c r="F191" s="13"/>
      <c r="H191" s="24"/>
      <c r="J191" s="13"/>
      <c r="K191" s="13"/>
      <c r="M191" s="24"/>
      <c r="O191" s="13"/>
      <c r="P191" s="13"/>
    </row>
    <row r="192">
      <c r="C192" s="24"/>
      <c r="E192" s="13"/>
      <c r="F192" s="13"/>
      <c r="H192" s="24"/>
      <c r="J192" s="13"/>
      <c r="K192" s="13"/>
      <c r="M192" s="24"/>
      <c r="O192" s="13"/>
      <c r="P192" s="13"/>
    </row>
    <row r="193">
      <c r="C193" s="24"/>
      <c r="E193" s="13"/>
      <c r="F193" s="13"/>
      <c r="H193" s="24"/>
      <c r="J193" s="13"/>
      <c r="K193" s="13"/>
      <c r="M193" s="24"/>
      <c r="O193" s="13"/>
      <c r="P193" s="13"/>
    </row>
    <row r="194">
      <c r="C194" s="24"/>
      <c r="E194" s="13"/>
      <c r="F194" s="13"/>
      <c r="H194" s="24"/>
      <c r="J194" s="13"/>
      <c r="K194" s="13"/>
      <c r="M194" s="24"/>
      <c r="O194" s="13"/>
      <c r="P194" s="13"/>
    </row>
    <row r="195">
      <c r="C195" s="24"/>
      <c r="E195" s="13"/>
      <c r="F195" s="13"/>
      <c r="H195" s="24"/>
      <c r="J195" s="13"/>
      <c r="K195" s="13"/>
      <c r="M195" s="24"/>
      <c r="O195" s="13"/>
      <c r="P195" s="13"/>
    </row>
    <row r="196">
      <c r="C196" s="24"/>
      <c r="E196" s="13"/>
      <c r="F196" s="13"/>
      <c r="H196" s="24"/>
      <c r="J196" s="13"/>
      <c r="K196" s="13"/>
      <c r="M196" s="24"/>
      <c r="O196" s="13"/>
      <c r="P196" s="13"/>
    </row>
    <row r="197">
      <c r="C197" s="24"/>
      <c r="E197" s="13"/>
      <c r="F197" s="13"/>
      <c r="H197" s="24"/>
      <c r="J197" s="13"/>
      <c r="K197" s="13"/>
      <c r="M197" s="24"/>
      <c r="O197" s="13"/>
      <c r="P197" s="13"/>
    </row>
    <row r="198">
      <c r="C198" s="24"/>
      <c r="E198" s="13"/>
      <c r="F198" s="13"/>
      <c r="H198" s="24"/>
      <c r="J198" s="13"/>
      <c r="K198" s="13"/>
      <c r="M198" s="24"/>
      <c r="O198" s="13"/>
      <c r="P198" s="13"/>
    </row>
    <row r="199">
      <c r="C199" s="24"/>
      <c r="E199" s="13"/>
      <c r="F199" s="13"/>
      <c r="H199" s="24"/>
      <c r="J199" s="13"/>
      <c r="K199" s="13"/>
      <c r="M199" s="24"/>
      <c r="O199" s="13"/>
      <c r="P199" s="13"/>
    </row>
    <row r="200">
      <c r="C200" s="24"/>
      <c r="E200" s="13"/>
      <c r="F200" s="13"/>
      <c r="H200" s="24"/>
      <c r="J200" s="13"/>
      <c r="K200" s="13"/>
      <c r="M200" s="24"/>
      <c r="O200" s="13"/>
      <c r="P200" s="13"/>
    </row>
    <row r="201">
      <c r="C201" s="24"/>
      <c r="E201" s="13"/>
      <c r="F201" s="13"/>
      <c r="H201" s="24"/>
      <c r="J201" s="13"/>
      <c r="K201" s="13"/>
      <c r="M201" s="24"/>
      <c r="O201" s="13"/>
      <c r="P201" s="13"/>
    </row>
    <row r="202">
      <c r="C202" s="24"/>
      <c r="E202" s="13"/>
      <c r="F202" s="13"/>
      <c r="H202" s="24"/>
      <c r="J202" s="13"/>
      <c r="K202" s="13"/>
      <c r="M202" s="24"/>
      <c r="O202" s="13"/>
      <c r="P202" s="13"/>
    </row>
    <row r="203">
      <c r="C203" s="24"/>
      <c r="E203" s="13"/>
      <c r="F203" s="13"/>
      <c r="H203" s="24"/>
      <c r="J203" s="13"/>
      <c r="K203" s="13"/>
      <c r="M203" s="24"/>
      <c r="O203" s="13"/>
      <c r="P203" s="13"/>
    </row>
    <row r="204">
      <c r="C204" s="24"/>
      <c r="E204" s="13"/>
      <c r="F204" s="13"/>
      <c r="H204" s="24"/>
      <c r="J204" s="13"/>
      <c r="K204" s="13"/>
      <c r="M204" s="24"/>
      <c r="O204" s="13"/>
      <c r="P204" s="13"/>
    </row>
    <row r="205">
      <c r="C205" s="24"/>
      <c r="E205" s="13"/>
      <c r="F205" s="13"/>
      <c r="H205" s="24"/>
      <c r="J205" s="13"/>
      <c r="K205" s="13"/>
      <c r="M205" s="24"/>
      <c r="O205" s="13"/>
      <c r="P205" s="13"/>
    </row>
    <row r="206">
      <c r="C206" s="24"/>
      <c r="E206" s="13"/>
      <c r="F206" s="13"/>
      <c r="H206" s="24"/>
      <c r="J206" s="13"/>
      <c r="K206" s="13"/>
      <c r="M206" s="24"/>
      <c r="O206" s="13"/>
      <c r="P206" s="13"/>
    </row>
    <row r="207">
      <c r="C207" s="24"/>
      <c r="E207" s="13"/>
      <c r="F207" s="13"/>
      <c r="H207" s="24"/>
      <c r="J207" s="13"/>
      <c r="K207" s="13"/>
      <c r="M207" s="24"/>
      <c r="O207" s="13"/>
      <c r="P207" s="13"/>
    </row>
    <row r="208">
      <c r="C208" s="24"/>
      <c r="E208" s="13"/>
      <c r="F208" s="13"/>
      <c r="H208" s="24"/>
      <c r="J208" s="13"/>
      <c r="K208" s="13"/>
      <c r="M208" s="24"/>
      <c r="O208" s="13"/>
      <c r="P208" s="13"/>
    </row>
    <row r="209">
      <c r="C209" s="24"/>
      <c r="E209" s="13"/>
      <c r="F209" s="13"/>
      <c r="H209" s="24"/>
      <c r="J209" s="13"/>
      <c r="K209" s="13"/>
      <c r="M209" s="24"/>
      <c r="O209" s="13"/>
      <c r="P209" s="13"/>
    </row>
    <row r="210">
      <c r="C210" s="24"/>
      <c r="E210" s="13"/>
      <c r="F210" s="13"/>
      <c r="H210" s="24"/>
      <c r="J210" s="13"/>
      <c r="K210" s="13"/>
      <c r="M210" s="24"/>
      <c r="O210" s="13"/>
      <c r="P210" s="13"/>
    </row>
    <row r="211">
      <c r="C211" s="24"/>
      <c r="E211" s="13"/>
      <c r="F211" s="13"/>
      <c r="H211" s="24"/>
      <c r="J211" s="13"/>
      <c r="K211" s="13"/>
      <c r="M211" s="24"/>
      <c r="O211" s="13"/>
      <c r="P211" s="13"/>
    </row>
    <row r="212">
      <c r="C212" s="24"/>
      <c r="E212" s="13"/>
      <c r="F212" s="13"/>
      <c r="H212" s="24"/>
      <c r="J212" s="13"/>
      <c r="K212" s="13"/>
      <c r="M212" s="24"/>
      <c r="O212" s="13"/>
      <c r="P212" s="13"/>
    </row>
    <row r="213">
      <c r="C213" s="24"/>
      <c r="E213" s="13"/>
      <c r="F213" s="13"/>
      <c r="H213" s="24"/>
      <c r="J213" s="13"/>
      <c r="K213" s="13"/>
      <c r="M213" s="24"/>
      <c r="O213" s="13"/>
      <c r="P213" s="13"/>
    </row>
    <row r="214">
      <c r="C214" s="24"/>
      <c r="E214" s="13"/>
      <c r="F214" s="13"/>
      <c r="H214" s="24"/>
      <c r="J214" s="13"/>
      <c r="K214" s="13"/>
      <c r="M214" s="24"/>
      <c r="O214" s="13"/>
      <c r="P214" s="13"/>
    </row>
    <row r="215">
      <c r="C215" s="24"/>
      <c r="E215" s="13"/>
      <c r="F215" s="13"/>
      <c r="H215" s="24"/>
      <c r="J215" s="13"/>
      <c r="K215" s="13"/>
      <c r="M215" s="24"/>
      <c r="O215" s="13"/>
      <c r="P215" s="13"/>
    </row>
    <row r="216">
      <c r="C216" s="24"/>
      <c r="E216" s="13"/>
      <c r="F216" s="13"/>
      <c r="H216" s="24"/>
      <c r="J216" s="13"/>
      <c r="K216" s="13"/>
      <c r="M216" s="24"/>
      <c r="O216" s="13"/>
      <c r="P216" s="13"/>
    </row>
    <row r="217">
      <c r="C217" s="24"/>
      <c r="E217" s="13"/>
      <c r="F217" s="13"/>
      <c r="H217" s="24"/>
      <c r="J217" s="13"/>
      <c r="K217" s="13"/>
      <c r="M217" s="24"/>
      <c r="O217" s="13"/>
      <c r="P217" s="13"/>
    </row>
    <row r="218">
      <c r="C218" s="24"/>
      <c r="E218" s="13"/>
      <c r="F218" s="13"/>
      <c r="H218" s="24"/>
      <c r="J218" s="13"/>
      <c r="K218" s="13"/>
      <c r="M218" s="24"/>
      <c r="O218" s="13"/>
      <c r="P218" s="13"/>
    </row>
    <row r="219">
      <c r="C219" s="24"/>
      <c r="E219" s="13"/>
      <c r="F219" s="13"/>
      <c r="H219" s="24"/>
      <c r="J219" s="13"/>
      <c r="K219" s="13"/>
      <c r="M219" s="24"/>
      <c r="O219" s="13"/>
      <c r="P219" s="13"/>
    </row>
    <row r="220">
      <c r="C220" s="24"/>
      <c r="E220" s="13"/>
      <c r="F220" s="13"/>
      <c r="H220" s="24"/>
      <c r="J220" s="13"/>
      <c r="K220" s="13"/>
      <c r="M220" s="24"/>
      <c r="O220" s="13"/>
      <c r="P220" s="13"/>
    </row>
    <row r="221">
      <c r="C221" s="24"/>
      <c r="E221" s="13"/>
      <c r="F221" s="13"/>
      <c r="H221" s="24"/>
      <c r="J221" s="13"/>
      <c r="K221" s="13"/>
      <c r="M221" s="24"/>
      <c r="O221" s="13"/>
      <c r="P221" s="13"/>
    </row>
    <row r="222">
      <c r="C222" s="24"/>
      <c r="E222" s="13"/>
      <c r="F222" s="13"/>
      <c r="H222" s="24"/>
      <c r="J222" s="13"/>
      <c r="K222" s="13"/>
      <c r="M222" s="24"/>
      <c r="O222" s="13"/>
      <c r="P222" s="13"/>
    </row>
    <row r="223">
      <c r="C223" s="24"/>
      <c r="E223" s="13"/>
      <c r="F223" s="13"/>
      <c r="H223" s="24"/>
      <c r="J223" s="13"/>
      <c r="K223" s="13"/>
      <c r="M223" s="24"/>
      <c r="O223" s="13"/>
      <c r="P223" s="13"/>
    </row>
    <row r="224">
      <c r="C224" s="24"/>
      <c r="E224" s="13"/>
      <c r="F224" s="13"/>
      <c r="H224" s="24"/>
      <c r="J224" s="13"/>
      <c r="K224" s="13"/>
      <c r="M224" s="24"/>
      <c r="O224" s="13"/>
      <c r="P224" s="13"/>
    </row>
    <row r="225">
      <c r="C225" s="24"/>
      <c r="E225" s="13"/>
      <c r="F225" s="13"/>
      <c r="H225" s="24"/>
      <c r="J225" s="13"/>
      <c r="K225" s="13"/>
      <c r="M225" s="24"/>
      <c r="O225" s="13"/>
      <c r="P225" s="13"/>
    </row>
    <row r="226">
      <c r="C226" s="24"/>
      <c r="E226" s="13"/>
      <c r="F226" s="13"/>
      <c r="H226" s="24"/>
      <c r="J226" s="13"/>
      <c r="K226" s="13"/>
      <c r="M226" s="24"/>
      <c r="O226" s="13"/>
      <c r="P226" s="13"/>
    </row>
    <row r="227">
      <c r="C227" s="24"/>
      <c r="E227" s="13"/>
      <c r="F227" s="13"/>
      <c r="H227" s="24"/>
      <c r="J227" s="13"/>
      <c r="K227" s="13"/>
      <c r="M227" s="24"/>
      <c r="O227" s="13"/>
      <c r="P227" s="13"/>
    </row>
    <row r="228">
      <c r="C228" s="24"/>
      <c r="E228" s="13"/>
      <c r="F228" s="13"/>
      <c r="H228" s="24"/>
      <c r="J228" s="13"/>
      <c r="K228" s="13"/>
      <c r="M228" s="24"/>
      <c r="O228" s="13"/>
      <c r="P228" s="13"/>
    </row>
    <row r="229">
      <c r="C229" s="24"/>
      <c r="E229" s="13"/>
      <c r="F229" s="13"/>
      <c r="H229" s="24"/>
      <c r="J229" s="13"/>
      <c r="K229" s="13"/>
      <c r="M229" s="24"/>
      <c r="O229" s="13"/>
      <c r="P229" s="13"/>
    </row>
    <row r="230">
      <c r="C230" s="24"/>
      <c r="E230" s="13"/>
      <c r="F230" s="13"/>
      <c r="H230" s="24"/>
      <c r="J230" s="13"/>
      <c r="K230" s="13"/>
      <c r="M230" s="24"/>
      <c r="O230" s="13"/>
      <c r="P230" s="13"/>
    </row>
    <row r="231">
      <c r="C231" s="24"/>
      <c r="E231" s="13"/>
      <c r="F231" s="13"/>
      <c r="H231" s="24"/>
      <c r="J231" s="13"/>
      <c r="K231" s="13"/>
      <c r="M231" s="24"/>
      <c r="O231" s="13"/>
      <c r="P231" s="13"/>
    </row>
    <row r="232">
      <c r="C232" s="24"/>
      <c r="E232" s="13"/>
      <c r="F232" s="13"/>
      <c r="H232" s="24"/>
      <c r="J232" s="13"/>
      <c r="K232" s="13"/>
      <c r="M232" s="24"/>
      <c r="O232" s="13"/>
      <c r="P232" s="13"/>
    </row>
    <row r="233">
      <c r="C233" s="24"/>
      <c r="E233" s="13"/>
      <c r="F233" s="13"/>
      <c r="H233" s="24"/>
      <c r="J233" s="13"/>
      <c r="K233" s="13"/>
      <c r="M233" s="24"/>
      <c r="O233" s="13"/>
      <c r="P233" s="13"/>
    </row>
    <row r="234">
      <c r="C234" s="24"/>
      <c r="E234" s="13"/>
      <c r="F234" s="13"/>
      <c r="H234" s="24"/>
      <c r="J234" s="13"/>
      <c r="K234" s="13"/>
      <c r="M234" s="24"/>
      <c r="O234" s="13"/>
      <c r="P234" s="13"/>
    </row>
    <row r="235">
      <c r="C235" s="24"/>
      <c r="E235" s="13"/>
      <c r="F235" s="13"/>
      <c r="H235" s="24"/>
      <c r="J235" s="13"/>
      <c r="K235" s="13"/>
      <c r="M235" s="24"/>
      <c r="O235" s="13"/>
      <c r="P235" s="13"/>
    </row>
    <row r="236">
      <c r="C236" s="24"/>
      <c r="E236" s="13"/>
      <c r="F236" s="13"/>
      <c r="H236" s="24"/>
      <c r="J236" s="13"/>
      <c r="K236" s="13"/>
      <c r="M236" s="24"/>
      <c r="O236" s="13"/>
      <c r="P236" s="13"/>
    </row>
    <row r="237">
      <c r="C237" s="24"/>
      <c r="E237" s="13"/>
      <c r="F237" s="13"/>
      <c r="H237" s="24"/>
      <c r="J237" s="13"/>
      <c r="K237" s="13"/>
      <c r="M237" s="24"/>
      <c r="O237" s="13"/>
      <c r="P237" s="13"/>
    </row>
    <row r="238">
      <c r="C238" s="24"/>
      <c r="E238" s="13"/>
      <c r="F238" s="13"/>
      <c r="H238" s="24"/>
      <c r="J238" s="13"/>
      <c r="K238" s="13"/>
      <c r="M238" s="24"/>
      <c r="O238" s="13"/>
      <c r="P238" s="13"/>
    </row>
    <row r="239">
      <c r="C239" s="24"/>
      <c r="E239" s="13"/>
      <c r="F239" s="13"/>
      <c r="H239" s="24"/>
      <c r="J239" s="13"/>
      <c r="K239" s="13"/>
      <c r="M239" s="24"/>
      <c r="O239" s="13"/>
      <c r="P239" s="13"/>
    </row>
    <row r="240">
      <c r="C240" s="24"/>
      <c r="E240" s="13"/>
      <c r="F240" s="13"/>
      <c r="H240" s="24"/>
      <c r="J240" s="13"/>
      <c r="K240" s="13"/>
      <c r="M240" s="24"/>
      <c r="O240" s="13"/>
      <c r="P240" s="13"/>
    </row>
    <row r="241">
      <c r="C241" s="24"/>
      <c r="E241" s="13"/>
      <c r="F241" s="13"/>
      <c r="H241" s="24"/>
      <c r="J241" s="13"/>
      <c r="K241" s="13"/>
      <c r="M241" s="24"/>
      <c r="O241" s="13"/>
      <c r="P241" s="13"/>
    </row>
    <row r="242">
      <c r="C242" s="24"/>
      <c r="E242" s="13"/>
      <c r="F242" s="13"/>
      <c r="H242" s="24"/>
      <c r="J242" s="13"/>
      <c r="K242" s="13"/>
      <c r="M242" s="24"/>
      <c r="O242" s="13"/>
      <c r="P242" s="13"/>
    </row>
    <row r="243">
      <c r="C243" s="24"/>
      <c r="E243" s="13"/>
      <c r="F243" s="13"/>
      <c r="H243" s="24"/>
      <c r="J243" s="13"/>
      <c r="K243" s="13"/>
      <c r="M243" s="24"/>
      <c r="O243" s="13"/>
      <c r="P243" s="13"/>
    </row>
    <row r="244">
      <c r="C244" s="24"/>
      <c r="E244" s="13"/>
      <c r="F244" s="13"/>
      <c r="H244" s="24"/>
      <c r="J244" s="13"/>
      <c r="K244" s="13"/>
      <c r="M244" s="24"/>
      <c r="O244" s="13"/>
      <c r="P244" s="13"/>
    </row>
    <row r="245">
      <c r="C245" s="24"/>
      <c r="E245" s="13"/>
      <c r="F245" s="13"/>
      <c r="H245" s="24"/>
      <c r="J245" s="13"/>
      <c r="K245" s="13"/>
      <c r="M245" s="24"/>
      <c r="O245" s="13"/>
      <c r="P245" s="13"/>
    </row>
    <row r="246">
      <c r="C246" s="24"/>
      <c r="E246" s="13"/>
      <c r="F246" s="13"/>
      <c r="H246" s="24"/>
      <c r="J246" s="13"/>
      <c r="K246" s="13"/>
      <c r="M246" s="24"/>
      <c r="O246" s="13"/>
      <c r="P246" s="13"/>
    </row>
    <row r="247">
      <c r="C247" s="24"/>
      <c r="E247" s="13"/>
      <c r="F247" s="13"/>
      <c r="H247" s="24"/>
      <c r="J247" s="13"/>
      <c r="K247" s="13"/>
      <c r="M247" s="24"/>
      <c r="O247" s="13"/>
      <c r="P247" s="13"/>
    </row>
    <row r="248">
      <c r="C248" s="24"/>
      <c r="E248" s="13"/>
      <c r="F248" s="13"/>
      <c r="H248" s="24"/>
      <c r="J248" s="13"/>
      <c r="K248" s="13"/>
      <c r="M248" s="24"/>
      <c r="O248" s="13"/>
      <c r="P248" s="13"/>
    </row>
    <row r="249">
      <c r="C249" s="24"/>
      <c r="E249" s="13"/>
      <c r="F249" s="13"/>
      <c r="H249" s="24"/>
      <c r="J249" s="13"/>
      <c r="K249" s="13"/>
      <c r="M249" s="24"/>
      <c r="O249" s="13"/>
      <c r="P249" s="13"/>
    </row>
    <row r="250">
      <c r="C250" s="24"/>
      <c r="E250" s="13"/>
      <c r="F250" s="13"/>
      <c r="H250" s="24"/>
      <c r="J250" s="13"/>
      <c r="K250" s="13"/>
      <c r="M250" s="24"/>
      <c r="O250" s="13"/>
      <c r="P250" s="13"/>
    </row>
    <row r="251">
      <c r="C251" s="24"/>
      <c r="E251" s="13"/>
      <c r="F251" s="13"/>
      <c r="H251" s="24"/>
      <c r="J251" s="13"/>
      <c r="K251" s="13"/>
      <c r="M251" s="24"/>
      <c r="O251" s="13"/>
      <c r="P251" s="13"/>
    </row>
    <row r="252">
      <c r="C252" s="24"/>
      <c r="E252" s="13"/>
      <c r="F252" s="13"/>
      <c r="H252" s="24"/>
      <c r="J252" s="13"/>
      <c r="K252" s="13"/>
      <c r="M252" s="24"/>
      <c r="O252" s="13"/>
      <c r="P252" s="13"/>
    </row>
    <row r="253">
      <c r="C253" s="24"/>
      <c r="E253" s="13"/>
      <c r="F253" s="13"/>
      <c r="H253" s="24"/>
      <c r="J253" s="13"/>
      <c r="K253" s="13"/>
      <c r="M253" s="24"/>
      <c r="O253" s="13"/>
      <c r="P253" s="13"/>
    </row>
    <row r="254">
      <c r="C254" s="24"/>
      <c r="E254" s="13"/>
      <c r="F254" s="13"/>
      <c r="H254" s="24"/>
      <c r="J254" s="13"/>
      <c r="K254" s="13"/>
      <c r="M254" s="24"/>
      <c r="O254" s="13"/>
      <c r="P254" s="13"/>
    </row>
    <row r="255">
      <c r="C255" s="24"/>
      <c r="E255" s="13"/>
      <c r="F255" s="13"/>
      <c r="H255" s="24"/>
      <c r="J255" s="13"/>
      <c r="K255" s="13"/>
      <c r="M255" s="24"/>
      <c r="O255" s="13"/>
      <c r="P255" s="13"/>
    </row>
    <row r="256">
      <c r="C256" s="24"/>
      <c r="E256" s="13"/>
      <c r="F256" s="13"/>
      <c r="H256" s="24"/>
      <c r="J256" s="13"/>
      <c r="K256" s="13"/>
      <c r="M256" s="24"/>
      <c r="O256" s="13"/>
      <c r="P256" s="13"/>
    </row>
    <row r="257">
      <c r="C257" s="24"/>
      <c r="E257" s="13"/>
      <c r="F257" s="13"/>
      <c r="H257" s="24"/>
      <c r="J257" s="13"/>
      <c r="K257" s="13"/>
      <c r="M257" s="24"/>
      <c r="O257" s="13"/>
      <c r="P257" s="13"/>
    </row>
    <row r="258">
      <c r="C258" s="24"/>
      <c r="E258" s="13"/>
      <c r="F258" s="13"/>
      <c r="H258" s="24"/>
      <c r="J258" s="13"/>
      <c r="K258" s="13"/>
      <c r="M258" s="24"/>
      <c r="O258" s="13"/>
      <c r="P258" s="13"/>
    </row>
    <row r="259">
      <c r="C259" s="24"/>
      <c r="E259" s="13"/>
      <c r="F259" s="13"/>
      <c r="H259" s="24"/>
      <c r="J259" s="13"/>
      <c r="K259" s="13"/>
      <c r="M259" s="24"/>
      <c r="O259" s="13"/>
      <c r="P259" s="13"/>
    </row>
    <row r="260">
      <c r="C260" s="24"/>
      <c r="E260" s="13"/>
      <c r="F260" s="13"/>
      <c r="H260" s="24"/>
      <c r="J260" s="13"/>
      <c r="K260" s="13"/>
      <c r="M260" s="24"/>
      <c r="O260" s="13"/>
      <c r="P260" s="13"/>
    </row>
    <row r="261">
      <c r="C261" s="24"/>
      <c r="E261" s="13"/>
      <c r="F261" s="13"/>
      <c r="H261" s="24"/>
      <c r="J261" s="13"/>
      <c r="K261" s="13"/>
      <c r="M261" s="24"/>
      <c r="O261" s="13"/>
      <c r="P261" s="13"/>
    </row>
    <row r="262">
      <c r="C262" s="24"/>
      <c r="E262" s="13"/>
      <c r="F262" s="13"/>
      <c r="H262" s="24"/>
      <c r="J262" s="13"/>
      <c r="K262" s="13"/>
      <c r="M262" s="24"/>
      <c r="O262" s="13"/>
      <c r="P262" s="13"/>
    </row>
    <row r="263">
      <c r="C263" s="24"/>
      <c r="E263" s="13"/>
      <c r="F263" s="13"/>
      <c r="H263" s="24"/>
      <c r="J263" s="13"/>
      <c r="K263" s="13"/>
      <c r="M263" s="24"/>
      <c r="O263" s="13"/>
      <c r="P263" s="13"/>
    </row>
    <row r="264">
      <c r="C264" s="24"/>
      <c r="E264" s="13"/>
      <c r="F264" s="13"/>
      <c r="H264" s="24"/>
      <c r="J264" s="13"/>
      <c r="K264" s="13"/>
      <c r="M264" s="24"/>
      <c r="O264" s="13"/>
      <c r="P264" s="13"/>
    </row>
    <row r="265">
      <c r="C265" s="24"/>
      <c r="E265" s="13"/>
      <c r="F265" s="13"/>
      <c r="H265" s="24"/>
      <c r="J265" s="13"/>
      <c r="K265" s="13"/>
      <c r="M265" s="24"/>
      <c r="O265" s="13"/>
      <c r="P265" s="13"/>
    </row>
    <row r="266">
      <c r="C266" s="24"/>
      <c r="E266" s="13"/>
      <c r="F266" s="13"/>
      <c r="H266" s="24"/>
      <c r="J266" s="13"/>
      <c r="K266" s="13"/>
      <c r="M266" s="24"/>
      <c r="O266" s="13"/>
      <c r="P266" s="13"/>
    </row>
    <row r="267">
      <c r="C267" s="24"/>
      <c r="E267" s="13"/>
      <c r="F267" s="13"/>
      <c r="H267" s="24"/>
      <c r="J267" s="13"/>
      <c r="K267" s="13"/>
      <c r="M267" s="24"/>
      <c r="O267" s="13"/>
      <c r="P267" s="13"/>
    </row>
    <row r="268">
      <c r="C268" s="24"/>
      <c r="E268" s="13"/>
      <c r="F268" s="13"/>
      <c r="H268" s="24"/>
      <c r="J268" s="13"/>
      <c r="K268" s="13"/>
      <c r="M268" s="24"/>
      <c r="O268" s="13"/>
      <c r="P268" s="13"/>
    </row>
    <row r="269">
      <c r="C269" s="24"/>
      <c r="E269" s="13"/>
      <c r="F269" s="13"/>
      <c r="H269" s="24"/>
      <c r="J269" s="13"/>
      <c r="K269" s="13"/>
      <c r="M269" s="24"/>
      <c r="O269" s="13"/>
      <c r="P269" s="13"/>
    </row>
    <row r="270">
      <c r="C270" s="24"/>
      <c r="E270" s="13"/>
      <c r="F270" s="13"/>
      <c r="H270" s="24"/>
      <c r="J270" s="13"/>
      <c r="K270" s="13"/>
      <c r="M270" s="24"/>
      <c r="O270" s="13"/>
      <c r="P270" s="13"/>
    </row>
    <row r="271">
      <c r="C271" s="24"/>
      <c r="E271" s="13"/>
      <c r="F271" s="13"/>
      <c r="H271" s="24"/>
      <c r="J271" s="13"/>
      <c r="K271" s="13"/>
      <c r="M271" s="24"/>
      <c r="O271" s="13"/>
      <c r="P271" s="13"/>
    </row>
    <row r="272">
      <c r="C272" s="24"/>
      <c r="E272" s="13"/>
      <c r="F272" s="13"/>
      <c r="H272" s="24"/>
      <c r="J272" s="13"/>
      <c r="K272" s="13"/>
      <c r="M272" s="24"/>
      <c r="O272" s="13"/>
      <c r="P272" s="13"/>
    </row>
    <row r="273">
      <c r="C273" s="24"/>
      <c r="E273" s="13"/>
      <c r="F273" s="13"/>
      <c r="H273" s="24"/>
      <c r="J273" s="13"/>
      <c r="K273" s="13"/>
      <c r="M273" s="24"/>
      <c r="O273" s="13"/>
      <c r="P273" s="13"/>
    </row>
    <row r="274">
      <c r="C274" s="24"/>
      <c r="E274" s="13"/>
      <c r="F274" s="13"/>
      <c r="H274" s="24"/>
      <c r="J274" s="13"/>
      <c r="K274" s="13"/>
      <c r="M274" s="24"/>
      <c r="O274" s="13"/>
      <c r="P274" s="13"/>
    </row>
    <row r="275">
      <c r="C275" s="24"/>
      <c r="E275" s="13"/>
      <c r="F275" s="13"/>
      <c r="H275" s="24"/>
      <c r="J275" s="13"/>
      <c r="K275" s="13"/>
      <c r="M275" s="24"/>
      <c r="O275" s="13"/>
      <c r="P275" s="13"/>
    </row>
    <row r="276">
      <c r="C276" s="24"/>
      <c r="E276" s="13"/>
      <c r="F276" s="13"/>
      <c r="H276" s="24"/>
      <c r="J276" s="13"/>
      <c r="K276" s="13"/>
      <c r="M276" s="24"/>
      <c r="O276" s="13"/>
      <c r="P276" s="13"/>
    </row>
    <row r="277">
      <c r="C277" s="24"/>
      <c r="E277" s="13"/>
      <c r="F277" s="13"/>
      <c r="H277" s="24"/>
      <c r="J277" s="13"/>
      <c r="K277" s="13"/>
      <c r="M277" s="24"/>
      <c r="O277" s="13"/>
      <c r="P277" s="13"/>
    </row>
    <row r="278">
      <c r="C278" s="24"/>
      <c r="E278" s="13"/>
      <c r="F278" s="13"/>
      <c r="H278" s="24"/>
      <c r="J278" s="13"/>
      <c r="K278" s="13"/>
      <c r="M278" s="24"/>
      <c r="O278" s="13"/>
      <c r="P278" s="13"/>
    </row>
    <row r="279">
      <c r="C279" s="24"/>
      <c r="E279" s="13"/>
      <c r="F279" s="13"/>
      <c r="H279" s="24"/>
      <c r="J279" s="13"/>
      <c r="K279" s="13"/>
      <c r="M279" s="24"/>
      <c r="O279" s="13"/>
      <c r="P279" s="13"/>
    </row>
    <row r="280">
      <c r="C280" s="24"/>
      <c r="E280" s="13"/>
      <c r="F280" s="13"/>
      <c r="H280" s="24"/>
      <c r="J280" s="13"/>
      <c r="K280" s="13"/>
      <c r="M280" s="24"/>
      <c r="O280" s="13"/>
      <c r="P280" s="13"/>
    </row>
    <row r="281">
      <c r="C281" s="24"/>
      <c r="E281" s="13"/>
      <c r="F281" s="13"/>
      <c r="H281" s="24"/>
      <c r="J281" s="13"/>
      <c r="K281" s="13"/>
      <c r="M281" s="24"/>
      <c r="O281" s="13"/>
      <c r="P281" s="13"/>
    </row>
    <row r="282">
      <c r="C282" s="24"/>
      <c r="E282" s="13"/>
      <c r="F282" s="13"/>
      <c r="H282" s="24"/>
      <c r="J282" s="13"/>
      <c r="K282" s="13"/>
      <c r="M282" s="24"/>
      <c r="O282" s="13"/>
      <c r="P282" s="13"/>
    </row>
    <row r="283">
      <c r="C283" s="24"/>
      <c r="E283" s="13"/>
      <c r="F283" s="13"/>
      <c r="H283" s="24"/>
      <c r="J283" s="13"/>
      <c r="K283" s="13"/>
      <c r="M283" s="24"/>
      <c r="O283" s="13"/>
      <c r="P283" s="13"/>
    </row>
    <row r="284">
      <c r="C284" s="24"/>
      <c r="E284" s="13"/>
      <c r="F284" s="13"/>
      <c r="H284" s="24"/>
      <c r="J284" s="13"/>
      <c r="K284" s="13"/>
      <c r="M284" s="24"/>
      <c r="O284" s="13"/>
      <c r="P284" s="13"/>
    </row>
    <row r="285">
      <c r="C285" s="24"/>
      <c r="E285" s="13"/>
      <c r="F285" s="13"/>
      <c r="H285" s="24"/>
      <c r="J285" s="13"/>
      <c r="K285" s="13"/>
      <c r="M285" s="24"/>
      <c r="O285" s="13"/>
      <c r="P285" s="13"/>
    </row>
    <row r="286">
      <c r="C286" s="24"/>
      <c r="E286" s="13"/>
      <c r="F286" s="13"/>
      <c r="H286" s="24"/>
      <c r="J286" s="13"/>
      <c r="K286" s="13"/>
      <c r="M286" s="24"/>
      <c r="O286" s="13"/>
      <c r="P286" s="13"/>
    </row>
    <row r="287">
      <c r="C287" s="24"/>
      <c r="E287" s="13"/>
      <c r="F287" s="13"/>
      <c r="H287" s="24"/>
      <c r="J287" s="13"/>
      <c r="K287" s="13"/>
      <c r="M287" s="24"/>
      <c r="O287" s="13"/>
      <c r="P287" s="13"/>
    </row>
    <row r="288">
      <c r="C288" s="24"/>
      <c r="E288" s="13"/>
      <c r="F288" s="13"/>
      <c r="H288" s="24"/>
      <c r="J288" s="13"/>
      <c r="K288" s="13"/>
      <c r="M288" s="24"/>
      <c r="O288" s="13"/>
      <c r="P288" s="13"/>
    </row>
    <row r="289">
      <c r="C289" s="24"/>
      <c r="E289" s="13"/>
      <c r="F289" s="13"/>
      <c r="H289" s="24"/>
      <c r="J289" s="13"/>
      <c r="K289" s="13"/>
      <c r="M289" s="24"/>
      <c r="O289" s="13"/>
      <c r="P289" s="13"/>
    </row>
    <row r="290">
      <c r="C290" s="24"/>
      <c r="E290" s="13"/>
      <c r="F290" s="13"/>
      <c r="H290" s="24"/>
      <c r="J290" s="13"/>
      <c r="K290" s="13"/>
      <c r="M290" s="24"/>
      <c r="O290" s="13"/>
      <c r="P290" s="13"/>
    </row>
    <row r="291">
      <c r="C291" s="24"/>
      <c r="E291" s="13"/>
      <c r="F291" s="13"/>
      <c r="H291" s="24"/>
      <c r="J291" s="13"/>
      <c r="K291" s="13"/>
      <c r="M291" s="24"/>
      <c r="O291" s="13"/>
      <c r="P291" s="13"/>
    </row>
    <row r="292">
      <c r="C292" s="24"/>
      <c r="E292" s="13"/>
      <c r="F292" s="13"/>
      <c r="H292" s="24"/>
      <c r="J292" s="13"/>
      <c r="K292" s="13"/>
      <c r="M292" s="24"/>
      <c r="O292" s="13"/>
      <c r="P292" s="13"/>
    </row>
    <row r="293">
      <c r="C293" s="24"/>
      <c r="E293" s="13"/>
      <c r="F293" s="13"/>
      <c r="H293" s="24"/>
      <c r="J293" s="13"/>
      <c r="K293" s="13"/>
      <c r="M293" s="24"/>
      <c r="O293" s="13"/>
      <c r="P293" s="13"/>
    </row>
    <row r="294">
      <c r="C294" s="24"/>
      <c r="E294" s="13"/>
      <c r="F294" s="13"/>
      <c r="H294" s="24"/>
      <c r="J294" s="13"/>
      <c r="K294" s="13"/>
      <c r="M294" s="24"/>
      <c r="O294" s="13"/>
      <c r="P294" s="13"/>
    </row>
    <row r="295">
      <c r="C295" s="24"/>
      <c r="E295" s="13"/>
      <c r="F295" s="13"/>
      <c r="H295" s="24"/>
      <c r="J295" s="13"/>
      <c r="K295" s="13"/>
      <c r="M295" s="24"/>
      <c r="O295" s="13"/>
      <c r="P295" s="13"/>
    </row>
    <row r="296">
      <c r="C296" s="24"/>
      <c r="E296" s="13"/>
      <c r="F296" s="13"/>
      <c r="H296" s="24"/>
      <c r="J296" s="13"/>
      <c r="K296" s="13"/>
      <c r="M296" s="24"/>
      <c r="O296" s="13"/>
      <c r="P296" s="13"/>
    </row>
    <row r="297">
      <c r="C297" s="24"/>
      <c r="E297" s="13"/>
      <c r="F297" s="13"/>
      <c r="H297" s="24"/>
      <c r="J297" s="13"/>
      <c r="K297" s="13"/>
      <c r="M297" s="24"/>
      <c r="O297" s="13"/>
      <c r="P297" s="13"/>
    </row>
    <row r="298">
      <c r="C298" s="24"/>
      <c r="E298" s="13"/>
      <c r="F298" s="13"/>
      <c r="H298" s="24"/>
      <c r="J298" s="13"/>
      <c r="K298" s="13"/>
      <c r="M298" s="24"/>
      <c r="O298" s="13"/>
      <c r="P298" s="13"/>
    </row>
    <row r="299">
      <c r="C299" s="24"/>
      <c r="E299" s="13"/>
      <c r="F299" s="13"/>
      <c r="H299" s="24"/>
      <c r="J299" s="13"/>
      <c r="K299" s="13"/>
      <c r="M299" s="24"/>
      <c r="O299" s="13"/>
      <c r="P299" s="13"/>
    </row>
    <row r="300">
      <c r="C300" s="24"/>
      <c r="E300" s="13"/>
      <c r="F300" s="13"/>
      <c r="H300" s="24"/>
      <c r="J300" s="13"/>
      <c r="K300" s="13"/>
      <c r="M300" s="24"/>
      <c r="O300" s="13"/>
      <c r="P300" s="13"/>
    </row>
    <row r="301">
      <c r="C301" s="24"/>
      <c r="E301" s="13"/>
      <c r="F301" s="13"/>
      <c r="H301" s="24"/>
      <c r="J301" s="13"/>
      <c r="K301" s="13"/>
      <c r="M301" s="24"/>
      <c r="O301" s="13"/>
      <c r="P301" s="13"/>
    </row>
    <row r="302">
      <c r="C302" s="24"/>
      <c r="E302" s="13"/>
      <c r="F302" s="13"/>
      <c r="H302" s="24"/>
      <c r="J302" s="13"/>
      <c r="K302" s="13"/>
      <c r="M302" s="24"/>
      <c r="O302" s="13"/>
      <c r="P302" s="13"/>
    </row>
    <row r="303">
      <c r="C303" s="24"/>
      <c r="E303" s="13"/>
      <c r="F303" s="13"/>
      <c r="H303" s="24"/>
      <c r="J303" s="13"/>
      <c r="K303" s="13"/>
      <c r="M303" s="24"/>
      <c r="O303" s="13"/>
      <c r="P303" s="13"/>
    </row>
    <row r="304">
      <c r="C304" s="24"/>
      <c r="E304" s="13"/>
      <c r="F304" s="13"/>
      <c r="H304" s="24"/>
      <c r="J304" s="13"/>
      <c r="K304" s="13"/>
      <c r="M304" s="24"/>
      <c r="O304" s="13"/>
      <c r="P304" s="13"/>
    </row>
    <row r="305">
      <c r="C305" s="24"/>
      <c r="E305" s="13"/>
      <c r="F305" s="13"/>
      <c r="H305" s="24"/>
      <c r="J305" s="13"/>
      <c r="K305" s="13"/>
      <c r="M305" s="24"/>
      <c r="O305" s="13"/>
      <c r="P305" s="13"/>
    </row>
    <row r="306">
      <c r="C306" s="24"/>
      <c r="E306" s="13"/>
      <c r="F306" s="13"/>
      <c r="H306" s="24"/>
      <c r="J306" s="13"/>
      <c r="K306" s="13"/>
      <c r="M306" s="24"/>
      <c r="O306" s="13"/>
      <c r="P306" s="13"/>
    </row>
    <row r="307">
      <c r="C307" s="24"/>
      <c r="E307" s="13"/>
      <c r="F307" s="13"/>
      <c r="H307" s="24"/>
      <c r="J307" s="13"/>
      <c r="K307" s="13"/>
      <c r="M307" s="24"/>
      <c r="O307" s="13"/>
      <c r="P307" s="13"/>
    </row>
    <row r="308">
      <c r="C308" s="24"/>
      <c r="E308" s="13"/>
      <c r="F308" s="13"/>
      <c r="H308" s="24"/>
      <c r="J308" s="13"/>
      <c r="K308" s="13"/>
      <c r="M308" s="24"/>
      <c r="O308" s="13"/>
      <c r="P308" s="13"/>
    </row>
    <row r="309">
      <c r="C309" s="24"/>
      <c r="E309" s="13"/>
      <c r="F309" s="13"/>
      <c r="H309" s="24"/>
      <c r="J309" s="13"/>
      <c r="K309" s="13"/>
      <c r="M309" s="24"/>
      <c r="O309" s="13"/>
      <c r="P309" s="13"/>
    </row>
    <row r="310">
      <c r="C310" s="24"/>
      <c r="E310" s="13"/>
      <c r="F310" s="13"/>
      <c r="H310" s="24"/>
      <c r="J310" s="13"/>
      <c r="K310" s="13"/>
      <c r="M310" s="24"/>
      <c r="O310" s="13"/>
      <c r="P310" s="13"/>
    </row>
    <row r="311">
      <c r="C311" s="24"/>
      <c r="E311" s="13"/>
      <c r="F311" s="13"/>
      <c r="H311" s="24"/>
      <c r="J311" s="13"/>
      <c r="K311" s="13"/>
      <c r="M311" s="24"/>
      <c r="O311" s="13"/>
      <c r="P311" s="13"/>
    </row>
    <row r="312">
      <c r="C312" s="24"/>
      <c r="E312" s="13"/>
      <c r="F312" s="13"/>
      <c r="H312" s="24"/>
      <c r="J312" s="13"/>
      <c r="K312" s="13"/>
      <c r="M312" s="24"/>
      <c r="O312" s="13"/>
      <c r="P312" s="13"/>
    </row>
    <row r="313">
      <c r="C313" s="24"/>
      <c r="E313" s="13"/>
      <c r="F313" s="13"/>
      <c r="H313" s="24"/>
      <c r="J313" s="13"/>
      <c r="K313" s="13"/>
      <c r="M313" s="24"/>
      <c r="O313" s="13"/>
      <c r="P313" s="13"/>
    </row>
    <row r="314">
      <c r="C314" s="24"/>
      <c r="E314" s="13"/>
      <c r="F314" s="13"/>
      <c r="H314" s="24"/>
      <c r="J314" s="13"/>
      <c r="K314" s="13"/>
      <c r="M314" s="24"/>
      <c r="O314" s="13"/>
      <c r="P314" s="13"/>
    </row>
    <row r="315">
      <c r="C315" s="24"/>
      <c r="E315" s="13"/>
      <c r="F315" s="13"/>
      <c r="H315" s="24"/>
      <c r="J315" s="13"/>
      <c r="K315" s="13"/>
      <c r="M315" s="24"/>
      <c r="O315" s="13"/>
      <c r="P315" s="13"/>
    </row>
    <row r="316">
      <c r="C316" s="24"/>
      <c r="E316" s="13"/>
      <c r="F316" s="13"/>
      <c r="H316" s="24"/>
      <c r="J316" s="13"/>
      <c r="K316" s="13"/>
      <c r="M316" s="24"/>
      <c r="O316" s="13"/>
      <c r="P316" s="13"/>
    </row>
    <row r="317">
      <c r="C317" s="24"/>
      <c r="E317" s="13"/>
      <c r="F317" s="13"/>
      <c r="H317" s="24"/>
      <c r="J317" s="13"/>
      <c r="K317" s="13"/>
      <c r="M317" s="24"/>
      <c r="O317" s="13"/>
      <c r="P317" s="13"/>
    </row>
    <row r="318">
      <c r="C318" s="24"/>
      <c r="E318" s="13"/>
      <c r="F318" s="13"/>
      <c r="H318" s="24"/>
      <c r="J318" s="13"/>
      <c r="K318" s="13"/>
      <c r="M318" s="24"/>
      <c r="O318" s="13"/>
      <c r="P318" s="13"/>
    </row>
    <row r="319">
      <c r="C319" s="24"/>
      <c r="E319" s="13"/>
      <c r="F319" s="13"/>
      <c r="H319" s="24"/>
      <c r="J319" s="13"/>
      <c r="K319" s="13"/>
      <c r="M319" s="24"/>
      <c r="O319" s="13"/>
      <c r="P319" s="13"/>
    </row>
    <row r="320">
      <c r="C320" s="24"/>
      <c r="E320" s="13"/>
      <c r="F320" s="13"/>
      <c r="H320" s="24"/>
      <c r="J320" s="13"/>
      <c r="K320" s="13"/>
      <c r="M320" s="24"/>
      <c r="O320" s="13"/>
      <c r="P320" s="13"/>
    </row>
    <row r="321">
      <c r="C321" s="24"/>
      <c r="E321" s="13"/>
      <c r="F321" s="13"/>
      <c r="H321" s="24"/>
      <c r="J321" s="13"/>
      <c r="K321" s="13"/>
      <c r="M321" s="24"/>
      <c r="O321" s="13"/>
      <c r="P321" s="13"/>
    </row>
    <row r="322">
      <c r="C322" s="24"/>
      <c r="E322" s="13"/>
      <c r="F322" s="13"/>
      <c r="H322" s="24"/>
      <c r="J322" s="13"/>
      <c r="K322" s="13"/>
      <c r="M322" s="24"/>
      <c r="O322" s="13"/>
      <c r="P322" s="13"/>
    </row>
    <row r="323">
      <c r="C323" s="24"/>
      <c r="E323" s="13"/>
      <c r="F323" s="13"/>
      <c r="H323" s="24"/>
      <c r="J323" s="13"/>
      <c r="K323" s="13"/>
      <c r="M323" s="24"/>
      <c r="O323" s="13"/>
      <c r="P323" s="13"/>
    </row>
    <row r="324">
      <c r="C324" s="24"/>
      <c r="E324" s="13"/>
      <c r="F324" s="13"/>
      <c r="H324" s="24"/>
      <c r="J324" s="13"/>
      <c r="K324" s="13"/>
      <c r="M324" s="24"/>
      <c r="O324" s="13"/>
      <c r="P324" s="13"/>
    </row>
    <row r="325">
      <c r="C325" s="24"/>
      <c r="E325" s="13"/>
      <c r="F325" s="13"/>
      <c r="H325" s="24"/>
      <c r="J325" s="13"/>
      <c r="K325" s="13"/>
      <c r="M325" s="24"/>
      <c r="O325" s="13"/>
      <c r="P325" s="13"/>
    </row>
    <row r="326">
      <c r="C326" s="24"/>
      <c r="E326" s="13"/>
      <c r="F326" s="13"/>
      <c r="H326" s="24"/>
      <c r="J326" s="13"/>
      <c r="K326" s="13"/>
      <c r="M326" s="24"/>
      <c r="O326" s="13"/>
      <c r="P326" s="13"/>
    </row>
    <row r="327">
      <c r="C327" s="24"/>
      <c r="E327" s="13"/>
      <c r="F327" s="13"/>
      <c r="H327" s="24"/>
      <c r="J327" s="13"/>
      <c r="K327" s="13"/>
      <c r="M327" s="24"/>
      <c r="O327" s="13"/>
      <c r="P327" s="13"/>
    </row>
    <row r="328">
      <c r="C328" s="24"/>
      <c r="E328" s="13"/>
      <c r="F328" s="13"/>
      <c r="H328" s="24"/>
      <c r="J328" s="13"/>
      <c r="K328" s="13"/>
      <c r="M328" s="24"/>
      <c r="O328" s="13"/>
      <c r="P328" s="13"/>
    </row>
    <row r="329">
      <c r="C329" s="24"/>
      <c r="E329" s="13"/>
      <c r="F329" s="13"/>
      <c r="H329" s="24"/>
      <c r="J329" s="13"/>
      <c r="K329" s="13"/>
      <c r="M329" s="24"/>
      <c r="O329" s="13"/>
      <c r="P329" s="13"/>
    </row>
    <row r="330">
      <c r="C330" s="24"/>
      <c r="E330" s="13"/>
      <c r="F330" s="13"/>
      <c r="H330" s="24"/>
      <c r="J330" s="13"/>
      <c r="K330" s="13"/>
      <c r="M330" s="24"/>
      <c r="O330" s="13"/>
      <c r="P330" s="13"/>
    </row>
    <row r="331">
      <c r="C331" s="24"/>
      <c r="E331" s="13"/>
      <c r="F331" s="13"/>
      <c r="H331" s="24"/>
      <c r="J331" s="13"/>
      <c r="K331" s="13"/>
      <c r="M331" s="24"/>
      <c r="O331" s="13"/>
      <c r="P331" s="13"/>
    </row>
    <row r="332">
      <c r="C332" s="24"/>
      <c r="E332" s="13"/>
      <c r="F332" s="13"/>
      <c r="H332" s="24"/>
      <c r="J332" s="13"/>
      <c r="K332" s="13"/>
      <c r="M332" s="24"/>
      <c r="O332" s="13"/>
      <c r="P332" s="13"/>
    </row>
    <row r="333">
      <c r="C333" s="24"/>
      <c r="E333" s="13"/>
      <c r="F333" s="13"/>
      <c r="H333" s="24"/>
      <c r="J333" s="13"/>
      <c r="K333" s="13"/>
      <c r="M333" s="24"/>
      <c r="O333" s="13"/>
      <c r="P333" s="13"/>
    </row>
    <row r="334">
      <c r="C334" s="24"/>
      <c r="E334" s="13"/>
      <c r="F334" s="13"/>
      <c r="H334" s="24"/>
      <c r="J334" s="13"/>
      <c r="K334" s="13"/>
      <c r="M334" s="24"/>
      <c r="O334" s="13"/>
      <c r="P334" s="13"/>
    </row>
    <row r="335">
      <c r="C335" s="24"/>
      <c r="E335" s="13"/>
      <c r="F335" s="13"/>
      <c r="H335" s="24"/>
      <c r="J335" s="13"/>
      <c r="K335" s="13"/>
      <c r="M335" s="24"/>
      <c r="O335" s="13"/>
      <c r="P335" s="13"/>
    </row>
    <row r="336">
      <c r="C336" s="24"/>
      <c r="E336" s="13"/>
      <c r="F336" s="13"/>
      <c r="H336" s="24"/>
      <c r="J336" s="13"/>
      <c r="K336" s="13"/>
      <c r="M336" s="24"/>
      <c r="O336" s="13"/>
      <c r="P336" s="13"/>
    </row>
    <row r="337">
      <c r="C337" s="24"/>
      <c r="E337" s="13"/>
      <c r="F337" s="13"/>
      <c r="H337" s="24"/>
      <c r="J337" s="13"/>
      <c r="K337" s="13"/>
      <c r="M337" s="24"/>
      <c r="O337" s="13"/>
      <c r="P337" s="13"/>
    </row>
    <row r="338">
      <c r="C338" s="24"/>
      <c r="E338" s="13"/>
      <c r="F338" s="13"/>
      <c r="H338" s="24"/>
      <c r="J338" s="13"/>
      <c r="K338" s="13"/>
      <c r="M338" s="24"/>
      <c r="O338" s="13"/>
      <c r="P338" s="13"/>
    </row>
    <row r="339">
      <c r="C339" s="24"/>
      <c r="E339" s="13"/>
      <c r="F339" s="13"/>
      <c r="H339" s="24"/>
      <c r="J339" s="13"/>
      <c r="K339" s="13"/>
      <c r="M339" s="24"/>
      <c r="O339" s="13"/>
      <c r="P339" s="13"/>
    </row>
    <row r="340">
      <c r="C340" s="24"/>
      <c r="E340" s="13"/>
      <c r="F340" s="13"/>
      <c r="H340" s="24"/>
      <c r="J340" s="13"/>
      <c r="K340" s="13"/>
      <c r="M340" s="24"/>
      <c r="O340" s="13"/>
      <c r="P340" s="13"/>
    </row>
    <row r="341">
      <c r="C341" s="24"/>
      <c r="E341" s="13"/>
      <c r="F341" s="13"/>
      <c r="H341" s="24"/>
      <c r="J341" s="13"/>
      <c r="K341" s="13"/>
      <c r="M341" s="24"/>
      <c r="O341" s="13"/>
      <c r="P341" s="13"/>
    </row>
    <row r="342">
      <c r="C342" s="24"/>
      <c r="E342" s="13"/>
      <c r="F342" s="13"/>
      <c r="H342" s="24"/>
      <c r="J342" s="13"/>
      <c r="K342" s="13"/>
      <c r="M342" s="24"/>
      <c r="O342" s="13"/>
      <c r="P342" s="13"/>
    </row>
    <row r="343">
      <c r="C343" s="24"/>
      <c r="E343" s="13"/>
      <c r="F343" s="13"/>
      <c r="H343" s="24"/>
      <c r="J343" s="13"/>
      <c r="K343" s="13"/>
      <c r="M343" s="24"/>
      <c r="O343" s="13"/>
      <c r="P343" s="13"/>
    </row>
    <row r="344">
      <c r="C344" s="24"/>
      <c r="E344" s="13"/>
      <c r="F344" s="13"/>
      <c r="H344" s="24"/>
      <c r="J344" s="13"/>
      <c r="K344" s="13"/>
      <c r="M344" s="24"/>
      <c r="O344" s="13"/>
      <c r="P344" s="13"/>
    </row>
    <row r="345">
      <c r="C345" s="24"/>
      <c r="E345" s="13"/>
      <c r="F345" s="13"/>
      <c r="H345" s="24"/>
      <c r="J345" s="13"/>
      <c r="K345" s="13"/>
      <c r="M345" s="24"/>
      <c r="O345" s="13"/>
      <c r="P345" s="13"/>
    </row>
    <row r="346">
      <c r="C346" s="24"/>
      <c r="E346" s="13"/>
      <c r="F346" s="13"/>
      <c r="H346" s="24"/>
      <c r="J346" s="13"/>
      <c r="K346" s="13"/>
      <c r="M346" s="24"/>
      <c r="O346" s="13"/>
      <c r="P346" s="13"/>
    </row>
    <row r="347">
      <c r="C347" s="24"/>
      <c r="E347" s="13"/>
      <c r="F347" s="13"/>
      <c r="H347" s="24"/>
      <c r="J347" s="13"/>
      <c r="K347" s="13"/>
      <c r="M347" s="24"/>
      <c r="O347" s="13"/>
      <c r="P347" s="13"/>
    </row>
    <row r="348">
      <c r="C348" s="24"/>
      <c r="E348" s="13"/>
      <c r="F348" s="13"/>
      <c r="H348" s="24"/>
      <c r="J348" s="13"/>
      <c r="K348" s="13"/>
      <c r="M348" s="24"/>
      <c r="O348" s="13"/>
      <c r="P348" s="13"/>
    </row>
    <row r="349">
      <c r="C349" s="24"/>
      <c r="E349" s="13"/>
      <c r="F349" s="13"/>
      <c r="H349" s="24"/>
      <c r="J349" s="13"/>
      <c r="K349" s="13"/>
      <c r="M349" s="24"/>
      <c r="O349" s="13"/>
      <c r="P349" s="13"/>
    </row>
    <row r="350">
      <c r="C350" s="24"/>
      <c r="E350" s="13"/>
      <c r="F350" s="13"/>
      <c r="H350" s="24"/>
      <c r="J350" s="13"/>
      <c r="K350" s="13"/>
      <c r="M350" s="24"/>
      <c r="O350" s="13"/>
      <c r="P350" s="13"/>
    </row>
    <row r="351">
      <c r="C351" s="24"/>
      <c r="E351" s="13"/>
      <c r="F351" s="13"/>
      <c r="H351" s="24"/>
      <c r="J351" s="13"/>
      <c r="K351" s="13"/>
      <c r="M351" s="24"/>
      <c r="O351" s="13"/>
      <c r="P351" s="13"/>
    </row>
    <row r="352">
      <c r="C352" s="24"/>
      <c r="E352" s="13"/>
      <c r="F352" s="13"/>
      <c r="H352" s="24"/>
      <c r="J352" s="13"/>
      <c r="K352" s="13"/>
      <c r="M352" s="24"/>
      <c r="O352" s="13"/>
      <c r="P352" s="13"/>
    </row>
    <row r="353">
      <c r="C353" s="24"/>
      <c r="E353" s="13"/>
      <c r="F353" s="13"/>
      <c r="H353" s="24"/>
      <c r="J353" s="13"/>
      <c r="K353" s="13"/>
      <c r="M353" s="24"/>
      <c r="O353" s="13"/>
      <c r="P353" s="13"/>
    </row>
    <row r="354">
      <c r="C354" s="24"/>
      <c r="E354" s="13"/>
      <c r="F354" s="13"/>
      <c r="H354" s="24"/>
      <c r="J354" s="13"/>
      <c r="K354" s="13"/>
      <c r="M354" s="24"/>
      <c r="O354" s="13"/>
      <c r="P354" s="13"/>
    </row>
    <row r="355">
      <c r="C355" s="24"/>
      <c r="E355" s="13"/>
      <c r="F355" s="13"/>
      <c r="H355" s="24"/>
      <c r="J355" s="13"/>
      <c r="K355" s="13"/>
      <c r="M355" s="24"/>
      <c r="O355" s="13"/>
      <c r="P355" s="13"/>
    </row>
    <row r="356">
      <c r="C356" s="24"/>
      <c r="E356" s="13"/>
      <c r="F356" s="13"/>
      <c r="H356" s="24"/>
      <c r="J356" s="13"/>
      <c r="K356" s="13"/>
      <c r="M356" s="24"/>
      <c r="O356" s="13"/>
      <c r="P356" s="13"/>
    </row>
    <row r="357">
      <c r="C357" s="24"/>
      <c r="E357" s="13"/>
      <c r="F357" s="13"/>
      <c r="H357" s="24"/>
      <c r="J357" s="13"/>
      <c r="K357" s="13"/>
      <c r="M357" s="24"/>
      <c r="O357" s="13"/>
      <c r="P357" s="13"/>
    </row>
    <row r="358">
      <c r="C358" s="24"/>
      <c r="E358" s="13"/>
      <c r="F358" s="13"/>
      <c r="H358" s="24"/>
      <c r="J358" s="13"/>
      <c r="K358" s="13"/>
      <c r="M358" s="24"/>
      <c r="O358" s="13"/>
      <c r="P358" s="13"/>
    </row>
    <row r="359">
      <c r="C359" s="24"/>
      <c r="E359" s="13"/>
      <c r="F359" s="13"/>
      <c r="H359" s="24"/>
      <c r="J359" s="13"/>
      <c r="K359" s="13"/>
      <c r="M359" s="24"/>
      <c r="O359" s="13"/>
      <c r="P359" s="13"/>
    </row>
    <row r="360">
      <c r="C360" s="24"/>
      <c r="E360" s="13"/>
      <c r="F360" s="13"/>
      <c r="H360" s="24"/>
      <c r="J360" s="13"/>
      <c r="K360" s="13"/>
      <c r="M360" s="24"/>
      <c r="O360" s="13"/>
      <c r="P360" s="13"/>
    </row>
    <row r="361">
      <c r="C361" s="24"/>
      <c r="E361" s="13"/>
      <c r="F361" s="13"/>
      <c r="H361" s="24"/>
      <c r="J361" s="13"/>
      <c r="K361" s="13"/>
      <c r="M361" s="24"/>
      <c r="O361" s="13"/>
      <c r="P361" s="13"/>
    </row>
    <row r="362">
      <c r="C362" s="24"/>
      <c r="E362" s="13"/>
      <c r="F362" s="13"/>
      <c r="H362" s="24"/>
      <c r="J362" s="13"/>
      <c r="K362" s="13"/>
      <c r="M362" s="24"/>
      <c r="O362" s="13"/>
      <c r="P362" s="13"/>
    </row>
    <row r="363">
      <c r="C363" s="24"/>
      <c r="E363" s="13"/>
      <c r="F363" s="13"/>
      <c r="H363" s="24"/>
      <c r="J363" s="13"/>
      <c r="K363" s="13"/>
      <c r="M363" s="24"/>
      <c r="O363" s="13"/>
      <c r="P363" s="13"/>
    </row>
    <row r="364">
      <c r="C364" s="24"/>
      <c r="E364" s="13"/>
      <c r="F364" s="13"/>
      <c r="H364" s="24"/>
      <c r="J364" s="13"/>
      <c r="K364" s="13"/>
      <c r="M364" s="24"/>
      <c r="O364" s="13"/>
      <c r="P364" s="13"/>
    </row>
    <row r="365">
      <c r="C365" s="24"/>
      <c r="E365" s="13"/>
      <c r="F365" s="13"/>
      <c r="H365" s="24"/>
      <c r="J365" s="13"/>
      <c r="K365" s="13"/>
      <c r="M365" s="24"/>
      <c r="O365" s="13"/>
      <c r="P365" s="13"/>
    </row>
    <row r="366">
      <c r="C366" s="24"/>
      <c r="E366" s="13"/>
      <c r="F366" s="13"/>
      <c r="H366" s="24"/>
      <c r="J366" s="13"/>
      <c r="K366" s="13"/>
      <c r="M366" s="24"/>
      <c r="O366" s="13"/>
      <c r="P366" s="13"/>
    </row>
    <row r="367">
      <c r="C367" s="24"/>
      <c r="E367" s="13"/>
      <c r="F367" s="13"/>
      <c r="H367" s="24"/>
      <c r="J367" s="13"/>
      <c r="K367" s="13"/>
      <c r="M367" s="24"/>
      <c r="O367" s="13"/>
      <c r="P367" s="13"/>
    </row>
    <row r="368">
      <c r="C368" s="24"/>
      <c r="E368" s="13"/>
      <c r="F368" s="13"/>
      <c r="H368" s="24"/>
      <c r="J368" s="13"/>
      <c r="K368" s="13"/>
      <c r="M368" s="24"/>
      <c r="O368" s="13"/>
      <c r="P368" s="13"/>
    </row>
    <row r="369">
      <c r="C369" s="24"/>
      <c r="E369" s="13"/>
      <c r="F369" s="13"/>
      <c r="H369" s="24"/>
      <c r="J369" s="13"/>
      <c r="K369" s="13"/>
      <c r="M369" s="24"/>
      <c r="O369" s="13"/>
      <c r="P369" s="13"/>
    </row>
    <row r="370">
      <c r="C370" s="24"/>
      <c r="E370" s="13"/>
      <c r="F370" s="13"/>
      <c r="H370" s="24"/>
      <c r="J370" s="13"/>
      <c r="K370" s="13"/>
      <c r="M370" s="24"/>
      <c r="O370" s="13"/>
      <c r="P370" s="13"/>
    </row>
    <row r="371">
      <c r="C371" s="24"/>
      <c r="E371" s="13"/>
      <c r="F371" s="13"/>
      <c r="H371" s="24"/>
      <c r="J371" s="13"/>
      <c r="K371" s="13"/>
      <c r="M371" s="24"/>
      <c r="O371" s="13"/>
      <c r="P371" s="13"/>
    </row>
    <row r="372">
      <c r="C372" s="24"/>
      <c r="E372" s="13"/>
      <c r="F372" s="13"/>
      <c r="H372" s="24"/>
      <c r="J372" s="13"/>
      <c r="K372" s="13"/>
      <c r="M372" s="24"/>
      <c r="O372" s="13"/>
      <c r="P372" s="13"/>
    </row>
    <row r="373">
      <c r="C373" s="24"/>
      <c r="E373" s="13"/>
      <c r="F373" s="13"/>
      <c r="H373" s="24"/>
      <c r="J373" s="13"/>
      <c r="K373" s="13"/>
      <c r="M373" s="24"/>
      <c r="O373" s="13"/>
      <c r="P373" s="13"/>
    </row>
    <row r="374">
      <c r="C374" s="24"/>
      <c r="E374" s="13"/>
      <c r="F374" s="13"/>
      <c r="H374" s="24"/>
      <c r="J374" s="13"/>
      <c r="K374" s="13"/>
      <c r="M374" s="24"/>
      <c r="O374" s="13"/>
      <c r="P374" s="13"/>
    </row>
    <row r="375">
      <c r="C375" s="24"/>
      <c r="E375" s="13"/>
      <c r="F375" s="13"/>
      <c r="H375" s="24"/>
      <c r="J375" s="13"/>
      <c r="K375" s="13"/>
      <c r="M375" s="24"/>
      <c r="O375" s="13"/>
      <c r="P375" s="13"/>
    </row>
    <row r="376">
      <c r="C376" s="24"/>
      <c r="E376" s="13"/>
      <c r="F376" s="13"/>
      <c r="H376" s="24"/>
      <c r="J376" s="13"/>
      <c r="K376" s="13"/>
      <c r="M376" s="24"/>
      <c r="O376" s="13"/>
      <c r="P376" s="13"/>
    </row>
    <row r="377">
      <c r="C377" s="24"/>
      <c r="E377" s="13"/>
      <c r="F377" s="13"/>
      <c r="H377" s="24"/>
      <c r="J377" s="13"/>
      <c r="K377" s="13"/>
      <c r="M377" s="24"/>
      <c r="O377" s="13"/>
      <c r="P377" s="13"/>
    </row>
    <row r="378">
      <c r="C378" s="24"/>
      <c r="E378" s="13"/>
      <c r="F378" s="13"/>
      <c r="H378" s="24"/>
      <c r="J378" s="13"/>
      <c r="K378" s="13"/>
      <c r="M378" s="24"/>
      <c r="O378" s="13"/>
      <c r="P378" s="13"/>
    </row>
    <row r="379">
      <c r="C379" s="24"/>
      <c r="E379" s="13"/>
      <c r="F379" s="13"/>
      <c r="H379" s="24"/>
      <c r="J379" s="13"/>
      <c r="K379" s="13"/>
      <c r="M379" s="24"/>
      <c r="O379" s="13"/>
      <c r="P379" s="13"/>
    </row>
    <row r="380">
      <c r="C380" s="24"/>
      <c r="E380" s="13"/>
      <c r="F380" s="13"/>
      <c r="H380" s="24"/>
      <c r="J380" s="13"/>
      <c r="K380" s="13"/>
      <c r="M380" s="24"/>
      <c r="O380" s="13"/>
      <c r="P380" s="13"/>
    </row>
    <row r="381">
      <c r="C381" s="24"/>
      <c r="E381" s="13"/>
      <c r="F381" s="13"/>
      <c r="H381" s="24"/>
      <c r="J381" s="13"/>
      <c r="K381" s="13"/>
      <c r="M381" s="24"/>
      <c r="O381" s="13"/>
      <c r="P381" s="13"/>
    </row>
    <row r="382">
      <c r="C382" s="24"/>
      <c r="E382" s="13"/>
      <c r="F382" s="13"/>
      <c r="H382" s="24"/>
      <c r="J382" s="13"/>
      <c r="K382" s="13"/>
      <c r="M382" s="24"/>
      <c r="O382" s="13"/>
      <c r="P382" s="13"/>
    </row>
    <row r="383">
      <c r="C383" s="24"/>
      <c r="E383" s="13"/>
      <c r="F383" s="13"/>
      <c r="H383" s="24"/>
      <c r="J383" s="13"/>
      <c r="K383" s="13"/>
      <c r="M383" s="24"/>
      <c r="O383" s="13"/>
      <c r="P383" s="13"/>
    </row>
    <row r="384">
      <c r="C384" s="24"/>
      <c r="E384" s="13"/>
      <c r="F384" s="13"/>
      <c r="H384" s="24"/>
      <c r="J384" s="13"/>
      <c r="K384" s="13"/>
      <c r="M384" s="24"/>
      <c r="O384" s="13"/>
      <c r="P384" s="13"/>
    </row>
    <row r="385">
      <c r="C385" s="24"/>
      <c r="E385" s="13"/>
      <c r="F385" s="13"/>
      <c r="H385" s="24"/>
      <c r="J385" s="13"/>
      <c r="K385" s="13"/>
      <c r="M385" s="24"/>
      <c r="O385" s="13"/>
      <c r="P385" s="13"/>
    </row>
    <row r="386">
      <c r="C386" s="24"/>
      <c r="E386" s="13"/>
      <c r="F386" s="13"/>
      <c r="H386" s="24"/>
      <c r="J386" s="13"/>
      <c r="K386" s="13"/>
      <c r="M386" s="24"/>
      <c r="O386" s="13"/>
      <c r="P386" s="13"/>
    </row>
    <row r="387">
      <c r="C387" s="24"/>
      <c r="E387" s="13"/>
      <c r="F387" s="13"/>
      <c r="H387" s="24"/>
      <c r="J387" s="13"/>
      <c r="K387" s="13"/>
      <c r="M387" s="24"/>
      <c r="O387" s="13"/>
      <c r="P387" s="13"/>
    </row>
    <row r="388">
      <c r="C388" s="24"/>
      <c r="E388" s="13"/>
      <c r="F388" s="13"/>
      <c r="H388" s="24"/>
      <c r="J388" s="13"/>
      <c r="K388" s="13"/>
      <c r="M388" s="24"/>
      <c r="O388" s="13"/>
      <c r="P388" s="13"/>
    </row>
    <row r="389">
      <c r="C389" s="24"/>
      <c r="E389" s="13"/>
      <c r="F389" s="13"/>
      <c r="H389" s="24"/>
      <c r="J389" s="13"/>
      <c r="K389" s="13"/>
      <c r="M389" s="24"/>
      <c r="O389" s="13"/>
      <c r="P389" s="13"/>
    </row>
    <row r="390">
      <c r="C390" s="24"/>
      <c r="E390" s="13"/>
      <c r="F390" s="13"/>
      <c r="H390" s="24"/>
      <c r="J390" s="13"/>
      <c r="K390" s="13"/>
      <c r="M390" s="24"/>
      <c r="O390" s="13"/>
      <c r="P390" s="13"/>
    </row>
    <row r="391">
      <c r="C391" s="24"/>
      <c r="E391" s="13"/>
      <c r="F391" s="13"/>
      <c r="H391" s="24"/>
      <c r="J391" s="13"/>
      <c r="K391" s="13"/>
      <c r="M391" s="24"/>
      <c r="O391" s="13"/>
      <c r="P391" s="13"/>
    </row>
    <row r="392">
      <c r="C392" s="24"/>
      <c r="E392" s="13"/>
      <c r="F392" s="13"/>
      <c r="H392" s="24"/>
      <c r="J392" s="13"/>
      <c r="K392" s="13"/>
      <c r="M392" s="24"/>
      <c r="O392" s="13"/>
      <c r="P392" s="13"/>
    </row>
    <row r="393">
      <c r="C393" s="24"/>
      <c r="E393" s="13"/>
      <c r="F393" s="13"/>
      <c r="H393" s="24"/>
      <c r="J393" s="13"/>
      <c r="K393" s="13"/>
      <c r="M393" s="24"/>
      <c r="O393" s="13"/>
      <c r="P393" s="13"/>
    </row>
    <row r="394">
      <c r="C394" s="24"/>
      <c r="E394" s="13"/>
      <c r="F394" s="13"/>
      <c r="H394" s="24"/>
      <c r="J394" s="13"/>
      <c r="K394" s="13"/>
      <c r="M394" s="24"/>
      <c r="O394" s="13"/>
      <c r="P394" s="13"/>
    </row>
    <row r="395">
      <c r="C395" s="24"/>
      <c r="E395" s="13"/>
      <c r="F395" s="13"/>
      <c r="H395" s="24"/>
      <c r="J395" s="13"/>
      <c r="K395" s="13"/>
      <c r="M395" s="24"/>
      <c r="O395" s="13"/>
      <c r="P395" s="13"/>
    </row>
    <row r="396">
      <c r="C396" s="24"/>
      <c r="E396" s="13"/>
      <c r="F396" s="13"/>
      <c r="H396" s="24"/>
      <c r="J396" s="13"/>
      <c r="K396" s="13"/>
      <c r="M396" s="24"/>
      <c r="O396" s="13"/>
      <c r="P396" s="13"/>
    </row>
    <row r="397">
      <c r="C397" s="24"/>
      <c r="E397" s="13"/>
      <c r="F397" s="13"/>
      <c r="H397" s="24"/>
      <c r="J397" s="13"/>
      <c r="K397" s="13"/>
      <c r="M397" s="24"/>
      <c r="O397" s="13"/>
      <c r="P397" s="13"/>
    </row>
    <row r="398">
      <c r="C398" s="24"/>
      <c r="E398" s="13"/>
      <c r="F398" s="13"/>
      <c r="H398" s="24"/>
      <c r="J398" s="13"/>
      <c r="K398" s="13"/>
      <c r="M398" s="24"/>
      <c r="O398" s="13"/>
      <c r="P398" s="13"/>
    </row>
    <row r="399">
      <c r="C399" s="24"/>
      <c r="E399" s="13"/>
      <c r="F399" s="13"/>
      <c r="H399" s="24"/>
      <c r="J399" s="13"/>
      <c r="K399" s="13"/>
      <c r="M399" s="24"/>
      <c r="O399" s="13"/>
      <c r="P399" s="13"/>
    </row>
    <row r="400">
      <c r="C400" s="24"/>
      <c r="E400" s="13"/>
      <c r="F400" s="13"/>
      <c r="H400" s="24"/>
      <c r="J400" s="13"/>
      <c r="K400" s="13"/>
      <c r="M400" s="24"/>
      <c r="O400" s="13"/>
      <c r="P400" s="13"/>
    </row>
    <row r="401">
      <c r="C401" s="24"/>
      <c r="E401" s="13"/>
      <c r="F401" s="13"/>
      <c r="H401" s="24"/>
      <c r="J401" s="13"/>
      <c r="K401" s="13"/>
      <c r="M401" s="24"/>
      <c r="O401" s="13"/>
      <c r="P401" s="13"/>
    </row>
    <row r="402">
      <c r="C402" s="24"/>
      <c r="E402" s="13"/>
      <c r="F402" s="13"/>
      <c r="H402" s="24"/>
      <c r="J402" s="13"/>
      <c r="K402" s="13"/>
      <c r="M402" s="24"/>
      <c r="O402" s="13"/>
      <c r="P402" s="13"/>
    </row>
    <row r="403">
      <c r="C403" s="24"/>
      <c r="E403" s="13"/>
      <c r="F403" s="13"/>
      <c r="H403" s="24"/>
      <c r="J403" s="13"/>
      <c r="K403" s="13"/>
      <c r="M403" s="24"/>
      <c r="O403" s="13"/>
      <c r="P403" s="13"/>
    </row>
    <row r="404">
      <c r="C404" s="24"/>
      <c r="E404" s="13"/>
      <c r="F404" s="13"/>
      <c r="H404" s="24"/>
      <c r="J404" s="13"/>
      <c r="K404" s="13"/>
      <c r="M404" s="24"/>
      <c r="O404" s="13"/>
      <c r="P404" s="13"/>
    </row>
    <row r="405">
      <c r="C405" s="24"/>
      <c r="E405" s="13"/>
      <c r="F405" s="13"/>
      <c r="H405" s="24"/>
      <c r="J405" s="13"/>
      <c r="K405" s="13"/>
      <c r="M405" s="24"/>
      <c r="O405" s="13"/>
      <c r="P405" s="13"/>
    </row>
    <row r="406">
      <c r="C406" s="24"/>
      <c r="E406" s="13"/>
      <c r="F406" s="13"/>
      <c r="H406" s="24"/>
      <c r="J406" s="13"/>
      <c r="K406" s="13"/>
      <c r="M406" s="24"/>
      <c r="O406" s="13"/>
      <c r="P406" s="13"/>
    </row>
    <row r="407">
      <c r="C407" s="24"/>
      <c r="E407" s="13"/>
      <c r="F407" s="13"/>
      <c r="H407" s="24"/>
      <c r="J407" s="13"/>
      <c r="K407" s="13"/>
      <c r="M407" s="24"/>
      <c r="O407" s="13"/>
      <c r="P407" s="13"/>
    </row>
    <row r="408">
      <c r="C408" s="24"/>
      <c r="E408" s="13"/>
      <c r="F408" s="13"/>
      <c r="H408" s="24"/>
      <c r="J408" s="13"/>
      <c r="K408" s="13"/>
      <c r="M408" s="24"/>
      <c r="O408" s="13"/>
      <c r="P408" s="13"/>
    </row>
    <row r="409">
      <c r="C409" s="24"/>
      <c r="E409" s="13"/>
      <c r="F409" s="13"/>
      <c r="H409" s="24"/>
      <c r="J409" s="13"/>
      <c r="K409" s="13"/>
      <c r="M409" s="24"/>
      <c r="O409" s="13"/>
      <c r="P409" s="13"/>
    </row>
    <row r="410">
      <c r="C410" s="24"/>
      <c r="E410" s="13"/>
      <c r="F410" s="13"/>
      <c r="H410" s="24"/>
      <c r="J410" s="13"/>
      <c r="K410" s="13"/>
      <c r="M410" s="24"/>
      <c r="O410" s="13"/>
      <c r="P410" s="13"/>
    </row>
    <row r="411">
      <c r="C411" s="24"/>
      <c r="E411" s="13"/>
      <c r="F411" s="13"/>
      <c r="H411" s="24"/>
      <c r="J411" s="13"/>
      <c r="K411" s="13"/>
      <c r="M411" s="24"/>
      <c r="O411" s="13"/>
      <c r="P411" s="13"/>
    </row>
    <row r="412">
      <c r="C412" s="24"/>
      <c r="E412" s="13"/>
      <c r="F412" s="13"/>
      <c r="H412" s="24"/>
      <c r="J412" s="13"/>
      <c r="K412" s="13"/>
      <c r="M412" s="24"/>
      <c r="O412" s="13"/>
      <c r="P412" s="13"/>
    </row>
    <row r="413">
      <c r="C413" s="24"/>
      <c r="E413" s="13"/>
      <c r="F413" s="13"/>
      <c r="H413" s="24"/>
      <c r="J413" s="13"/>
      <c r="K413" s="13"/>
      <c r="M413" s="24"/>
      <c r="O413" s="13"/>
      <c r="P413" s="13"/>
    </row>
    <row r="414">
      <c r="C414" s="24"/>
      <c r="E414" s="13"/>
      <c r="F414" s="13"/>
      <c r="H414" s="24"/>
      <c r="J414" s="13"/>
      <c r="K414" s="13"/>
      <c r="M414" s="24"/>
      <c r="O414" s="13"/>
      <c r="P414" s="13"/>
    </row>
    <row r="415">
      <c r="C415" s="24"/>
      <c r="E415" s="13"/>
      <c r="F415" s="13"/>
      <c r="H415" s="24"/>
      <c r="J415" s="13"/>
      <c r="K415" s="13"/>
      <c r="M415" s="24"/>
      <c r="O415" s="13"/>
      <c r="P415" s="13"/>
    </row>
    <row r="416">
      <c r="C416" s="24"/>
      <c r="E416" s="13"/>
      <c r="F416" s="13"/>
      <c r="H416" s="24"/>
      <c r="J416" s="13"/>
      <c r="K416" s="13"/>
      <c r="M416" s="24"/>
      <c r="O416" s="13"/>
      <c r="P416" s="13"/>
    </row>
    <row r="417">
      <c r="C417" s="24"/>
      <c r="E417" s="13"/>
      <c r="F417" s="13"/>
      <c r="H417" s="24"/>
      <c r="J417" s="13"/>
      <c r="K417" s="13"/>
      <c r="M417" s="24"/>
      <c r="O417" s="13"/>
      <c r="P417" s="13"/>
    </row>
    <row r="418">
      <c r="C418" s="24"/>
      <c r="E418" s="13"/>
      <c r="F418" s="13"/>
      <c r="H418" s="24"/>
      <c r="J418" s="13"/>
      <c r="K418" s="13"/>
      <c r="M418" s="24"/>
      <c r="O418" s="13"/>
      <c r="P418" s="13"/>
    </row>
    <row r="419">
      <c r="C419" s="24"/>
      <c r="E419" s="13"/>
      <c r="F419" s="13"/>
      <c r="H419" s="24"/>
      <c r="J419" s="13"/>
      <c r="K419" s="13"/>
      <c r="M419" s="24"/>
      <c r="O419" s="13"/>
      <c r="P419" s="13"/>
    </row>
    <row r="420">
      <c r="C420" s="24"/>
      <c r="E420" s="13"/>
      <c r="F420" s="13"/>
      <c r="H420" s="24"/>
      <c r="J420" s="13"/>
      <c r="K420" s="13"/>
      <c r="M420" s="24"/>
      <c r="O420" s="13"/>
      <c r="P420" s="13"/>
    </row>
    <row r="421">
      <c r="C421" s="24"/>
      <c r="E421" s="13"/>
      <c r="F421" s="13"/>
      <c r="H421" s="24"/>
      <c r="J421" s="13"/>
      <c r="K421" s="13"/>
      <c r="M421" s="24"/>
      <c r="O421" s="13"/>
      <c r="P421" s="13"/>
    </row>
    <row r="422">
      <c r="C422" s="24"/>
      <c r="E422" s="13"/>
      <c r="F422" s="13"/>
      <c r="H422" s="24"/>
      <c r="J422" s="13"/>
      <c r="K422" s="13"/>
      <c r="M422" s="24"/>
      <c r="O422" s="13"/>
      <c r="P422" s="13"/>
    </row>
    <row r="423">
      <c r="C423" s="24"/>
      <c r="E423" s="13"/>
      <c r="F423" s="13"/>
      <c r="H423" s="24"/>
      <c r="J423" s="13"/>
      <c r="K423" s="13"/>
      <c r="M423" s="24"/>
      <c r="O423" s="13"/>
      <c r="P423" s="13"/>
    </row>
    <row r="424">
      <c r="C424" s="24"/>
      <c r="E424" s="13"/>
      <c r="F424" s="13"/>
      <c r="H424" s="24"/>
      <c r="J424" s="13"/>
      <c r="K424" s="13"/>
      <c r="M424" s="24"/>
      <c r="O424" s="13"/>
      <c r="P424" s="13"/>
    </row>
    <row r="425">
      <c r="C425" s="24"/>
      <c r="E425" s="13"/>
      <c r="F425" s="13"/>
      <c r="H425" s="24"/>
      <c r="J425" s="13"/>
      <c r="K425" s="13"/>
      <c r="M425" s="24"/>
      <c r="O425" s="13"/>
      <c r="P425" s="13"/>
    </row>
    <row r="426">
      <c r="C426" s="24"/>
      <c r="E426" s="13"/>
      <c r="F426" s="13"/>
      <c r="H426" s="24"/>
      <c r="J426" s="13"/>
      <c r="K426" s="13"/>
      <c r="M426" s="24"/>
      <c r="O426" s="13"/>
      <c r="P426" s="13"/>
    </row>
    <row r="427">
      <c r="C427" s="24"/>
      <c r="E427" s="13"/>
      <c r="F427" s="13"/>
      <c r="H427" s="24"/>
      <c r="J427" s="13"/>
      <c r="K427" s="13"/>
      <c r="M427" s="24"/>
      <c r="O427" s="13"/>
      <c r="P427" s="13"/>
    </row>
    <row r="428">
      <c r="C428" s="24"/>
      <c r="E428" s="13"/>
      <c r="F428" s="13"/>
      <c r="H428" s="24"/>
      <c r="J428" s="13"/>
      <c r="K428" s="13"/>
      <c r="M428" s="24"/>
      <c r="O428" s="13"/>
      <c r="P428" s="13"/>
    </row>
    <row r="429">
      <c r="C429" s="24"/>
      <c r="E429" s="13"/>
      <c r="F429" s="13"/>
      <c r="H429" s="24"/>
      <c r="J429" s="13"/>
      <c r="K429" s="13"/>
      <c r="M429" s="24"/>
      <c r="O429" s="13"/>
      <c r="P429" s="13"/>
    </row>
    <row r="430">
      <c r="C430" s="24"/>
      <c r="E430" s="13"/>
      <c r="F430" s="13"/>
      <c r="H430" s="24"/>
      <c r="J430" s="13"/>
      <c r="K430" s="13"/>
      <c r="M430" s="24"/>
      <c r="O430" s="13"/>
      <c r="P430" s="13"/>
    </row>
    <row r="431">
      <c r="C431" s="24"/>
      <c r="E431" s="13"/>
      <c r="F431" s="13"/>
      <c r="H431" s="24"/>
      <c r="J431" s="13"/>
      <c r="K431" s="13"/>
      <c r="M431" s="24"/>
      <c r="O431" s="13"/>
      <c r="P431" s="13"/>
    </row>
    <row r="432">
      <c r="C432" s="24"/>
      <c r="E432" s="13"/>
      <c r="F432" s="13"/>
      <c r="H432" s="24"/>
      <c r="J432" s="13"/>
      <c r="K432" s="13"/>
      <c r="M432" s="24"/>
      <c r="O432" s="13"/>
      <c r="P432" s="13"/>
    </row>
    <row r="433">
      <c r="C433" s="24"/>
      <c r="E433" s="13"/>
      <c r="F433" s="13"/>
      <c r="H433" s="24"/>
      <c r="J433" s="13"/>
      <c r="K433" s="13"/>
      <c r="M433" s="24"/>
      <c r="O433" s="13"/>
      <c r="P433" s="13"/>
    </row>
    <row r="434">
      <c r="C434" s="24"/>
      <c r="E434" s="13"/>
      <c r="F434" s="13"/>
      <c r="H434" s="24"/>
      <c r="J434" s="13"/>
      <c r="K434" s="13"/>
      <c r="M434" s="24"/>
      <c r="O434" s="13"/>
      <c r="P434" s="13"/>
    </row>
    <row r="435">
      <c r="C435" s="24"/>
      <c r="E435" s="13"/>
      <c r="F435" s="13"/>
      <c r="H435" s="24"/>
      <c r="J435" s="13"/>
      <c r="K435" s="13"/>
      <c r="M435" s="24"/>
      <c r="O435" s="13"/>
      <c r="P435" s="13"/>
    </row>
    <row r="436">
      <c r="C436" s="24"/>
      <c r="E436" s="13"/>
      <c r="F436" s="13"/>
      <c r="H436" s="24"/>
      <c r="J436" s="13"/>
      <c r="K436" s="13"/>
      <c r="M436" s="24"/>
      <c r="O436" s="13"/>
      <c r="P436" s="13"/>
    </row>
    <row r="437">
      <c r="C437" s="24"/>
      <c r="E437" s="13"/>
      <c r="F437" s="13"/>
      <c r="H437" s="24"/>
      <c r="J437" s="13"/>
      <c r="K437" s="13"/>
      <c r="M437" s="24"/>
      <c r="O437" s="13"/>
      <c r="P437" s="13"/>
    </row>
    <row r="438">
      <c r="C438" s="24"/>
      <c r="E438" s="13"/>
      <c r="F438" s="13"/>
      <c r="H438" s="24"/>
      <c r="J438" s="13"/>
      <c r="K438" s="13"/>
      <c r="M438" s="24"/>
      <c r="O438" s="13"/>
      <c r="P438" s="13"/>
    </row>
    <row r="439">
      <c r="C439" s="24"/>
      <c r="E439" s="13"/>
      <c r="F439" s="13"/>
      <c r="H439" s="24"/>
      <c r="J439" s="13"/>
      <c r="K439" s="13"/>
      <c r="M439" s="24"/>
      <c r="O439" s="13"/>
      <c r="P439" s="13"/>
    </row>
    <row r="440">
      <c r="C440" s="24"/>
      <c r="E440" s="13"/>
      <c r="F440" s="13"/>
      <c r="H440" s="24"/>
      <c r="J440" s="13"/>
      <c r="K440" s="13"/>
      <c r="M440" s="24"/>
      <c r="O440" s="13"/>
      <c r="P440" s="13"/>
    </row>
    <row r="441">
      <c r="C441" s="24"/>
      <c r="E441" s="13"/>
      <c r="F441" s="13"/>
      <c r="H441" s="24"/>
      <c r="J441" s="13"/>
      <c r="K441" s="13"/>
      <c r="M441" s="24"/>
      <c r="O441" s="13"/>
      <c r="P441" s="13"/>
    </row>
    <row r="442">
      <c r="C442" s="24"/>
      <c r="E442" s="13"/>
      <c r="F442" s="13"/>
      <c r="H442" s="24"/>
      <c r="J442" s="13"/>
      <c r="K442" s="13"/>
      <c r="M442" s="24"/>
      <c r="O442" s="13"/>
      <c r="P442" s="13"/>
    </row>
    <row r="443">
      <c r="C443" s="24"/>
      <c r="E443" s="13"/>
      <c r="F443" s="13"/>
      <c r="H443" s="24"/>
      <c r="J443" s="13"/>
      <c r="K443" s="13"/>
      <c r="M443" s="24"/>
      <c r="O443" s="13"/>
      <c r="P443" s="13"/>
    </row>
    <row r="444">
      <c r="C444" s="24"/>
      <c r="E444" s="13"/>
      <c r="F444" s="13"/>
      <c r="H444" s="24"/>
      <c r="J444" s="13"/>
      <c r="K444" s="13"/>
      <c r="M444" s="24"/>
      <c r="O444" s="13"/>
      <c r="P444" s="13"/>
    </row>
    <row r="445">
      <c r="C445" s="24"/>
      <c r="E445" s="13"/>
      <c r="F445" s="13"/>
      <c r="H445" s="24"/>
      <c r="J445" s="13"/>
      <c r="K445" s="13"/>
      <c r="M445" s="24"/>
      <c r="O445" s="13"/>
      <c r="P445" s="13"/>
    </row>
    <row r="446">
      <c r="C446" s="24"/>
      <c r="E446" s="13"/>
      <c r="F446" s="13"/>
      <c r="H446" s="24"/>
      <c r="J446" s="13"/>
      <c r="K446" s="13"/>
      <c r="M446" s="24"/>
      <c r="O446" s="13"/>
      <c r="P446" s="13"/>
    </row>
    <row r="447">
      <c r="C447" s="24"/>
      <c r="E447" s="13"/>
      <c r="F447" s="13"/>
      <c r="H447" s="24"/>
      <c r="J447" s="13"/>
      <c r="K447" s="13"/>
      <c r="M447" s="24"/>
      <c r="O447" s="13"/>
      <c r="P447" s="13"/>
    </row>
    <row r="448">
      <c r="C448" s="24"/>
      <c r="E448" s="13"/>
      <c r="F448" s="13"/>
      <c r="H448" s="24"/>
      <c r="J448" s="13"/>
      <c r="K448" s="13"/>
      <c r="M448" s="24"/>
      <c r="O448" s="13"/>
      <c r="P448" s="13"/>
    </row>
    <row r="449">
      <c r="C449" s="24"/>
      <c r="E449" s="13"/>
      <c r="F449" s="13"/>
      <c r="H449" s="24"/>
      <c r="J449" s="13"/>
      <c r="K449" s="13"/>
      <c r="M449" s="24"/>
      <c r="O449" s="13"/>
      <c r="P449" s="13"/>
    </row>
    <row r="450">
      <c r="C450" s="24"/>
      <c r="E450" s="13"/>
      <c r="F450" s="13"/>
      <c r="H450" s="24"/>
      <c r="J450" s="13"/>
      <c r="K450" s="13"/>
      <c r="M450" s="24"/>
      <c r="O450" s="13"/>
      <c r="P450" s="13"/>
    </row>
    <row r="451">
      <c r="C451" s="24"/>
      <c r="E451" s="13"/>
      <c r="F451" s="13"/>
      <c r="H451" s="24"/>
      <c r="J451" s="13"/>
      <c r="K451" s="13"/>
      <c r="M451" s="24"/>
      <c r="O451" s="13"/>
      <c r="P451" s="13"/>
    </row>
    <row r="452">
      <c r="C452" s="24"/>
      <c r="E452" s="13"/>
      <c r="F452" s="13"/>
      <c r="H452" s="24"/>
      <c r="J452" s="13"/>
      <c r="K452" s="13"/>
      <c r="M452" s="24"/>
      <c r="O452" s="13"/>
      <c r="P452" s="13"/>
    </row>
    <row r="453">
      <c r="C453" s="24"/>
      <c r="E453" s="13"/>
      <c r="F453" s="13"/>
      <c r="H453" s="24"/>
      <c r="J453" s="13"/>
      <c r="K453" s="13"/>
      <c r="M453" s="24"/>
      <c r="O453" s="13"/>
      <c r="P453" s="13"/>
    </row>
    <row r="454">
      <c r="C454" s="24"/>
      <c r="E454" s="13"/>
      <c r="F454" s="13"/>
      <c r="H454" s="24"/>
      <c r="J454" s="13"/>
      <c r="K454" s="13"/>
      <c r="M454" s="24"/>
      <c r="O454" s="13"/>
      <c r="P454" s="13"/>
    </row>
    <row r="455">
      <c r="C455" s="24"/>
      <c r="E455" s="13"/>
      <c r="F455" s="13"/>
      <c r="H455" s="24"/>
      <c r="J455" s="13"/>
      <c r="K455" s="13"/>
      <c r="M455" s="24"/>
      <c r="O455" s="13"/>
      <c r="P455" s="13"/>
    </row>
    <row r="456">
      <c r="C456" s="24"/>
      <c r="E456" s="13"/>
      <c r="F456" s="13"/>
      <c r="H456" s="24"/>
      <c r="J456" s="13"/>
      <c r="K456" s="13"/>
      <c r="M456" s="24"/>
      <c r="O456" s="13"/>
      <c r="P456" s="13"/>
    </row>
    <row r="457">
      <c r="C457" s="24"/>
      <c r="E457" s="13"/>
      <c r="F457" s="13"/>
      <c r="H457" s="24"/>
      <c r="J457" s="13"/>
      <c r="K457" s="13"/>
      <c r="M457" s="24"/>
      <c r="O457" s="13"/>
      <c r="P457" s="13"/>
    </row>
    <row r="458">
      <c r="C458" s="24"/>
      <c r="E458" s="13"/>
      <c r="F458" s="13"/>
      <c r="H458" s="24"/>
      <c r="J458" s="13"/>
      <c r="K458" s="13"/>
      <c r="M458" s="24"/>
      <c r="O458" s="13"/>
      <c r="P458" s="13"/>
    </row>
    <row r="459">
      <c r="C459" s="24"/>
      <c r="E459" s="13"/>
      <c r="F459" s="13"/>
      <c r="H459" s="24"/>
      <c r="J459" s="13"/>
      <c r="K459" s="13"/>
      <c r="M459" s="24"/>
      <c r="O459" s="13"/>
      <c r="P459" s="13"/>
    </row>
    <row r="460">
      <c r="C460" s="24"/>
      <c r="E460" s="13"/>
      <c r="F460" s="13"/>
      <c r="H460" s="24"/>
      <c r="J460" s="13"/>
      <c r="K460" s="13"/>
      <c r="M460" s="24"/>
      <c r="O460" s="13"/>
      <c r="P460" s="13"/>
    </row>
    <row r="461">
      <c r="C461" s="24"/>
      <c r="E461" s="13"/>
      <c r="F461" s="13"/>
      <c r="H461" s="24"/>
      <c r="J461" s="13"/>
      <c r="K461" s="13"/>
      <c r="M461" s="24"/>
      <c r="O461" s="13"/>
      <c r="P461" s="13"/>
    </row>
    <row r="462">
      <c r="C462" s="24"/>
      <c r="E462" s="13"/>
      <c r="F462" s="13"/>
      <c r="H462" s="24"/>
      <c r="J462" s="13"/>
      <c r="K462" s="13"/>
      <c r="M462" s="24"/>
      <c r="O462" s="13"/>
      <c r="P462" s="13"/>
    </row>
    <row r="463">
      <c r="C463" s="24"/>
      <c r="E463" s="13"/>
      <c r="F463" s="13"/>
      <c r="H463" s="24"/>
      <c r="J463" s="13"/>
      <c r="K463" s="13"/>
      <c r="M463" s="24"/>
      <c r="O463" s="13"/>
      <c r="P463" s="13"/>
    </row>
    <row r="464">
      <c r="C464" s="24"/>
      <c r="E464" s="13"/>
      <c r="F464" s="13"/>
      <c r="H464" s="24"/>
      <c r="J464" s="13"/>
      <c r="K464" s="13"/>
      <c r="M464" s="24"/>
      <c r="O464" s="13"/>
      <c r="P464" s="13"/>
    </row>
    <row r="465">
      <c r="C465" s="24"/>
      <c r="E465" s="13"/>
      <c r="F465" s="13"/>
      <c r="H465" s="24"/>
      <c r="J465" s="13"/>
      <c r="K465" s="13"/>
      <c r="M465" s="24"/>
      <c r="O465" s="13"/>
      <c r="P465" s="13"/>
    </row>
    <row r="466">
      <c r="C466" s="24"/>
      <c r="E466" s="13"/>
      <c r="F466" s="13"/>
      <c r="H466" s="24"/>
      <c r="J466" s="13"/>
      <c r="K466" s="13"/>
      <c r="M466" s="24"/>
      <c r="O466" s="13"/>
      <c r="P466" s="13"/>
    </row>
    <row r="467">
      <c r="C467" s="24"/>
      <c r="E467" s="13"/>
      <c r="F467" s="13"/>
      <c r="H467" s="24"/>
      <c r="J467" s="13"/>
      <c r="K467" s="13"/>
      <c r="M467" s="24"/>
      <c r="O467" s="13"/>
      <c r="P467" s="13"/>
    </row>
    <row r="468">
      <c r="C468" s="24"/>
      <c r="E468" s="13"/>
      <c r="F468" s="13"/>
      <c r="H468" s="24"/>
      <c r="J468" s="13"/>
      <c r="K468" s="13"/>
      <c r="M468" s="24"/>
      <c r="O468" s="13"/>
      <c r="P468" s="13"/>
    </row>
    <row r="469">
      <c r="C469" s="24"/>
      <c r="E469" s="13"/>
      <c r="F469" s="13"/>
      <c r="H469" s="24"/>
      <c r="J469" s="13"/>
      <c r="K469" s="13"/>
      <c r="M469" s="24"/>
      <c r="O469" s="13"/>
      <c r="P469" s="13"/>
    </row>
    <row r="470">
      <c r="C470" s="24"/>
      <c r="E470" s="13"/>
      <c r="F470" s="13"/>
      <c r="H470" s="24"/>
      <c r="J470" s="13"/>
      <c r="K470" s="13"/>
      <c r="M470" s="24"/>
      <c r="O470" s="13"/>
      <c r="P470" s="13"/>
    </row>
    <row r="471">
      <c r="C471" s="24"/>
      <c r="E471" s="13"/>
      <c r="F471" s="13"/>
      <c r="H471" s="24"/>
      <c r="J471" s="13"/>
      <c r="K471" s="13"/>
      <c r="M471" s="24"/>
      <c r="O471" s="13"/>
      <c r="P471" s="13"/>
    </row>
    <row r="472">
      <c r="C472" s="24"/>
      <c r="E472" s="13"/>
      <c r="F472" s="13"/>
      <c r="H472" s="24"/>
      <c r="J472" s="13"/>
      <c r="K472" s="13"/>
      <c r="M472" s="24"/>
      <c r="O472" s="13"/>
      <c r="P472" s="13"/>
    </row>
    <row r="473">
      <c r="C473" s="24"/>
      <c r="E473" s="13"/>
      <c r="F473" s="13"/>
      <c r="H473" s="24"/>
      <c r="J473" s="13"/>
      <c r="K473" s="13"/>
      <c r="M473" s="24"/>
      <c r="O473" s="13"/>
      <c r="P473" s="13"/>
    </row>
    <row r="474">
      <c r="C474" s="24"/>
      <c r="E474" s="13"/>
      <c r="F474" s="13"/>
      <c r="H474" s="24"/>
      <c r="J474" s="13"/>
      <c r="K474" s="13"/>
      <c r="M474" s="24"/>
      <c r="O474" s="13"/>
      <c r="P474" s="13"/>
    </row>
    <row r="475">
      <c r="C475" s="24"/>
      <c r="E475" s="13"/>
      <c r="F475" s="13"/>
      <c r="H475" s="24"/>
      <c r="J475" s="13"/>
      <c r="K475" s="13"/>
      <c r="M475" s="24"/>
      <c r="O475" s="13"/>
      <c r="P475" s="13"/>
    </row>
    <row r="476">
      <c r="C476" s="24"/>
      <c r="E476" s="13"/>
      <c r="F476" s="13"/>
      <c r="H476" s="24"/>
      <c r="J476" s="13"/>
      <c r="K476" s="13"/>
      <c r="M476" s="24"/>
      <c r="O476" s="13"/>
      <c r="P476" s="13"/>
    </row>
    <row r="477">
      <c r="C477" s="24"/>
      <c r="E477" s="13"/>
      <c r="F477" s="13"/>
      <c r="H477" s="24"/>
      <c r="J477" s="13"/>
      <c r="K477" s="13"/>
      <c r="M477" s="24"/>
      <c r="O477" s="13"/>
      <c r="P477" s="13"/>
    </row>
    <row r="478">
      <c r="C478" s="24"/>
      <c r="E478" s="13"/>
      <c r="F478" s="13"/>
      <c r="H478" s="24"/>
      <c r="J478" s="13"/>
      <c r="K478" s="13"/>
      <c r="M478" s="24"/>
      <c r="O478" s="13"/>
      <c r="P478" s="13"/>
    </row>
    <row r="479">
      <c r="C479" s="24"/>
      <c r="E479" s="13"/>
      <c r="F479" s="13"/>
      <c r="H479" s="24"/>
      <c r="J479" s="13"/>
      <c r="K479" s="13"/>
      <c r="M479" s="24"/>
      <c r="O479" s="13"/>
      <c r="P479" s="13"/>
    </row>
    <row r="480">
      <c r="C480" s="24"/>
      <c r="E480" s="13"/>
      <c r="F480" s="13"/>
      <c r="H480" s="24"/>
      <c r="J480" s="13"/>
      <c r="K480" s="13"/>
      <c r="M480" s="24"/>
      <c r="O480" s="13"/>
      <c r="P480" s="13"/>
    </row>
    <row r="481">
      <c r="C481" s="24"/>
      <c r="E481" s="13"/>
      <c r="F481" s="13"/>
      <c r="H481" s="24"/>
      <c r="J481" s="13"/>
      <c r="K481" s="13"/>
      <c r="M481" s="24"/>
      <c r="O481" s="13"/>
      <c r="P481" s="13"/>
    </row>
    <row r="482">
      <c r="C482" s="24"/>
      <c r="E482" s="13"/>
      <c r="F482" s="13"/>
      <c r="H482" s="24"/>
      <c r="J482" s="13"/>
      <c r="K482" s="13"/>
      <c r="M482" s="24"/>
      <c r="O482" s="13"/>
      <c r="P482" s="13"/>
    </row>
    <row r="483">
      <c r="C483" s="24"/>
      <c r="E483" s="13"/>
      <c r="F483" s="13"/>
      <c r="H483" s="24"/>
      <c r="J483" s="13"/>
      <c r="K483" s="13"/>
      <c r="M483" s="24"/>
      <c r="O483" s="13"/>
      <c r="P483" s="13"/>
    </row>
    <row r="484">
      <c r="C484" s="24"/>
      <c r="E484" s="13"/>
      <c r="F484" s="13"/>
      <c r="H484" s="24"/>
      <c r="J484" s="13"/>
      <c r="K484" s="13"/>
      <c r="M484" s="24"/>
      <c r="O484" s="13"/>
      <c r="P484" s="13"/>
    </row>
    <row r="485">
      <c r="C485" s="24"/>
      <c r="E485" s="13"/>
      <c r="F485" s="13"/>
      <c r="H485" s="24"/>
      <c r="J485" s="13"/>
      <c r="K485" s="13"/>
      <c r="M485" s="24"/>
      <c r="O485" s="13"/>
      <c r="P485" s="13"/>
    </row>
    <row r="486">
      <c r="C486" s="24"/>
      <c r="E486" s="13"/>
      <c r="F486" s="13"/>
      <c r="H486" s="24"/>
      <c r="J486" s="13"/>
      <c r="K486" s="13"/>
      <c r="M486" s="24"/>
      <c r="O486" s="13"/>
      <c r="P486" s="13"/>
    </row>
    <row r="487">
      <c r="C487" s="24"/>
      <c r="E487" s="13"/>
      <c r="F487" s="13"/>
      <c r="H487" s="24"/>
      <c r="J487" s="13"/>
      <c r="K487" s="13"/>
      <c r="M487" s="24"/>
      <c r="O487" s="13"/>
      <c r="P487" s="13"/>
    </row>
    <row r="488">
      <c r="C488" s="24"/>
      <c r="E488" s="13"/>
      <c r="F488" s="13"/>
      <c r="H488" s="24"/>
      <c r="J488" s="13"/>
      <c r="K488" s="13"/>
      <c r="M488" s="24"/>
      <c r="O488" s="13"/>
      <c r="P488" s="13"/>
    </row>
    <row r="489">
      <c r="C489" s="24"/>
      <c r="E489" s="13"/>
      <c r="F489" s="13"/>
      <c r="H489" s="24"/>
      <c r="J489" s="13"/>
      <c r="K489" s="13"/>
      <c r="M489" s="24"/>
      <c r="O489" s="13"/>
      <c r="P489" s="13"/>
    </row>
    <row r="490">
      <c r="C490" s="24"/>
      <c r="E490" s="13"/>
      <c r="F490" s="13"/>
      <c r="H490" s="24"/>
      <c r="J490" s="13"/>
      <c r="K490" s="13"/>
      <c r="M490" s="24"/>
      <c r="O490" s="13"/>
      <c r="P490" s="13"/>
    </row>
    <row r="491">
      <c r="C491" s="24"/>
      <c r="E491" s="13"/>
      <c r="F491" s="13"/>
      <c r="H491" s="24"/>
      <c r="J491" s="13"/>
      <c r="K491" s="13"/>
      <c r="M491" s="24"/>
      <c r="O491" s="13"/>
      <c r="P491" s="13"/>
    </row>
    <row r="492">
      <c r="C492" s="24"/>
      <c r="E492" s="13"/>
      <c r="F492" s="13"/>
      <c r="H492" s="24"/>
      <c r="J492" s="13"/>
      <c r="K492" s="13"/>
      <c r="M492" s="24"/>
      <c r="O492" s="13"/>
      <c r="P492" s="13"/>
    </row>
    <row r="493">
      <c r="C493" s="24"/>
      <c r="E493" s="13"/>
      <c r="F493" s="13"/>
      <c r="H493" s="24"/>
      <c r="J493" s="13"/>
      <c r="K493" s="13"/>
      <c r="M493" s="24"/>
      <c r="O493" s="13"/>
      <c r="P493" s="13"/>
    </row>
    <row r="494">
      <c r="C494" s="24"/>
      <c r="E494" s="13"/>
      <c r="F494" s="13"/>
      <c r="H494" s="24"/>
      <c r="J494" s="13"/>
      <c r="K494" s="13"/>
      <c r="M494" s="24"/>
      <c r="O494" s="13"/>
      <c r="P494" s="13"/>
    </row>
    <row r="495">
      <c r="C495" s="24"/>
      <c r="E495" s="13"/>
      <c r="F495" s="13"/>
      <c r="H495" s="24"/>
      <c r="J495" s="13"/>
      <c r="K495" s="13"/>
      <c r="M495" s="24"/>
      <c r="O495" s="13"/>
      <c r="P495" s="13"/>
    </row>
    <row r="496">
      <c r="C496" s="24"/>
      <c r="E496" s="13"/>
      <c r="F496" s="13"/>
      <c r="H496" s="24"/>
      <c r="J496" s="13"/>
      <c r="K496" s="13"/>
      <c r="M496" s="24"/>
      <c r="O496" s="13"/>
      <c r="P496" s="13"/>
    </row>
    <row r="497">
      <c r="C497" s="24"/>
      <c r="E497" s="13"/>
      <c r="F497" s="13"/>
      <c r="H497" s="24"/>
      <c r="J497" s="13"/>
      <c r="K497" s="13"/>
      <c r="M497" s="24"/>
      <c r="O497" s="13"/>
      <c r="P497" s="13"/>
    </row>
    <row r="498">
      <c r="C498" s="24"/>
      <c r="E498" s="13"/>
      <c r="F498" s="13"/>
      <c r="H498" s="24"/>
      <c r="J498" s="13"/>
      <c r="K498" s="13"/>
      <c r="M498" s="24"/>
      <c r="O498" s="13"/>
      <c r="P498" s="13"/>
    </row>
    <row r="499">
      <c r="C499" s="24"/>
      <c r="E499" s="13"/>
      <c r="F499" s="13"/>
      <c r="H499" s="24"/>
      <c r="J499" s="13"/>
      <c r="K499" s="13"/>
      <c r="M499" s="24"/>
      <c r="O499" s="13"/>
      <c r="P499" s="13"/>
    </row>
    <row r="500">
      <c r="C500" s="24"/>
      <c r="E500" s="13"/>
      <c r="F500" s="13"/>
      <c r="H500" s="24"/>
      <c r="J500" s="13"/>
      <c r="K500" s="13"/>
      <c r="M500" s="24"/>
      <c r="O500" s="13"/>
      <c r="P500" s="13"/>
    </row>
    <row r="501">
      <c r="C501" s="24"/>
      <c r="E501" s="13"/>
      <c r="F501" s="13"/>
      <c r="H501" s="24"/>
      <c r="J501" s="13"/>
      <c r="K501" s="13"/>
      <c r="M501" s="24"/>
      <c r="O501" s="13"/>
      <c r="P501" s="13"/>
    </row>
    <row r="502">
      <c r="C502" s="24"/>
      <c r="E502" s="13"/>
      <c r="F502" s="13"/>
      <c r="H502" s="24"/>
      <c r="J502" s="13"/>
      <c r="K502" s="13"/>
      <c r="M502" s="24"/>
      <c r="O502" s="13"/>
      <c r="P502" s="13"/>
    </row>
    <row r="503">
      <c r="C503" s="24"/>
      <c r="E503" s="13"/>
      <c r="F503" s="13"/>
      <c r="H503" s="24"/>
      <c r="J503" s="13"/>
      <c r="K503" s="13"/>
      <c r="M503" s="24"/>
      <c r="O503" s="13"/>
      <c r="P503" s="13"/>
    </row>
    <row r="504">
      <c r="C504" s="24"/>
      <c r="E504" s="13"/>
      <c r="F504" s="13"/>
      <c r="H504" s="24"/>
      <c r="J504" s="13"/>
      <c r="K504" s="13"/>
      <c r="M504" s="24"/>
      <c r="O504" s="13"/>
      <c r="P504" s="13"/>
    </row>
    <row r="505">
      <c r="C505" s="24"/>
      <c r="E505" s="13"/>
      <c r="F505" s="13"/>
      <c r="H505" s="24"/>
      <c r="J505" s="13"/>
      <c r="K505" s="13"/>
      <c r="M505" s="24"/>
      <c r="O505" s="13"/>
      <c r="P505" s="13"/>
    </row>
    <row r="506">
      <c r="C506" s="24"/>
      <c r="E506" s="13"/>
      <c r="F506" s="13"/>
      <c r="H506" s="24"/>
      <c r="J506" s="13"/>
      <c r="K506" s="13"/>
      <c r="M506" s="24"/>
      <c r="O506" s="13"/>
      <c r="P506" s="13"/>
    </row>
    <row r="507">
      <c r="C507" s="24"/>
      <c r="E507" s="13"/>
      <c r="F507" s="13"/>
      <c r="H507" s="24"/>
      <c r="J507" s="13"/>
      <c r="K507" s="13"/>
      <c r="M507" s="24"/>
      <c r="O507" s="13"/>
      <c r="P507" s="13"/>
    </row>
    <row r="508">
      <c r="C508" s="24"/>
      <c r="E508" s="13"/>
      <c r="F508" s="13"/>
      <c r="H508" s="24"/>
      <c r="J508" s="13"/>
      <c r="K508" s="13"/>
      <c r="M508" s="24"/>
      <c r="O508" s="13"/>
      <c r="P508" s="13"/>
    </row>
    <row r="509">
      <c r="C509" s="24"/>
      <c r="E509" s="13"/>
      <c r="F509" s="13"/>
      <c r="H509" s="24"/>
      <c r="J509" s="13"/>
      <c r="K509" s="13"/>
      <c r="M509" s="24"/>
      <c r="O509" s="13"/>
      <c r="P509" s="13"/>
    </row>
    <row r="510">
      <c r="C510" s="24"/>
      <c r="E510" s="13"/>
      <c r="F510" s="13"/>
      <c r="H510" s="24"/>
      <c r="J510" s="13"/>
      <c r="K510" s="13"/>
      <c r="M510" s="24"/>
      <c r="O510" s="13"/>
      <c r="P510" s="13"/>
    </row>
    <row r="511">
      <c r="C511" s="24"/>
      <c r="E511" s="13"/>
      <c r="F511" s="13"/>
      <c r="H511" s="24"/>
      <c r="J511" s="13"/>
      <c r="K511" s="13"/>
      <c r="M511" s="24"/>
      <c r="O511" s="13"/>
      <c r="P511" s="13"/>
    </row>
    <row r="512">
      <c r="C512" s="24"/>
      <c r="E512" s="13"/>
      <c r="F512" s="13"/>
      <c r="H512" s="24"/>
      <c r="J512" s="13"/>
      <c r="K512" s="13"/>
      <c r="M512" s="24"/>
      <c r="O512" s="13"/>
      <c r="P512" s="13"/>
    </row>
    <row r="513">
      <c r="C513" s="24"/>
      <c r="E513" s="13"/>
      <c r="F513" s="13"/>
      <c r="H513" s="24"/>
      <c r="J513" s="13"/>
      <c r="K513" s="13"/>
      <c r="M513" s="24"/>
      <c r="O513" s="13"/>
      <c r="P513" s="13"/>
    </row>
    <row r="514">
      <c r="C514" s="24"/>
      <c r="E514" s="13"/>
      <c r="F514" s="13"/>
      <c r="H514" s="24"/>
      <c r="J514" s="13"/>
      <c r="K514" s="13"/>
      <c r="M514" s="24"/>
      <c r="O514" s="13"/>
      <c r="P514" s="13"/>
    </row>
    <row r="515">
      <c r="C515" s="24"/>
      <c r="E515" s="13"/>
      <c r="F515" s="13"/>
      <c r="H515" s="24"/>
      <c r="J515" s="13"/>
      <c r="K515" s="13"/>
      <c r="M515" s="24"/>
      <c r="O515" s="13"/>
      <c r="P515" s="13"/>
    </row>
    <row r="516">
      <c r="C516" s="24"/>
      <c r="E516" s="13"/>
      <c r="F516" s="13"/>
      <c r="H516" s="24"/>
      <c r="J516" s="13"/>
      <c r="K516" s="13"/>
      <c r="M516" s="24"/>
      <c r="O516" s="13"/>
      <c r="P516" s="13"/>
    </row>
    <row r="517">
      <c r="C517" s="24"/>
      <c r="E517" s="13"/>
      <c r="F517" s="13"/>
      <c r="H517" s="24"/>
      <c r="J517" s="13"/>
      <c r="K517" s="13"/>
      <c r="M517" s="24"/>
      <c r="O517" s="13"/>
      <c r="P517" s="13"/>
    </row>
    <row r="518">
      <c r="C518" s="24"/>
      <c r="E518" s="13"/>
      <c r="F518" s="13"/>
      <c r="H518" s="24"/>
      <c r="J518" s="13"/>
      <c r="K518" s="13"/>
      <c r="M518" s="24"/>
      <c r="O518" s="13"/>
      <c r="P518" s="13"/>
    </row>
    <row r="519">
      <c r="C519" s="24"/>
      <c r="E519" s="13"/>
      <c r="F519" s="13"/>
      <c r="H519" s="24"/>
      <c r="J519" s="13"/>
      <c r="K519" s="13"/>
      <c r="M519" s="24"/>
      <c r="O519" s="13"/>
      <c r="P519" s="13"/>
    </row>
    <row r="520">
      <c r="C520" s="24"/>
      <c r="E520" s="13"/>
      <c r="F520" s="13"/>
      <c r="H520" s="24"/>
      <c r="J520" s="13"/>
      <c r="K520" s="13"/>
      <c r="M520" s="24"/>
      <c r="O520" s="13"/>
      <c r="P520" s="13"/>
    </row>
    <row r="521">
      <c r="C521" s="24"/>
      <c r="E521" s="13"/>
      <c r="F521" s="13"/>
      <c r="H521" s="24"/>
      <c r="J521" s="13"/>
      <c r="K521" s="13"/>
      <c r="M521" s="24"/>
      <c r="O521" s="13"/>
      <c r="P521" s="13"/>
    </row>
    <row r="522">
      <c r="C522" s="24"/>
      <c r="E522" s="13"/>
      <c r="F522" s="13"/>
      <c r="H522" s="24"/>
      <c r="J522" s="13"/>
      <c r="K522" s="13"/>
      <c r="M522" s="24"/>
      <c r="O522" s="13"/>
      <c r="P522" s="13"/>
    </row>
    <row r="523">
      <c r="C523" s="24"/>
      <c r="E523" s="13"/>
      <c r="F523" s="13"/>
      <c r="H523" s="24"/>
      <c r="J523" s="13"/>
      <c r="K523" s="13"/>
      <c r="M523" s="24"/>
      <c r="O523" s="13"/>
      <c r="P523" s="13"/>
    </row>
    <row r="524">
      <c r="C524" s="24"/>
      <c r="E524" s="13"/>
      <c r="F524" s="13"/>
      <c r="H524" s="24"/>
      <c r="J524" s="13"/>
      <c r="K524" s="13"/>
      <c r="M524" s="24"/>
      <c r="O524" s="13"/>
      <c r="P524" s="13"/>
    </row>
    <row r="525">
      <c r="C525" s="24"/>
      <c r="E525" s="13"/>
      <c r="F525" s="13"/>
      <c r="H525" s="24"/>
      <c r="J525" s="13"/>
      <c r="K525" s="13"/>
      <c r="M525" s="24"/>
      <c r="O525" s="13"/>
      <c r="P525" s="13"/>
    </row>
    <row r="526">
      <c r="C526" s="24"/>
      <c r="E526" s="13"/>
      <c r="F526" s="13"/>
      <c r="H526" s="24"/>
      <c r="J526" s="13"/>
      <c r="K526" s="13"/>
      <c r="M526" s="24"/>
      <c r="O526" s="13"/>
      <c r="P526" s="13"/>
    </row>
    <row r="527">
      <c r="C527" s="24"/>
      <c r="E527" s="13"/>
      <c r="F527" s="13"/>
      <c r="H527" s="24"/>
      <c r="J527" s="13"/>
      <c r="K527" s="13"/>
      <c r="M527" s="24"/>
      <c r="O527" s="13"/>
      <c r="P527" s="13"/>
    </row>
    <row r="528">
      <c r="C528" s="24"/>
      <c r="E528" s="13"/>
      <c r="F528" s="13"/>
      <c r="H528" s="24"/>
      <c r="J528" s="13"/>
      <c r="K528" s="13"/>
      <c r="M528" s="24"/>
      <c r="O528" s="13"/>
      <c r="P528" s="13"/>
    </row>
    <row r="529">
      <c r="C529" s="24"/>
      <c r="E529" s="13"/>
      <c r="F529" s="13"/>
      <c r="H529" s="24"/>
      <c r="J529" s="13"/>
      <c r="K529" s="13"/>
      <c r="M529" s="24"/>
      <c r="O529" s="13"/>
      <c r="P529" s="13"/>
    </row>
    <row r="530">
      <c r="C530" s="24"/>
      <c r="E530" s="13"/>
      <c r="F530" s="13"/>
      <c r="H530" s="24"/>
      <c r="J530" s="13"/>
      <c r="K530" s="13"/>
      <c r="M530" s="24"/>
      <c r="O530" s="13"/>
      <c r="P530" s="13"/>
    </row>
    <row r="531">
      <c r="C531" s="24"/>
      <c r="E531" s="13"/>
      <c r="F531" s="13"/>
      <c r="H531" s="24"/>
      <c r="J531" s="13"/>
      <c r="K531" s="13"/>
      <c r="M531" s="24"/>
      <c r="O531" s="13"/>
      <c r="P531" s="13"/>
    </row>
    <row r="532">
      <c r="C532" s="24"/>
      <c r="E532" s="13"/>
      <c r="F532" s="13"/>
      <c r="H532" s="24"/>
      <c r="J532" s="13"/>
      <c r="K532" s="13"/>
      <c r="M532" s="24"/>
      <c r="O532" s="13"/>
      <c r="P532" s="13"/>
    </row>
    <row r="533">
      <c r="C533" s="24"/>
      <c r="E533" s="13"/>
      <c r="F533" s="13"/>
      <c r="H533" s="24"/>
      <c r="J533" s="13"/>
      <c r="K533" s="13"/>
      <c r="M533" s="24"/>
      <c r="O533" s="13"/>
      <c r="P533" s="13"/>
    </row>
    <row r="534">
      <c r="C534" s="24"/>
      <c r="E534" s="13"/>
      <c r="F534" s="13"/>
      <c r="H534" s="24"/>
      <c r="J534" s="13"/>
      <c r="K534" s="13"/>
      <c r="M534" s="24"/>
      <c r="O534" s="13"/>
      <c r="P534" s="13"/>
    </row>
    <row r="535">
      <c r="C535" s="24"/>
      <c r="E535" s="13"/>
      <c r="F535" s="13"/>
      <c r="H535" s="24"/>
      <c r="J535" s="13"/>
      <c r="K535" s="13"/>
      <c r="M535" s="24"/>
      <c r="O535" s="13"/>
      <c r="P535" s="13"/>
    </row>
    <row r="536">
      <c r="C536" s="24"/>
      <c r="E536" s="13"/>
      <c r="F536" s="13"/>
      <c r="H536" s="24"/>
      <c r="J536" s="13"/>
      <c r="K536" s="13"/>
      <c r="M536" s="24"/>
      <c r="O536" s="13"/>
      <c r="P536" s="13"/>
    </row>
    <row r="537">
      <c r="C537" s="24"/>
      <c r="E537" s="13"/>
      <c r="F537" s="13"/>
      <c r="H537" s="24"/>
      <c r="J537" s="13"/>
      <c r="K537" s="13"/>
      <c r="M537" s="24"/>
      <c r="O537" s="13"/>
      <c r="P537" s="13"/>
    </row>
    <row r="538">
      <c r="C538" s="24"/>
      <c r="E538" s="13"/>
      <c r="F538" s="13"/>
      <c r="H538" s="24"/>
      <c r="J538" s="13"/>
      <c r="K538" s="13"/>
      <c r="M538" s="24"/>
      <c r="O538" s="13"/>
      <c r="P538" s="13"/>
    </row>
    <row r="539">
      <c r="C539" s="24"/>
      <c r="E539" s="13"/>
      <c r="F539" s="13"/>
      <c r="H539" s="24"/>
      <c r="J539" s="13"/>
      <c r="K539" s="13"/>
      <c r="M539" s="24"/>
      <c r="O539" s="13"/>
      <c r="P539" s="13"/>
    </row>
    <row r="540">
      <c r="C540" s="24"/>
      <c r="E540" s="13"/>
      <c r="F540" s="13"/>
      <c r="H540" s="24"/>
      <c r="J540" s="13"/>
      <c r="K540" s="13"/>
      <c r="M540" s="24"/>
      <c r="O540" s="13"/>
      <c r="P540" s="13"/>
    </row>
    <row r="541">
      <c r="C541" s="24"/>
      <c r="E541" s="13"/>
      <c r="F541" s="13"/>
      <c r="H541" s="24"/>
      <c r="J541" s="13"/>
      <c r="K541" s="13"/>
      <c r="M541" s="24"/>
      <c r="O541" s="13"/>
      <c r="P541" s="13"/>
    </row>
    <row r="542">
      <c r="C542" s="24"/>
      <c r="E542" s="13"/>
      <c r="F542" s="13"/>
      <c r="H542" s="24"/>
      <c r="J542" s="13"/>
      <c r="K542" s="13"/>
      <c r="M542" s="24"/>
      <c r="O542" s="13"/>
      <c r="P542" s="13"/>
    </row>
    <row r="543">
      <c r="C543" s="24"/>
      <c r="E543" s="13"/>
      <c r="F543" s="13"/>
      <c r="H543" s="24"/>
      <c r="J543" s="13"/>
      <c r="K543" s="13"/>
      <c r="M543" s="24"/>
      <c r="O543" s="13"/>
      <c r="P543" s="13"/>
    </row>
    <row r="544">
      <c r="C544" s="24"/>
      <c r="E544" s="13"/>
      <c r="F544" s="13"/>
      <c r="H544" s="24"/>
      <c r="J544" s="13"/>
      <c r="K544" s="13"/>
      <c r="M544" s="24"/>
      <c r="O544" s="13"/>
      <c r="P544" s="13"/>
    </row>
    <row r="545">
      <c r="C545" s="24"/>
      <c r="E545" s="13"/>
      <c r="F545" s="13"/>
      <c r="H545" s="24"/>
      <c r="J545" s="13"/>
      <c r="K545" s="13"/>
      <c r="M545" s="24"/>
      <c r="O545" s="13"/>
      <c r="P545" s="13"/>
    </row>
    <row r="546">
      <c r="C546" s="24"/>
      <c r="E546" s="13"/>
      <c r="F546" s="13"/>
      <c r="H546" s="24"/>
      <c r="J546" s="13"/>
      <c r="K546" s="13"/>
      <c r="M546" s="24"/>
      <c r="O546" s="13"/>
      <c r="P546" s="13"/>
    </row>
    <row r="547">
      <c r="C547" s="24"/>
      <c r="E547" s="13"/>
      <c r="F547" s="13"/>
      <c r="H547" s="24"/>
      <c r="J547" s="13"/>
      <c r="K547" s="13"/>
      <c r="M547" s="24"/>
      <c r="O547" s="13"/>
      <c r="P547" s="13"/>
    </row>
    <row r="548">
      <c r="C548" s="24"/>
      <c r="E548" s="13"/>
      <c r="F548" s="13"/>
      <c r="H548" s="24"/>
      <c r="J548" s="13"/>
      <c r="K548" s="13"/>
      <c r="M548" s="24"/>
      <c r="O548" s="13"/>
      <c r="P548" s="13"/>
    </row>
    <row r="549">
      <c r="C549" s="24"/>
      <c r="E549" s="13"/>
      <c r="F549" s="13"/>
      <c r="H549" s="24"/>
      <c r="J549" s="13"/>
      <c r="K549" s="13"/>
      <c r="M549" s="24"/>
      <c r="O549" s="13"/>
      <c r="P549" s="13"/>
    </row>
    <row r="550">
      <c r="C550" s="24"/>
      <c r="E550" s="13"/>
      <c r="F550" s="13"/>
      <c r="H550" s="24"/>
      <c r="J550" s="13"/>
      <c r="K550" s="13"/>
      <c r="M550" s="24"/>
      <c r="O550" s="13"/>
      <c r="P550" s="13"/>
    </row>
    <row r="551">
      <c r="C551" s="24"/>
      <c r="E551" s="13"/>
      <c r="F551" s="13"/>
      <c r="H551" s="24"/>
      <c r="J551" s="13"/>
      <c r="K551" s="13"/>
      <c r="M551" s="24"/>
      <c r="O551" s="13"/>
      <c r="P551" s="13"/>
    </row>
    <row r="552">
      <c r="C552" s="24"/>
      <c r="E552" s="13"/>
      <c r="F552" s="13"/>
      <c r="H552" s="24"/>
      <c r="J552" s="13"/>
      <c r="K552" s="13"/>
      <c r="M552" s="24"/>
      <c r="O552" s="13"/>
      <c r="P552" s="13"/>
    </row>
    <row r="553">
      <c r="C553" s="24"/>
      <c r="E553" s="13"/>
      <c r="F553" s="13"/>
      <c r="H553" s="24"/>
      <c r="J553" s="13"/>
      <c r="K553" s="13"/>
      <c r="M553" s="24"/>
      <c r="O553" s="13"/>
      <c r="P553" s="13"/>
    </row>
    <row r="554">
      <c r="C554" s="24"/>
      <c r="E554" s="13"/>
      <c r="F554" s="13"/>
      <c r="H554" s="24"/>
      <c r="J554" s="13"/>
      <c r="K554" s="13"/>
      <c r="M554" s="24"/>
      <c r="O554" s="13"/>
      <c r="P554" s="13"/>
    </row>
    <row r="555">
      <c r="C555" s="24"/>
      <c r="E555" s="13"/>
      <c r="F555" s="13"/>
      <c r="H555" s="24"/>
      <c r="J555" s="13"/>
      <c r="K555" s="13"/>
      <c r="M555" s="24"/>
      <c r="O555" s="13"/>
      <c r="P555" s="13"/>
    </row>
    <row r="556">
      <c r="C556" s="24"/>
      <c r="E556" s="13"/>
      <c r="F556" s="13"/>
      <c r="H556" s="24"/>
      <c r="J556" s="13"/>
      <c r="K556" s="13"/>
      <c r="M556" s="24"/>
      <c r="O556" s="13"/>
      <c r="P556" s="13"/>
    </row>
    <row r="557">
      <c r="C557" s="24"/>
      <c r="E557" s="13"/>
      <c r="F557" s="13"/>
      <c r="H557" s="24"/>
      <c r="J557" s="13"/>
      <c r="K557" s="13"/>
      <c r="M557" s="24"/>
      <c r="O557" s="13"/>
      <c r="P557" s="13"/>
    </row>
    <row r="558">
      <c r="C558" s="24"/>
      <c r="E558" s="13"/>
      <c r="F558" s="13"/>
      <c r="H558" s="24"/>
      <c r="J558" s="13"/>
      <c r="K558" s="13"/>
      <c r="M558" s="24"/>
      <c r="O558" s="13"/>
      <c r="P558" s="13"/>
    </row>
    <row r="559">
      <c r="C559" s="24"/>
      <c r="E559" s="13"/>
      <c r="F559" s="13"/>
      <c r="H559" s="24"/>
      <c r="J559" s="13"/>
      <c r="K559" s="13"/>
      <c r="M559" s="24"/>
      <c r="O559" s="13"/>
      <c r="P559" s="13"/>
    </row>
    <row r="560">
      <c r="C560" s="24"/>
      <c r="E560" s="13"/>
      <c r="F560" s="13"/>
      <c r="H560" s="24"/>
      <c r="J560" s="13"/>
      <c r="K560" s="13"/>
      <c r="M560" s="24"/>
      <c r="O560" s="13"/>
      <c r="P560" s="13"/>
    </row>
    <row r="561">
      <c r="C561" s="24"/>
      <c r="E561" s="13"/>
      <c r="F561" s="13"/>
      <c r="H561" s="24"/>
      <c r="J561" s="13"/>
      <c r="K561" s="13"/>
      <c r="M561" s="24"/>
      <c r="O561" s="13"/>
      <c r="P561" s="13"/>
    </row>
    <row r="562">
      <c r="C562" s="24"/>
      <c r="E562" s="13"/>
      <c r="F562" s="13"/>
      <c r="H562" s="24"/>
      <c r="J562" s="13"/>
      <c r="K562" s="13"/>
      <c r="M562" s="24"/>
      <c r="O562" s="13"/>
      <c r="P562" s="13"/>
    </row>
    <row r="563">
      <c r="C563" s="24"/>
      <c r="E563" s="13"/>
      <c r="F563" s="13"/>
      <c r="H563" s="24"/>
      <c r="J563" s="13"/>
      <c r="K563" s="13"/>
      <c r="M563" s="24"/>
      <c r="O563" s="13"/>
      <c r="P563" s="13"/>
    </row>
    <row r="564">
      <c r="C564" s="24"/>
      <c r="E564" s="13"/>
      <c r="F564" s="13"/>
      <c r="H564" s="24"/>
      <c r="J564" s="13"/>
      <c r="K564" s="13"/>
      <c r="M564" s="24"/>
      <c r="O564" s="13"/>
      <c r="P564" s="13"/>
    </row>
    <row r="565">
      <c r="C565" s="24"/>
      <c r="E565" s="13"/>
      <c r="F565" s="13"/>
      <c r="H565" s="24"/>
      <c r="J565" s="13"/>
      <c r="K565" s="13"/>
      <c r="M565" s="24"/>
      <c r="O565" s="13"/>
      <c r="P565" s="13"/>
    </row>
    <row r="566">
      <c r="C566" s="24"/>
      <c r="E566" s="13"/>
      <c r="F566" s="13"/>
      <c r="H566" s="24"/>
      <c r="J566" s="13"/>
      <c r="K566" s="13"/>
      <c r="M566" s="24"/>
      <c r="O566" s="13"/>
      <c r="P566" s="13"/>
    </row>
    <row r="567">
      <c r="C567" s="24"/>
      <c r="E567" s="13"/>
      <c r="F567" s="13"/>
      <c r="H567" s="24"/>
      <c r="J567" s="13"/>
      <c r="K567" s="13"/>
      <c r="M567" s="24"/>
      <c r="O567" s="13"/>
      <c r="P567" s="13"/>
    </row>
    <row r="568">
      <c r="C568" s="24"/>
      <c r="E568" s="13"/>
      <c r="F568" s="13"/>
      <c r="H568" s="24"/>
      <c r="J568" s="13"/>
      <c r="K568" s="13"/>
      <c r="M568" s="24"/>
      <c r="O568" s="13"/>
      <c r="P568" s="13"/>
    </row>
    <row r="569">
      <c r="C569" s="24"/>
      <c r="E569" s="13"/>
      <c r="F569" s="13"/>
      <c r="H569" s="24"/>
      <c r="J569" s="13"/>
      <c r="K569" s="13"/>
      <c r="M569" s="24"/>
      <c r="O569" s="13"/>
      <c r="P569" s="13"/>
    </row>
    <row r="570">
      <c r="C570" s="24"/>
      <c r="E570" s="13"/>
      <c r="F570" s="13"/>
      <c r="H570" s="24"/>
      <c r="J570" s="13"/>
      <c r="K570" s="13"/>
      <c r="M570" s="24"/>
      <c r="O570" s="13"/>
      <c r="P570" s="13"/>
    </row>
    <row r="571">
      <c r="C571" s="24"/>
      <c r="E571" s="13"/>
      <c r="F571" s="13"/>
      <c r="H571" s="24"/>
      <c r="J571" s="13"/>
      <c r="K571" s="13"/>
      <c r="M571" s="24"/>
      <c r="O571" s="13"/>
      <c r="P571" s="13"/>
    </row>
    <row r="572">
      <c r="C572" s="24"/>
      <c r="E572" s="13"/>
      <c r="F572" s="13"/>
      <c r="H572" s="24"/>
      <c r="J572" s="13"/>
      <c r="K572" s="13"/>
      <c r="M572" s="24"/>
      <c r="O572" s="13"/>
      <c r="P572" s="13"/>
    </row>
    <row r="573">
      <c r="C573" s="24"/>
      <c r="E573" s="13"/>
      <c r="F573" s="13"/>
      <c r="H573" s="24"/>
      <c r="J573" s="13"/>
      <c r="K573" s="13"/>
      <c r="M573" s="24"/>
      <c r="O573" s="13"/>
      <c r="P573" s="13"/>
    </row>
    <row r="574">
      <c r="C574" s="24"/>
      <c r="E574" s="13"/>
      <c r="F574" s="13"/>
      <c r="H574" s="24"/>
      <c r="J574" s="13"/>
      <c r="K574" s="13"/>
      <c r="M574" s="24"/>
      <c r="O574" s="13"/>
      <c r="P574" s="13"/>
    </row>
    <row r="575">
      <c r="C575" s="24"/>
      <c r="E575" s="13"/>
      <c r="F575" s="13"/>
      <c r="H575" s="24"/>
      <c r="J575" s="13"/>
      <c r="K575" s="13"/>
      <c r="M575" s="24"/>
      <c r="O575" s="13"/>
      <c r="P575" s="13"/>
    </row>
    <row r="576">
      <c r="C576" s="24"/>
      <c r="E576" s="13"/>
      <c r="F576" s="13"/>
      <c r="H576" s="24"/>
      <c r="J576" s="13"/>
      <c r="K576" s="13"/>
      <c r="M576" s="24"/>
      <c r="O576" s="13"/>
      <c r="P576" s="13"/>
    </row>
    <row r="577">
      <c r="C577" s="24"/>
      <c r="E577" s="13"/>
      <c r="F577" s="13"/>
      <c r="H577" s="24"/>
      <c r="J577" s="13"/>
      <c r="K577" s="13"/>
      <c r="M577" s="24"/>
      <c r="O577" s="13"/>
      <c r="P577" s="13"/>
    </row>
    <row r="578">
      <c r="C578" s="24"/>
      <c r="E578" s="13"/>
      <c r="F578" s="13"/>
      <c r="H578" s="24"/>
      <c r="J578" s="13"/>
      <c r="K578" s="13"/>
      <c r="M578" s="24"/>
      <c r="O578" s="13"/>
      <c r="P578" s="13"/>
    </row>
    <row r="579">
      <c r="C579" s="24"/>
      <c r="E579" s="13"/>
      <c r="F579" s="13"/>
      <c r="H579" s="24"/>
      <c r="J579" s="13"/>
      <c r="K579" s="13"/>
      <c r="M579" s="24"/>
      <c r="O579" s="13"/>
      <c r="P579" s="13"/>
    </row>
    <row r="580">
      <c r="C580" s="24"/>
      <c r="E580" s="13"/>
      <c r="F580" s="13"/>
      <c r="H580" s="24"/>
      <c r="J580" s="13"/>
      <c r="K580" s="13"/>
      <c r="M580" s="24"/>
      <c r="O580" s="13"/>
      <c r="P580" s="13"/>
    </row>
    <row r="581">
      <c r="C581" s="24"/>
      <c r="E581" s="13"/>
      <c r="F581" s="13"/>
      <c r="H581" s="24"/>
      <c r="J581" s="13"/>
      <c r="K581" s="13"/>
      <c r="M581" s="24"/>
      <c r="O581" s="13"/>
      <c r="P581" s="13"/>
    </row>
    <row r="582">
      <c r="C582" s="24"/>
      <c r="E582" s="13"/>
      <c r="F582" s="13"/>
      <c r="H582" s="24"/>
      <c r="J582" s="13"/>
      <c r="K582" s="13"/>
      <c r="M582" s="24"/>
      <c r="O582" s="13"/>
      <c r="P582" s="13"/>
    </row>
    <row r="583">
      <c r="C583" s="24"/>
      <c r="E583" s="13"/>
      <c r="F583" s="13"/>
      <c r="H583" s="24"/>
      <c r="J583" s="13"/>
      <c r="K583" s="13"/>
      <c r="M583" s="24"/>
      <c r="O583" s="13"/>
      <c r="P583" s="13"/>
    </row>
    <row r="584">
      <c r="C584" s="24"/>
      <c r="E584" s="13"/>
      <c r="F584" s="13"/>
      <c r="H584" s="24"/>
      <c r="J584" s="13"/>
      <c r="K584" s="13"/>
      <c r="M584" s="24"/>
      <c r="O584" s="13"/>
      <c r="P584" s="13"/>
    </row>
    <row r="585">
      <c r="C585" s="24"/>
      <c r="E585" s="13"/>
      <c r="F585" s="13"/>
      <c r="H585" s="24"/>
      <c r="J585" s="13"/>
      <c r="K585" s="13"/>
      <c r="M585" s="24"/>
      <c r="O585" s="13"/>
      <c r="P585" s="13"/>
    </row>
    <row r="586">
      <c r="C586" s="24"/>
      <c r="E586" s="13"/>
      <c r="F586" s="13"/>
      <c r="H586" s="24"/>
      <c r="J586" s="13"/>
      <c r="K586" s="13"/>
      <c r="M586" s="24"/>
      <c r="O586" s="13"/>
      <c r="P586" s="13"/>
    </row>
    <row r="587">
      <c r="C587" s="24"/>
      <c r="E587" s="13"/>
      <c r="F587" s="13"/>
      <c r="H587" s="24"/>
      <c r="J587" s="13"/>
      <c r="K587" s="13"/>
      <c r="M587" s="24"/>
      <c r="O587" s="13"/>
      <c r="P587" s="13"/>
    </row>
    <row r="588">
      <c r="C588" s="24"/>
      <c r="E588" s="13"/>
      <c r="F588" s="13"/>
      <c r="H588" s="24"/>
      <c r="J588" s="13"/>
      <c r="K588" s="13"/>
      <c r="M588" s="24"/>
      <c r="O588" s="13"/>
      <c r="P588" s="13"/>
    </row>
    <row r="589">
      <c r="C589" s="24"/>
      <c r="E589" s="13"/>
      <c r="F589" s="13"/>
      <c r="H589" s="24"/>
      <c r="J589" s="13"/>
      <c r="K589" s="13"/>
      <c r="M589" s="24"/>
      <c r="O589" s="13"/>
      <c r="P589" s="13"/>
    </row>
    <row r="590">
      <c r="C590" s="24"/>
      <c r="E590" s="13"/>
      <c r="F590" s="13"/>
      <c r="H590" s="24"/>
      <c r="J590" s="13"/>
      <c r="K590" s="13"/>
      <c r="M590" s="24"/>
      <c r="O590" s="13"/>
      <c r="P590" s="13"/>
    </row>
    <row r="591">
      <c r="C591" s="24"/>
      <c r="E591" s="13"/>
      <c r="F591" s="13"/>
      <c r="H591" s="24"/>
      <c r="J591" s="13"/>
      <c r="K591" s="13"/>
      <c r="M591" s="24"/>
      <c r="O591" s="13"/>
      <c r="P591" s="13"/>
    </row>
    <row r="592">
      <c r="C592" s="24"/>
      <c r="E592" s="13"/>
      <c r="F592" s="13"/>
      <c r="H592" s="24"/>
      <c r="J592" s="13"/>
      <c r="K592" s="13"/>
      <c r="M592" s="24"/>
      <c r="O592" s="13"/>
      <c r="P592" s="13"/>
    </row>
    <row r="593">
      <c r="C593" s="24"/>
      <c r="E593" s="13"/>
      <c r="F593" s="13"/>
      <c r="H593" s="24"/>
      <c r="J593" s="13"/>
      <c r="K593" s="13"/>
      <c r="M593" s="24"/>
      <c r="O593" s="13"/>
      <c r="P593" s="13"/>
    </row>
    <row r="594">
      <c r="C594" s="24"/>
      <c r="E594" s="13"/>
      <c r="F594" s="13"/>
      <c r="H594" s="24"/>
      <c r="J594" s="13"/>
      <c r="K594" s="13"/>
      <c r="M594" s="24"/>
      <c r="O594" s="13"/>
      <c r="P594" s="13"/>
    </row>
    <row r="595">
      <c r="C595" s="24"/>
      <c r="E595" s="13"/>
      <c r="F595" s="13"/>
      <c r="H595" s="24"/>
      <c r="J595" s="13"/>
      <c r="K595" s="13"/>
      <c r="M595" s="24"/>
      <c r="O595" s="13"/>
      <c r="P595" s="13"/>
    </row>
    <row r="596">
      <c r="C596" s="24"/>
      <c r="E596" s="13"/>
      <c r="F596" s="13"/>
      <c r="H596" s="24"/>
      <c r="J596" s="13"/>
      <c r="K596" s="13"/>
      <c r="M596" s="24"/>
      <c r="O596" s="13"/>
      <c r="P596" s="13"/>
    </row>
    <row r="597">
      <c r="C597" s="24"/>
      <c r="E597" s="13"/>
      <c r="F597" s="13"/>
      <c r="H597" s="24"/>
      <c r="J597" s="13"/>
      <c r="K597" s="13"/>
      <c r="M597" s="24"/>
      <c r="O597" s="13"/>
      <c r="P597" s="13"/>
    </row>
    <row r="598">
      <c r="C598" s="24"/>
      <c r="E598" s="13"/>
      <c r="F598" s="13"/>
      <c r="H598" s="24"/>
      <c r="J598" s="13"/>
      <c r="K598" s="13"/>
      <c r="M598" s="24"/>
      <c r="O598" s="13"/>
      <c r="P598" s="13"/>
    </row>
    <row r="599">
      <c r="C599" s="24"/>
      <c r="E599" s="13"/>
      <c r="F599" s="13"/>
      <c r="H599" s="24"/>
      <c r="J599" s="13"/>
      <c r="K599" s="13"/>
      <c r="M599" s="24"/>
      <c r="O599" s="13"/>
      <c r="P599" s="13"/>
    </row>
    <row r="600">
      <c r="C600" s="24"/>
      <c r="E600" s="13"/>
      <c r="F600" s="13"/>
      <c r="H600" s="24"/>
      <c r="J600" s="13"/>
      <c r="K600" s="13"/>
      <c r="M600" s="24"/>
      <c r="O600" s="13"/>
      <c r="P600" s="13"/>
    </row>
    <row r="601">
      <c r="C601" s="24"/>
      <c r="E601" s="13"/>
      <c r="F601" s="13"/>
      <c r="H601" s="24"/>
      <c r="J601" s="13"/>
      <c r="K601" s="13"/>
      <c r="M601" s="24"/>
      <c r="O601" s="13"/>
      <c r="P601" s="13"/>
    </row>
    <row r="602">
      <c r="C602" s="24"/>
      <c r="E602" s="13"/>
      <c r="F602" s="13"/>
      <c r="H602" s="24"/>
      <c r="J602" s="13"/>
      <c r="K602" s="13"/>
      <c r="M602" s="24"/>
      <c r="O602" s="13"/>
      <c r="P602" s="13"/>
    </row>
    <row r="603">
      <c r="C603" s="24"/>
      <c r="E603" s="13"/>
      <c r="F603" s="13"/>
      <c r="H603" s="24"/>
      <c r="J603" s="13"/>
      <c r="K603" s="13"/>
      <c r="M603" s="24"/>
      <c r="O603" s="13"/>
      <c r="P603" s="13"/>
    </row>
    <row r="604">
      <c r="C604" s="24"/>
      <c r="E604" s="13"/>
      <c r="F604" s="13"/>
      <c r="H604" s="24"/>
      <c r="J604" s="13"/>
      <c r="K604" s="13"/>
      <c r="M604" s="24"/>
      <c r="O604" s="13"/>
      <c r="P604" s="13"/>
    </row>
    <row r="605">
      <c r="C605" s="24"/>
      <c r="E605" s="13"/>
      <c r="F605" s="13"/>
      <c r="H605" s="24"/>
      <c r="J605" s="13"/>
      <c r="K605" s="13"/>
      <c r="M605" s="24"/>
      <c r="O605" s="13"/>
      <c r="P605" s="13"/>
    </row>
    <row r="606">
      <c r="C606" s="24"/>
      <c r="E606" s="13"/>
      <c r="F606" s="13"/>
      <c r="H606" s="24"/>
      <c r="J606" s="13"/>
      <c r="K606" s="13"/>
      <c r="M606" s="24"/>
      <c r="O606" s="13"/>
      <c r="P606" s="13"/>
    </row>
    <row r="607">
      <c r="C607" s="24"/>
      <c r="E607" s="13"/>
      <c r="F607" s="13"/>
      <c r="H607" s="24"/>
      <c r="J607" s="13"/>
      <c r="K607" s="13"/>
      <c r="M607" s="24"/>
      <c r="O607" s="13"/>
      <c r="P607" s="13"/>
    </row>
    <row r="608">
      <c r="C608" s="24"/>
      <c r="E608" s="13"/>
      <c r="F608" s="13"/>
      <c r="H608" s="24"/>
      <c r="J608" s="13"/>
      <c r="K608" s="13"/>
      <c r="M608" s="24"/>
      <c r="O608" s="13"/>
      <c r="P608" s="13"/>
    </row>
    <row r="609">
      <c r="C609" s="24"/>
      <c r="E609" s="13"/>
      <c r="F609" s="13"/>
      <c r="H609" s="24"/>
      <c r="J609" s="13"/>
      <c r="K609" s="13"/>
      <c r="M609" s="24"/>
      <c r="O609" s="13"/>
      <c r="P609" s="13"/>
    </row>
    <row r="610">
      <c r="C610" s="24"/>
      <c r="E610" s="13"/>
      <c r="F610" s="13"/>
      <c r="H610" s="24"/>
      <c r="J610" s="13"/>
      <c r="K610" s="13"/>
      <c r="M610" s="24"/>
      <c r="O610" s="13"/>
      <c r="P610" s="13"/>
    </row>
    <row r="611">
      <c r="C611" s="24"/>
      <c r="E611" s="13"/>
      <c r="F611" s="13"/>
      <c r="H611" s="24"/>
      <c r="J611" s="13"/>
      <c r="K611" s="13"/>
      <c r="M611" s="24"/>
      <c r="O611" s="13"/>
      <c r="P611" s="13"/>
    </row>
    <row r="612">
      <c r="C612" s="24"/>
      <c r="E612" s="13"/>
      <c r="F612" s="13"/>
      <c r="H612" s="24"/>
      <c r="J612" s="13"/>
      <c r="K612" s="13"/>
      <c r="M612" s="24"/>
      <c r="O612" s="13"/>
      <c r="P612" s="13"/>
    </row>
    <row r="613">
      <c r="C613" s="24"/>
      <c r="E613" s="13"/>
      <c r="F613" s="13"/>
      <c r="H613" s="24"/>
      <c r="J613" s="13"/>
      <c r="K613" s="13"/>
      <c r="M613" s="24"/>
      <c r="O613" s="13"/>
      <c r="P613" s="13"/>
    </row>
    <row r="614">
      <c r="C614" s="24"/>
      <c r="E614" s="13"/>
      <c r="F614" s="13"/>
      <c r="H614" s="24"/>
      <c r="J614" s="13"/>
      <c r="K614" s="13"/>
      <c r="M614" s="24"/>
      <c r="O614" s="13"/>
      <c r="P614" s="13"/>
    </row>
    <row r="615">
      <c r="C615" s="24"/>
      <c r="E615" s="13"/>
      <c r="F615" s="13"/>
      <c r="H615" s="24"/>
      <c r="J615" s="13"/>
      <c r="K615" s="13"/>
      <c r="M615" s="24"/>
      <c r="O615" s="13"/>
      <c r="P615" s="13"/>
    </row>
    <row r="616">
      <c r="C616" s="24"/>
      <c r="E616" s="13"/>
      <c r="F616" s="13"/>
      <c r="H616" s="24"/>
      <c r="J616" s="13"/>
      <c r="K616" s="13"/>
      <c r="M616" s="24"/>
      <c r="O616" s="13"/>
      <c r="P616" s="13"/>
    </row>
    <row r="617">
      <c r="C617" s="24"/>
      <c r="E617" s="13"/>
      <c r="F617" s="13"/>
      <c r="H617" s="24"/>
      <c r="J617" s="13"/>
      <c r="K617" s="13"/>
      <c r="M617" s="24"/>
      <c r="O617" s="13"/>
      <c r="P617" s="13"/>
    </row>
    <row r="618">
      <c r="C618" s="24"/>
      <c r="E618" s="13"/>
      <c r="F618" s="13"/>
      <c r="H618" s="24"/>
      <c r="J618" s="13"/>
      <c r="K618" s="13"/>
      <c r="M618" s="24"/>
      <c r="O618" s="13"/>
      <c r="P618" s="13"/>
    </row>
    <row r="619">
      <c r="C619" s="24"/>
      <c r="E619" s="13"/>
      <c r="F619" s="13"/>
      <c r="H619" s="24"/>
      <c r="J619" s="13"/>
      <c r="K619" s="13"/>
      <c r="M619" s="24"/>
      <c r="O619" s="13"/>
      <c r="P619" s="13"/>
    </row>
    <row r="620">
      <c r="C620" s="24"/>
      <c r="E620" s="13"/>
      <c r="F620" s="13"/>
      <c r="H620" s="24"/>
      <c r="J620" s="13"/>
      <c r="K620" s="13"/>
      <c r="M620" s="24"/>
      <c r="O620" s="13"/>
      <c r="P620" s="13"/>
    </row>
    <row r="621">
      <c r="C621" s="24"/>
      <c r="E621" s="13"/>
      <c r="F621" s="13"/>
      <c r="H621" s="24"/>
      <c r="J621" s="13"/>
      <c r="K621" s="13"/>
      <c r="M621" s="24"/>
      <c r="O621" s="13"/>
      <c r="P621" s="13"/>
    </row>
    <row r="622">
      <c r="C622" s="24"/>
      <c r="E622" s="13"/>
      <c r="F622" s="13"/>
      <c r="H622" s="24"/>
      <c r="J622" s="13"/>
      <c r="K622" s="13"/>
      <c r="M622" s="24"/>
      <c r="O622" s="13"/>
      <c r="P622" s="13"/>
    </row>
    <row r="623">
      <c r="C623" s="24"/>
      <c r="E623" s="13"/>
      <c r="F623" s="13"/>
      <c r="H623" s="24"/>
      <c r="J623" s="13"/>
      <c r="K623" s="13"/>
      <c r="M623" s="24"/>
      <c r="O623" s="13"/>
      <c r="P623" s="13"/>
    </row>
    <row r="624">
      <c r="C624" s="24"/>
      <c r="E624" s="13"/>
      <c r="F624" s="13"/>
      <c r="H624" s="24"/>
      <c r="J624" s="13"/>
      <c r="K624" s="13"/>
      <c r="M624" s="24"/>
      <c r="O624" s="13"/>
      <c r="P624" s="13"/>
    </row>
    <row r="625">
      <c r="C625" s="24"/>
      <c r="E625" s="13"/>
      <c r="F625" s="13"/>
      <c r="H625" s="24"/>
      <c r="J625" s="13"/>
      <c r="K625" s="13"/>
      <c r="M625" s="24"/>
      <c r="O625" s="13"/>
      <c r="P625" s="13"/>
    </row>
    <row r="626">
      <c r="C626" s="24"/>
      <c r="E626" s="13"/>
      <c r="F626" s="13"/>
      <c r="H626" s="24"/>
      <c r="J626" s="13"/>
      <c r="K626" s="13"/>
      <c r="M626" s="24"/>
      <c r="O626" s="13"/>
      <c r="P626" s="13"/>
    </row>
    <row r="627">
      <c r="C627" s="24"/>
      <c r="E627" s="13"/>
      <c r="F627" s="13"/>
      <c r="H627" s="24"/>
      <c r="J627" s="13"/>
      <c r="K627" s="13"/>
      <c r="M627" s="24"/>
      <c r="O627" s="13"/>
      <c r="P627" s="13"/>
    </row>
    <row r="628">
      <c r="C628" s="24"/>
      <c r="E628" s="13"/>
      <c r="F628" s="13"/>
      <c r="H628" s="24"/>
      <c r="J628" s="13"/>
      <c r="K628" s="13"/>
      <c r="M628" s="24"/>
      <c r="O628" s="13"/>
      <c r="P628" s="13"/>
    </row>
    <row r="629">
      <c r="C629" s="24"/>
      <c r="E629" s="13"/>
      <c r="F629" s="13"/>
      <c r="H629" s="24"/>
      <c r="J629" s="13"/>
      <c r="K629" s="13"/>
      <c r="M629" s="24"/>
      <c r="O629" s="13"/>
      <c r="P629" s="13"/>
    </row>
    <row r="630">
      <c r="C630" s="24"/>
      <c r="E630" s="13"/>
      <c r="F630" s="13"/>
      <c r="H630" s="24"/>
      <c r="J630" s="13"/>
      <c r="K630" s="13"/>
      <c r="M630" s="24"/>
      <c r="O630" s="13"/>
      <c r="P630" s="13"/>
    </row>
    <row r="631">
      <c r="C631" s="24"/>
      <c r="E631" s="13"/>
      <c r="F631" s="13"/>
      <c r="H631" s="24"/>
      <c r="J631" s="13"/>
      <c r="K631" s="13"/>
      <c r="M631" s="24"/>
      <c r="O631" s="13"/>
      <c r="P631" s="13"/>
    </row>
    <row r="632">
      <c r="C632" s="24"/>
      <c r="E632" s="13"/>
      <c r="F632" s="13"/>
      <c r="H632" s="24"/>
      <c r="J632" s="13"/>
      <c r="K632" s="13"/>
      <c r="M632" s="24"/>
      <c r="O632" s="13"/>
      <c r="P632" s="13"/>
    </row>
    <row r="633">
      <c r="C633" s="24"/>
      <c r="E633" s="13"/>
      <c r="F633" s="13"/>
      <c r="H633" s="24"/>
      <c r="J633" s="13"/>
      <c r="K633" s="13"/>
      <c r="M633" s="24"/>
      <c r="O633" s="13"/>
      <c r="P633" s="13"/>
    </row>
    <row r="634">
      <c r="C634" s="24"/>
      <c r="E634" s="13"/>
      <c r="F634" s="13"/>
      <c r="H634" s="24"/>
      <c r="J634" s="13"/>
      <c r="K634" s="13"/>
      <c r="M634" s="24"/>
      <c r="O634" s="13"/>
      <c r="P634" s="13"/>
    </row>
    <row r="635">
      <c r="C635" s="24"/>
      <c r="E635" s="13"/>
      <c r="F635" s="13"/>
      <c r="H635" s="24"/>
      <c r="J635" s="13"/>
      <c r="K635" s="13"/>
      <c r="M635" s="24"/>
      <c r="O635" s="13"/>
      <c r="P635" s="13"/>
    </row>
    <row r="636">
      <c r="C636" s="24"/>
      <c r="E636" s="13"/>
      <c r="F636" s="13"/>
      <c r="H636" s="24"/>
      <c r="J636" s="13"/>
      <c r="K636" s="13"/>
      <c r="M636" s="24"/>
      <c r="O636" s="13"/>
      <c r="P636" s="13"/>
    </row>
    <row r="637">
      <c r="C637" s="24"/>
      <c r="E637" s="13"/>
      <c r="F637" s="13"/>
      <c r="H637" s="24"/>
      <c r="J637" s="13"/>
      <c r="K637" s="13"/>
      <c r="M637" s="24"/>
      <c r="O637" s="13"/>
      <c r="P637" s="13"/>
    </row>
    <row r="638">
      <c r="C638" s="24"/>
      <c r="E638" s="13"/>
      <c r="F638" s="13"/>
      <c r="H638" s="24"/>
      <c r="J638" s="13"/>
      <c r="K638" s="13"/>
      <c r="M638" s="24"/>
      <c r="O638" s="13"/>
      <c r="P638" s="13"/>
    </row>
    <row r="639">
      <c r="C639" s="24"/>
      <c r="E639" s="13"/>
      <c r="F639" s="13"/>
      <c r="H639" s="24"/>
      <c r="J639" s="13"/>
      <c r="K639" s="13"/>
      <c r="M639" s="24"/>
      <c r="O639" s="13"/>
      <c r="P639" s="13"/>
    </row>
    <row r="640">
      <c r="C640" s="24"/>
      <c r="E640" s="13"/>
      <c r="F640" s="13"/>
      <c r="H640" s="24"/>
      <c r="J640" s="13"/>
      <c r="K640" s="13"/>
      <c r="M640" s="24"/>
      <c r="O640" s="13"/>
      <c r="P640" s="13"/>
    </row>
    <row r="641">
      <c r="C641" s="24"/>
      <c r="E641" s="13"/>
      <c r="F641" s="13"/>
      <c r="H641" s="24"/>
      <c r="J641" s="13"/>
      <c r="K641" s="13"/>
      <c r="M641" s="24"/>
      <c r="O641" s="13"/>
      <c r="P641" s="13"/>
    </row>
    <row r="642">
      <c r="C642" s="24"/>
      <c r="E642" s="13"/>
      <c r="F642" s="13"/>
      <c r="H642" s="24"/>
      <c r="J642" s="13"/>
      <c r="K642" s="13"/>
      <c r="M642" s="24"/>
      <c r="O642" s="13"/>
      <c r="P642" s="13"/>
    </row>
    <row r="643">
      <c r="C643" s="24"/>
      <c r="E643" s="13"/>
      <c r="F643" s="13"/>
      <c r="H643" s="24"/>
      <c r="J643" s="13"/>
      <c r="K643" s="13"/>
      <c r="M643" s="24"/>
      <c r="O643" s="13"/>
      <c r="P643" s="13"/>
    </row>
    <row r="644">
      <c r="C644" s="24"/>
      <c r="E644" s="13"/>
      <c r="F644" s="13"/>
      <c r="H644" s="24"/>
      <c r="J644" s="13"/>
      <c r="K644" s="13"/>
      <c r="M644" s="24"/>
      <c r="O644" s="13"/>
      <c r="P644" s="13"/>
    </row>
    <row r="645">
      <c r="C645" s="24"/>
      <c r="E645" s="13"/>
      <c r="F645" s="13"/>
      <c r="H645" s="24"/>
      <c r="J645" s="13"/>
      <c r="K645" s="13"/>
      <c r="M645" s="24"/>
      <c r="O645" s="13"/>
      <c r="P645" s="13"/>
    </row>
    <row r="646">
      <c r="C646" s="24"/>
      <c r="E646" s="13"/>
      <c r="F646" s="13"/>
      <c r="H646" s="24"/>
      <c r="J646" s="13"/>
      <c r="K646" s="13"/>
      <c r="M646" s="24"/>
      <c r="O646" s="13"/>
      <c r="P646" s="13"/>
    </row>
    <row r="647">
      <c r="C647" s="24"/>
      <c r="E647" s="13"/>
      <c r="F647" s="13"/>
      <c r="H647" s="24"/>
      <c r="J647" s="13"/>
      <c r="K647" s="13"/>
      <c r="M647" s="24"/>
      <c r="O647" s="13"/>
      <c r="P647" s="13"/>
    </row>
    <row r="648">
      <c r="C648" s="24"/>
      <c r="E648" s="13"/>
      <c r="F648" s="13"/>
      <c r="H648" s="24"/>
      <c r="J648" s="13"/>
      <c r="K648" s="13"/>
      <c r="M648" s="24"/>
      <c r="O648" s="13"/>
      <c r="P648" s="13"/>
    </row>
    <row r="649">
      <c r="C649" s="24"/>
      <c r="E649" s="13"/>
      <c r="F649" s="13"/>
      <c r="H649" s="24"/>
      <c r="J649" s="13"/>
      <c r="K649" s="13"/>
      <c r="M649" s="24"/>
      <c r="O649" s="13"/>
      <c r="P649" s="13"/>
    </row>
    <row r="650">
      <c r="C650" s="24"/>
      <c r="E650" s="13"/>
      <c r="F650" s="13"/>
      <c r="H650" s="24"/>
      <c r="J650" s="13"/>
      <c r="K650" s="13"/>
      <c r="M650" s="24"/>
      <c r="O650" s="13"/>
      <c r="P650" s="13"/>
    </row>
    <row r="651">
      <c r="C651" s="24"/>
      <c r="E651" s="13"/>
      <c r="F651" s="13"/>
      <c r="H651" s="24"/>
      <c r="J651" s="13"/>
      <c r="K651" s="13"/>
      <c r="M651" s="24"/>
      <c r="O651" s="13"/>
      <c r="P651" s="13"/>
    </row>
    <row r="652">
      <c r="C652" s="24"/>
      <c r="E652" s="13"/>
      <c r="F652" s="13"/>
      <c r="H652" s="24"/>
      <c r="J652" s="13"/>
      <c r="K652" s="13"/>
      <c r="M652" s="24"/>
      <c r="O652" s="13"/>
      <c r="P652" s="13"/>
    </row>
    <row r="653">
      <c r="C653" s="24"/>
      <c r="E653" s="13"/>
      <c r="F653" s="13"/>
      <c r="H653" s="24"/>
      <c r="J653" s="13"/>
      <c r="K653" s="13"/>
      <c r="M653" s="24"/>
      <c r="O653" s="13"/>
      <c r="P653" s="13"/>
    </row>
    <row r="654">
      <c r="C654" s="24"/>
      <c r="E654" s="13"/>
      <c r="F654" s="13"/>
      <c r="H654" s="24"/>
      <c r="J654" s="13"/>
      <c r="K654" s="13"/>
      <c r="M654" s="24"/>
      <c r="O654" s="13"/>
      <c r="P654" s="13"/>
    </row>
    <row r="655">
      <c r="C655" s="24"/>
      <c r="E655" s="13"/>
      <c r="F655" s="13"/>
      <c r="H655" s="24"/>
      <c r="J655" s="13"/>
      <c r="K655" s="13"/>
      <c r="M655" s="24"/>
      <c r="O655" s="13"/>
      <c r="P655" s="13"/>
    </row>
    <row r="656">
      <c r="C656" s="24"/>
      <c r="E656" s="13"/>
      <c r="F656" s="13"/>
      <c r="H656" s="24"/>
      <c r="J656" s="13"/>
      <c r="K656" s="13"/>
      <c r="M656" s="24"/>
      <c r="O656" s="13"/>
      <c r="P656" s="13"/>
    </row>
    <row r="657">
      <c r="C657" s="24"/>
      <c r="E657" s="13"/>
      <c r="F657" s="13"/>
      <c r="H657" s="24"/>
      <c r="J657" s="13"/>
      <c r="K657" s="13"/>
      <c r="M657" s="24"/>
      <c r="O657" s="13"/>
      <c r="P657" s="13"/>
    </row>
    <row r="658">
      <c r="C658" s="24"/>
      <c r="E658" s="13"/>
      <c r="F658" s="13"/>
      <c r="H658" s="24"/>
      <c r="J658" s="13"/>
      <c r="K658" s="13"/>
      <c r="M658" s="24"/>
      <c r="O658" s="13"/>
      <c r="P658" s="13"/>
    </row>
    <row r="659">
      <c r="C659" s="24"/>
      <c r="E659" s="13"/>
      <c r="F659" s="13"/>
      <c r="H659" s="24"/>
      <c r="J659" s="13"/>
      <c r="K659" s="13"/>
      <c r="M659" s="24"/>
      <c r="O659" s="13"/>
      <c r="P659" s="13"/>
    </row>
    <row r="660">
      <c r="C660" s="24"/>
      <c r="E660" s="13"/>
      <c r="F660" s="13"/>
      <c r="H660" s="24"/>
      <c r="J660" s="13"/>
      <c r="K660" s="13"/>
      <c r="M660" s="24"/>
      <c r="O660" s="13"/>
      <c r="P660" s="13"/>
    </row>
    <row r="661">
      <c r="C661" s="24"/>
      <c r="E661" s="13"/>
      <c r="F661" s="13"/>
      <c r="H661" s="24"/>
      <c r="J661" s="13"/>
      <c r="K661" s="13"/>
      <c r="M661" s="24"/>
      <c r="O661" s="13"/>
      <c r="P661" s="13"/>
    </row>
    <row r="662">
      <c r="C662" s="24"/>
      <c r="E662" s="13"/>
      <c r="F662" s="13"/>
      <c r="H662" s="24"/>
      <c r="J662" s="13"/>
      <c r="K662" s="13"/>
      <c r="M662" s="24"/>
      <c r="O662" s="13"/>
      <c r="P662" s="13"/>
    </row>
    <row r="663">
      <c r="C663" s="24"/>
      <c r="E663" s="13"/>
      <c r="F663" s="13"/>
      <c r="H663" s="24"/>
      <c r="J663" s="13"/>
      <c r="K663" s="13"/>
      <c r="M663" s="24"/>
      <c r="O663" s="13"/>
      <c r="P663" s="13"/>
    </row>
    <row r="664">
      <c r="C664" s="24"/>
      <c r="E664" s="13"/>
      <c r="F664" s="13"/>
      <c r="H664" s="24"/>
      <c r="J664" s="13"/>
      <c r="K664" s="13"/>
      <c r="M664" s="24"/>
      <c r="O664" s="13"/>
      <c r="P664" s="13"/>
    </row>
    <row r="665">
      <c r="C665" s="24"/>
      <c r="E665" s="13"/>
      <c r="F665" s="13"/>
      <c r="H665" s="24"/>
      <c r="J665" s="13"/>
      <c r="K665" s="13"/>
      <c r="M665" s="24"/>
      <c r="O665" s="13"/>
      <c r="P665" s="13"/>
    </row>
    <row r="666">
      <c r="C666" s="24"/>
      <c r="E666" s="13"/>
      <c r="F666" s="13"/>
      <c r="H666" s="24"/>
      <c r="J666" s="13"/>
      <c r="K666" s="13"/>
      <c r="M666" s="24"/>
      <c r="O666" s="13"/>
      <c r="P666" s="13"/>
    </row>
    <row r="667">
      <c r="C667" s="24"/>
      <c r="E667" s="13"/>
      <c r="F667" s="13"/>
      <c r="H667" s="24"/>
      <c r="J667" s="13"/>
      <c r="K667" s="13"/>
      <c r="M667" s="24"/>
      <c r="O667" s="13"/>
      <c r="P667" s="13"/>
    </row>
    <row r="668">
      <c r="C668" s="24"/>
      <c r="E668" s="13"/>
      <c r="F668" s="13"/>
      <c r="H668" s="24"/>
      <c r="J668" s="13"/>
      <c r="K668" s="13"/>
      <c r="M668" s="24"/>
      <c r="O668" s="13"/>
      <c r="P668" s="13"/>
    </row>
    <row r="669">
      <c r="C669" s="24"/>
      <c r="E669" s="13"/>
      <c r="F669" s="13"/>
      <c r="H669" s="24"/>
      <c r="J669" s="13"/>
      <c r="K669" s="13"/>
      <c r="M669" s="24"/>
      <c r="O669" s="13"/>
      <c r="P669" s="13"/>
    </row>
    <row r="670">
      <c r="C670" s="24"/>
      <c r="E670" s="13"/>
      <c r="F670" s="13"/>
      <c r="H670" s="24"/>
      <c r="J670" s="13"/>
      <c r="K670" s="13"/>
      <c r="M670" s="24"/>
      <c r="O670" s="13"/>
      <c r="P670" s="13"/>
    </row>
    <row r="671">
      <c r="C671" s="24"/>
      <c r="E671" s="13"/>
      <c r="F671" s="13"/>
      <c r="H671" s="24"/>
      <c r="J671" s="13"/>
      <c r="K671" s="13"/>
      <c r="M671" s="24"/>
      <c r="O671" s="13"/>
      <c r="P671" s="13"/>
    </row>
    <row r="672">
      <c r="C672" s="24"/>
      <c r="E672" s="13"/>
      <c r="F672" s="13"/>
      <c r="H672" s="24"/>
      <c r="J672" s="13"/>
      <c r="K672" s="13"/>
      <c r="M672" s="24"/>
      <c r="O672" s="13"/>
      <c r="P672" s="13"/>
    </row>
    <row r="673">
      <c r="C673" s="24"/>
      <c r="E673" s="13"/>
      <c r="F673" s="13"/>
      <c r="H673" s="24"/>
      <c r="J673" s="13"/>
      <c r="K673" s="13"/>
      <c r="M673" s="24"/>
      <c r="O673" s="13"/>
      <c r="P673" s="13"/>
    </row>
    <row r="674">
      <c r="C674" s="24"/>
      <c r="E674" s="13"/>
      <c r="F674" s="13"/>
      <c r="H674" s="24"/>
      <c r="J674" s="13"/>
      <c r="K674" s="13"/>
      <c r="M674" s="24"/>
      <c r="O674" s="13"/>
      <c r="P674" s="13"/>
    </row>
    <row r="675">
      <c r="C675" s="24"/>
      <c r="E675" s="13"/>
      <c r="F675" s="13"/>
      <c r="H675" s="24"/>
      <c r="J675" s="13"/>
      <c r="K675" s="13"/>
      <c r="M675" s="24"/>
      <c r="O675" s="13"/>
      <c r="P675" s="13"/>
    </row>
    <row r="676">
      <c r="C676" s="24"/>
      <c r="E676" s="13"/>
      <c r="F676" s="13"/>
      <c r="H676" s="24"/>
      <c r="J676" s="13"/>
      <c r="K676" s="13"/>
      <c r="M676" s="24"/>
      <c r="O676" s="13"/>
      <c r="P676" s="13"/>
    </row>
    <row r="677">
      <c r="C677" s="24"/>
      <c r="E677" s="13"/>
      <c r="F677" s="13"/>
      <c r="H677" s="24"/>
      <c r="J677" s="13"/>
      <c r="K677" s="13"/>
      <c r="M677" s="24"/>
      <c r="O677" s="13"/>
      <c r="P677" s="13"/>
    </row>
    <row r="678">
      <c r="C678" s="24"/>
      <c r="E678" s="13"/>
      <c r="F678" s="13"/>
      <c r="H678" s="24"/>
      <c r="J678" s="13"/>
      <c r="K678" s="13"/>
      <c r="M678" s="24"/>
      <c r="O678" s="13"/>
      <c r="P678" s="13"/>
    </row>
    <row r="679">
      <c r="C679" s="24"/>
      <c r="E679" s="13"/>
      <c r="F679" s="13"/>
      <c r="H679" s="24"/>
      <c r="J679" s="13"/>
      <c r="K679" s="13"/>
      <c r="M679" s="24"/>
      <c r="O679" s="13"/>
      <c r="P679" s="13"/>
    </row>
    <row r="680">
      <c r="C680" s="24"/>
      <c r="E680" s="13"/>
      <c r="F680" s="13"/>
      <c r="H680" s="24"/>
      <c r="J680" s="13"/>
      <c r="K680" s="13"/>
      <c r="M680" s="24"/>
      <c r="O680" s="13"/>
      <c r="P680" s="13"/>
    </row>
    <row r="681">
      <c r="C681" s="24"/>
      <c r="E681" s="13"/>
      <c r="F681" s="13"/>
      <c r="H681" s="24"/>
      <c r="J681" s="13"/>
      <c r="K681" s="13"/>
      <c r="M681" s="24"/>
      <c r="O681" s="13"/>
      <c r="P681" s="13"/>
    </row>
    <row r="682">
      <c r="C682" s="24"/>
      <c r="E682" s="13"/>
      <c r="F682" s="13"/>
      <c r="H682" s="24"/>
      <c r="J682" s="13"/>
      <c r="K682" s="13"/>
      <c r="M682" s="24"/>
      <c r="O682" s="13"/>
      <c r="P682" s="13"/>
    </row>
    <row r="683">
      <c r="C683" s="24"/>
      <c r="E683" s="13"/>
      <c r="F683" s="13"/>
      <c r="H683" s="24"/>
      <c r="J683" s="13"/>
      <c r="K683" s="13"/>
      <c r="M683" s="24"/>
      <c r="O683" s="13"/>
      <c r="P683" s="13"/>
    </row>
    <row r="684">
      <c r="C684" s="24"/>
      <c r="E684" s="13"/>
      <c r="F684" s="13"/>
      <c r="H684" s="24"/>
      <c r="J684" s="13"/>
      <c r="K684" s="13"/>
      <c r="M684" s="24"/>
      <c r="O684" s="13"/>
      <c r="P684" s="13"/>
    </row>
    <row r="685">
      <c r="C685" s="24"/>
      <c r="E685" s="13"/>
      <c r="F685" s="13"/>
      <c r="H685" s="24"/>
      <c r="J685" s="13"/>
      <c r="K685" s="13"/>
      <c r="M685" s="24"/>
      <c r="O685" s="13"/>
      <c r="P685" s="13"/>
    </row>
    <row r="686">
      <c r="C686" s="24"/>
      <c r="E686" s="13"/>
      <c r="F686" s="13"/>
      <c r="H686" s="24"/>
      <c r="J686" s="13"/>
      <c r="K686" s="13"/>
      <c r="M686" s="24"/>
      <c r="O686" s="13"/>
      <c r="P686" s="13"/>
    </row>
    <row r="687">
      <c r="C687" s="24"/>
      <c r="E687" s="13"/>
      <c r="F687" s="13"/>
      <c r="H687" s="24"/>
      <c r="J687" s="13"/>
      <c r="K687" s="13"/>
      <c r="M687" s="24"/>
      <c r="O687" s="13"/>
      <c r="P687" s="13"/>
    </row>
    <row r="688">
      <c r="C688" s="24"/>
      <c r="E688" s="13"/>
      <c r="F688" s="13"/>
      <c r="H688" s="24"/>
      <c r="J688" s="13"/>
      <c r="K688" s="13"/>
      <c r="M688" s="24"/>
      <c r="O688" s="13"/>
      <c r="P688" s="13"/>
    </row>
    <row r="689">
      <c r="C689" s="24"/>
      <c r="E689" s="13"/>
      <c r="F689" s="13"/>
      <c r="H689" s="24"/>
      <c r="J689" s="13"/>
      <c r="K689" s="13"/>
      <c r="M689" s="24"/>
      <c r="O689" s="13"/>
      <c r="P689" s="13"/>
    </row>
    <row r="690">
      <c r="C690" s="24"/>
      <c r="E690" s="13"/>
      <c r="F690" s="13"/>
      <c r="H690" s="24"/>
      <c r="J690" s="13"/>
      <c r="K690" s="13"/>
      <c r="M690" s="24"/>
      <c r="O690" s="13"/>
      <c r="P690" s="13"/>
    </row>
    <row r="691">
      <c r="C691" s="24"/>
      <c r="E691" s="13"/>
      <c r="F691" s="13"/>
      <c r="H691" s="24"/>
      <c r="J691" s="13"/>
      <c r="K691" s="13"/>
      <c r="M691" s="24"/>
      <c r="O691" s="13"/>
      <c r="P691" s="13"/>
    </row>
    <row r="692">
      <c r="C692" s="24"/>
      <c r="E692" s="13"/>
      <c r="F692" s="13"/>
      <c r="H692" s="24"/>
      <c r="J692" s="13"/>
      <c r="K692" s="13"/>
      <c r="M692" s="24"/>
      <c r="O692" s="13"/>
      <c r="P692" s="13"/>
    </row>
    <row r="693">
      <c r="C693" s="24"/>
      <c r="E693" s="13"/>
      <c r="F693" s="13"/>
      <c r="H693" s="24"/>
      <c r="J693" s="13"/>
      <c r="K693" s="13"/>
      <c r="M693" s="24"/>
      <c r="O693" s="13"/>
      <c r="P693" s="13"/>
    </row>
    <row r="694">
      <c r="C694" s="24"/>
      <c r="E694" s="13"/>
      <c r="F694" s="13"/>
      <c r="H694" s="24"/>
      <c r="J694" s="13"/>
      <c r="K694" s="13"/>
      <c r="M694" s="24"/>
      <c r="O694" s="13"/>
      <c r="P694" s="13"/>
    </row>
    <row r="695">
      <c r="C695" s="24"/>
      <c r="E695" s="13"/>
      <c r="F695" s="13"/>
      <c r="H695" s="24"/>
      <c r="J695" s="13"/>
      <c r="K695" s="13"/>
      <c r="M695" s="24"/>
      <c r="O695" s="13"/>
      <c r="P695" s="13"/>
    </row>
    <row r="696">
      <c r="C696" s="24"/>
      <c r="E696" s="13"/>
      <c r="F696" s="13"/>
      <c r="H696" s="24"/>
      <c r="J696" s="13"/>
      <c r="K696" s="13"/>
      <c r="M696" s="24"/>
      <c r="O696" s="13"/>
      <c r="P696" s="13"/>
    </row>
    <row r="697">
      <c r="C697" s="24"/>
      <c r="E697" s="13"/>
      <c r="F697" s="13"/>
      <c r="H697" s="24"/>
      <c r="J697" s="13"/>
      <c r="K697" s="13"/>
      <c r="M697" s="24"/>
      <c r="O697" s="13"/>
      <c r="P697" s="13"/>
    </row>
    <row r="698">
      <c r="C698" s="24"/>
      <c r="E698" s="13"/>
      <c r="F698" s="13"/>
      <c r="H698" s="24"/>
      <c r="J698" s="13"/>
      <c r="K698" s="13"/>
      <c r="M698" s="24"/>
      <c r="O698" s="13"/>
      <c r="P698" s="13"/>
    </row>
    <row r="699">
      <c r="C699" s="24"/>
      <c r="E699" s="13"/>
      <c r="F699" s="13"/>
      <c r="H699" s="24"/>
      <c r="J699" s="13"/>
      <c r="K699" s="13"/>
      <c r="M699" s="24"/>
      <c r="O699" s="13"/>
      <c r="P699" s="13"/>
    </row>
    <row r="700">
      <c r="C700" s="24"/>
      <c r="E700" s="13"/>
      <c r="F700" s="13"/>
      <c r="H700" s="24"/>
      <c r="J700" s="13"/>
      <c r="K700" s="13"/>
      <c r="M700" s="24"/>
      <c r="O700" s="13"/>
      <c r="P700" s="13"/>
    </row>
    <row r="701">
      <c r="C701" s="24"/>
      <c r="E701" s="13"/>
      <c r="F701" s="13"/>
      <c r="H701" s="24"/>
      <c r="J701" s="13"/>
      <c r="K701" s="13"/>
      <c r="M701" s="24"/>
      <c r="O701" s="13"/>
      <c r="P701" s="13"/>
    </row>
    <row r="702">
      <c r="C702" s="24"/>
      <c r="E702" s="13"/>
      <c r="F702" s="13"/>
      <c r="H702" s="24"/>
      <c r="J702" s="13"/>
      <c r="K702" s="13"/>
      <c r="M702" s="24"/>
      <c r="O702" s="13"/>
      <c r="P702" s="13"/>
    </row>
    <row r="703">
      <c r="C703" s="24"/>
      <c r="E703" s="13"/>
      <c r="F703" s="13"/>
      <c r="H703" s="24"/>
      <c r="J703" s="13"/>
      <c r="K703" s="13"/>
      <c r="M703" s="24"/>
      <c r="O703" s="13"/>
      <c r="P703" s="13"/>
    </row>
    <row r="704">
      <c r="C704" s="24"/>
      <c r="E704" s="13"/>
      <c r="F704" s="13"/>
      <c r="H704" s="24"/>
      <c r="J704" s="13"/>
      <c r="K704" s="13"/>
      <c r="M704" s="24"/>
      <c r="O704" s="13"/>
      <c r="P704" s="13"/>
    </row>
    <row r="705">
      <c r="C705" s="24"/>
      <c r="E705" s="13"/>
      <c r="F705" s="13"/>
      <c r="H705" s="24"/>
      <c r="J705" s="13"/>
      <c r="K705" s="13"/>
      <c r="M705" s="24"/>
      <c r="O705" s="13"/>
      <c r="P705" s="13"/>
    </row>
    <row r="706">
      <c r="C706" s="24"/>
      <c r="E706" s="13"/>
      <c r="F706" s="13"/>
      <c r="H706" s="24"/>
      <c r="J706" s="13"/>
      <c r="K706" s="13"/>
      <c r="M706" s="24"/>
      <c r="O706" s="13"/>
      <c r="P706" s="13"/>
    </row>
    <row r="707">
      <c r="C707" s="24"/>
      <c r="E707" s="13"/>
      <c r="F707" s="13"/>
      <c r="H707" s="24"/>
      <c r="J707" s="13"/>
      <c r="K707" s="13"/>
      <c r="M707" s="24"/>
      <c r="O707" s="13"/>
      <c r="P707" s="13"/>
    </row>
    <row r="708">
      <c r="C708" s="24"/>
      <c r="E708" s="13"/>
      <c r="F708" s="13"/>
      <c r="H708" s="24"/>
      <c r="J708" s="13"/>
      <c r="K708" s="13"/>
      <c r="M708" s="24"/>
      <c r="O708" s="13"/>
      <c r="P708" s="13"/>
    </row>
    <row r="709">
      <c r="C709" s="24"/>
      <c r="E709" s="13"/>
      <c r="F709" s="13"/>
      <c r="H709" s="24"/>
      <c r="J709" s="13"/>
      <c r="K709" s="13"/>
      <c r="M709" s="24"/>
      <c r="O709" s="13"/>
      <c r="P709" s="13"/>
    </row>
    <row r="710">
      <c r="C710" s="24"/>
      <c r="E710" s="13"/>
      <c r="F710" s="13"/>
      <c r="H710" s="24"/>
      <c r="J710" s="13"/>
      <c r="K710" s="13"/>
      <c r="M710" s="24"/>
      <c r="O710" s="13"/>
      <c r="P710" s="13"/>
    </row>
    <row r="711">
      <c r="C711" s="24"/>
      <c r="E711" s="13"/>
      <c r="F711" s="13"/>
      <c r="H711" s="24"/>
      <c r="J711" s="13"/>
      <c r="K711" s="13"/>
      <c r="M711" s="24"/>
      <c r="O711" s="13"/>
      <c r="P711" s="13"/>
    </row>
    <row r="712">
      <c r="C712" s="24"/>
      <c r="E712" s="13"/>
      <c r="F712" s="13"/>
      <c r="H712" s="24"/>
      <c r="J712" s="13"/>
      <c r="K712" s="13"/>
      <c r="M712" s="24"/>
      <c r="O712" s="13"/>
      <c r="P712" s="13"/>
    </row>
    <row r="713">
      <c r="C713" s="24"/>
      <c r="E713" s="13"/>
      <c r="F713" s="13"/>
      <c r="H713" s="24"/>
      <c r="J713" s="13"/>
      <c r="K713" s="13"/>
      <c r="M713" s="24"/>
      <c r="O713" s="13"/>
      <c r="P713" s="13"/>
    </row>
    <row r="714">
      <c r="C714" s="24"/>
      <c r="E714" s="13"/>
      <c r="F714" s="13"/>
      <c r="H714" s="24"/>
      <c r="J714" s="13"/>
      <c r="K714" s="13"/>
      <c r="M714" s="24"/>
      <c r="O714" s="13"/>
      <c r="P714" s="13"/>
    </row>
    <row r="715">
      <c r="C715" s="24"/>
      <c r="E715" s="13"/>
      <c r="F715" s="13"/>
      <c r="H715" s="24"/>
      <c r="J715" s="13"/>
      <c r="K715" s="13"/>
      <c r="M715" s="24"/>
      <c r="O715" s="13"/>
      <c r="P715" s="13"/>
    </row>
    <row r="716">
      <c r="C716" s="24"/>
      <c r="E716" s="13"/>
      <c r="F716" s="13"/>
      <c r="H716" s="24"/>
      <c r="J716" s="13"/>
      <c r="K716" s="13"/>
      <c r="M716" s="24"/>
      <c r="O716" s="13"/>
      <c r="P716" s="13"/>
    </row>
    <row r="717">
      <c r="C717" s="24"/>
      <c r="E717" s="13"/>
      <c r="F717" s="13"/>
      <c r="H717" s="24"/>
      <c r="J717" s="13"/>
      <c r="K717" s="13"/>
      <c r="M717" s="24"/>
      <c r="O717" s="13"/>
      <c r="P717" s="13"/>
    </row>
    <row r="718">
      <c r="C718" s="24"/>
      <c r="E718" s="13"/>
      <c r="F718" s="13"/>
      <c r="H718" s="24"/>
      <c r="J718" s="13"/>
      <c r="K718" s="13"/>
      <c r="M718" s="24"/>
      <c r="O718" s="13"/>
      <c r="P718" s="13"/>
    </row>
    <row r="719">
      <c r="C719" s="24"/>
      <c r="E719" s="13"/>
      <c r="F719" s="13"/>
      <c r="H719" s="24"/>
      <c r="J719" s="13"/>
      <c r="K719" s="13"/>
      <c r="M719" s="24"/>
      <c r="O719" s="13"/>
      <c r="P719" s="13"/>
    </row>
    <row r="720">
      <c r="C720" s="24"/>
      <c r="E720" s="13"/>
      <c r="F720" s="13"/>
      <c r="H720" s="24"/>
      <c r="J720" s="13"/>
      <c r="K720" s="13"/>
      <c r="M720" s="24"/>
      <c r="O720" s="13"/>
      <c r="P720" s="13"/>
    </row>
    <row r="721">
      <c r="C721" s="24"/>
      <c r="E721" s="13"/>
      <c r="F721" s="13"/>
      <c r="H721" s="24"/>
      <c r="J721" s="13"/>
      <c r="K721" s="13"/>
      <c r="M721" s="24"/>
      <c r="O721" s="13"/>
      <c r="P721" s="13"/>
    </row>
    <row r="722">
      <c r="C722" s="24"/>
      <c r="E722" s="13"/>
      <c r="F722" s="13"/>
      <c r="H722" s="24"/>
      <c r="J722" s="13"/>
      <c r="K722" s="13"/>
      <c r="M722" s="24"/>
      <c r="O722" s="13"/>
      <c r="P722" s="13"/>
    </row>
    <row r="723">
      <c r="C723" s="24"/>
      <c r="E723" s="13"/>
      <c r="F723" s="13"/>
      <c r="H723" s="24"/>
      <c r="J723" s="13"/>
      <c r="K723" s="13"/>
      <c r="M723" s="24"/>
      <c r="O723" s="13"/>
      <c r="P723" s="13"/>
    </row>
    <row r="724">
      <c r="C724" s="24"/>
      <c r="E724" s="13"/>
      <c r="F724" s="13"/>
      <c r="H724" s="24"/>
      <c r="J724" s="13"/>
      <c r="K724" s="13"/>
      <c r="M724" s="24"/>
      <c r="O724" s="13"/>
      <c r="P724" s="13"/>
    </row>
    <row r="725">
      <c r="C725" s="24"/>
      <c r="E725" s="13"/>
      <c r="F725" s="13"/>
      <c r="H725" s="24"/>
      <c r="J725" s="13"/>
      <c r="K725" s="13"/>
      <c r="M725" s="24"/>
      <c r="O725" s="13"/>
      <c r="P725" s="13"/>
    </row>
    <row r="726">
      <c r="C726" s="24"/>
      <c r="E726" s="13"/>
      <c r="F726" s="13"/>
      <c r="H726" s="24"/>
      <c r="J726" s="13"/>
      <c r="K726" s="13"/>
      <c r="M726" s="24"/>
      <c r="O726" s="13"/>
      <c r="P726" s="13"/>
    </row>
    <row r="727">
      <c r="C727" s="24"/>
      <c r="E727" s="13"/>
      <c r="F727" s="13"/>
      <c r="H727" s="24"/>
      <c r="J727" s="13"/>
      <c r="K727" s="13"/>
      <c r="M727" s="24"/>
      <c r="O727" s="13"/>
      <c r="P727" s="13"/>
    </row>
    <row r="728">
      <c r="C728" s="24"/>
      <c r="E728" s="13"/>
      <c r="F728" s="13"/>
      <c r="H728" s="24"/>
      <c r="J728" s="13"/>
      <c r="K728" s="13"/>
      <c r="M728" s="24"/>
      <c r="O728" s="13"/>
      <c r="P728" s="13"/>
    </row>
    <row r="729">
      <c r="C729" s="24"/>
      <c r="E729" s="13"/>
      <c r="F729" s="13"/>
      <c r="H729" s="24"/>
      <c r="J729" s="13"/>
      <c r="K729" s="13"/>
      <c r="M729" s="24"/>
      <c r="O729" s="13"/>
      <c r="P729" s="13"/>
    </row>
    <row r="730">
      <c r="C730" s="24"/>
      <c r="E730" s="13"/>
      <c r="F730" s="13"/>
      <c r="H730" s="24"/>
      <c r="J730" s="13"/>
      <c r="K730" s="13"/>
      <c r="M730" s="24"/>
      <c r="O730" s="13"/>
      <c r="P730" s="13"/>
    </row>
    <row r="731">
      <c r="C731" s="24"/>
      <c r="E731" s="13"/>
      <c r="F731" s="13"/>
      <c r="H731" s="24"/>
      <c r="J731" s="13"/>
      <c r="K731" s="13"/>
      <c r="M731" s="24"/>
      <c r="O731" s="13"/>
      <c r="P731" s="13"/>
    </row>
    <row r="732">
      <c r="C732" s="24"/>
      <c r="E732" s="13"/>
      <c r="F732" s="13"/>
      <c r="H732" s="24"/>
      <c r="J732" s="13"/>
      <c r="K732" s="13"/>
      <c r="M732" s="24"/>
      <c r="O732" s="13"/>
      <c r="P732" s="13"/>
    </row>
    <row r="733">
      <c r="C733" s="24"/>
      <c r="E733" s="13"/>
      <c r="F733" s="13"/>
      <c r="H733" s="24"/>
      <c r="J733" s="13"/>
      <c r="K733" s="13"/>
      <c r="M733" s="24"/>
      <c r="O733" s="13"/>
      <c r="P733" s="13"/>
    </row>
    <row r="734">
      <c r="C734" s="24"/>
      <c r="E734" s="13"/>
      <c r="F734" s="13"/>
      <c r="H734" s="24"/>
      <c r="J734" s="13"/>
      <c r="K734" s="13"/>
      <c r="M734" s="24"/>
      <c r="O734" s="13"/>
      <c r="P734" s="13"/>
    </row>
    <row r="735">
      <c r="C735" s="24"/>
      <c r="E735" s="13"/>
      <c r="F735" s="13"/>
      <c r="H735" s="24"/>
      <c r="J735" s="13"/>
      <c r="K735" s="13"/>
      <c r="M735" s="24"/>
      <c r="O735" s="13"/>
      <c r="P735" s="13"/>
    </row>
    <row r="736">
      <c r="C736" s="24"/>
      <c r="E736" s="13"/>
      <c r="F736" s="13"/>
      <c r="H736" s="24"/>
      <c r="J736" s="13"/>
      <c r="K736" s="13"/>
      <c r="M736" s="24"/>
      <c r="O736" s="13"/>
      <c r="P736" s="13"/>
    </row>
    <row r="737">
      <c r="C737" s="24"/>
      <c r="E737" s="13"/>
      <c r="F737" s="13"/>
      <c r="H737" s="24"/>
      <c r="J737" s="13"/>
      <c r="K737" s="13"/>
      <c r="M737" s="24"/>
      <c r="O737" s="13"/>
      <c r="P737" s="13"/>
    </row>
    <row r="738">
      <c r="C738" s="24"/>
      <c r="E738" s="13"/>
      <c r="F738" s="13"/>
      <c r="H738" s="24"/>
      <c r="J738" s="13"/>
      <c r="K738" s="13"/>
      <c r="M738" s="24"/>
      <c r="O738" s="13"/>
      <c r="P738" s="13"/>
    </row>
    <row r="739">
      <c r="C739" s="24"/>
      <c r="E739" s="13"/>
      <c r="F739" s="13"/>
      <c r="H739" s="24"/>
      <c r="J739" s="13"/>
      <c r="K739" s="13"/>
      <c r="M739" s="24"/>
      <c r="O739" s="13"/>
      <c r="P739" s="13"/>
    </row>
    <row r="740">
      <c r="C740" s="24"/>
      <c r="E740" s="13"/>
      <c r="F740" s="13"/>
      <c r="H740" s="24"/>
      <c r="J740" s="13"/>
      <c r="K740" s="13"/>
      <c r="M740" s="24"/>
      <c r="O740" s="13"/>
      <c r="P740" s="13"/>
    </row>
    <row r="741">
      <c r="C741" s="24"/>
      <c r="E741" s="13"/>
      <c r="F741" s="13"/>
      <c r="H741" s="24"/>
      <c r="J741" s="13"/>
      <c r="K741" s="13"/>
      <c r="M741" s="24"/>
      <c r="O741" s="13"/>
      <c r="P741" s="13"/>
    </row>
    <row r="742">
      <c r="C742" s="24"/>
      <c r="E742" s="13"/>
      <c r="F742" s="13"/>
      <c r="H742" s="24"/>
      <c r="J742" s="13"/>
      <c r="K742" s="13"/>
      <c r="M742" s="24"/>
      <c r="O742" s="13"/>
      <c r="P742" s="13"/>
    </row>
    <row r="743">
      <c r="C743" s="24"/>
      <c r="E743" s="13"/>
      <c r="F743" s="13"/>
      <c r="H743" s="24"/>
      <c r="J743" s="13"/>
      <c r="K743" s="13"/>
      <c r="M743" s="24"/>
      <c r="O743" s="13"/>
      <c r="P743" s="13"/>
    </row>
    <row r="744">
      <c r="C744" s="24"/>
      <c r="E744" s="13"/>
      <c r="F744" s="13"/>
      <c r="H744" s="24"/>
      <c r="J744" s="13"/>
      <c r="K744" s="13"/>
      <c r="M744" s="24"/>
      <c r="O744" s="13"/>
      <c r="P744" s="13"/>
    </row>
    <row r="745">
      <c r="C745" s="24"/>
      <c r="E745" s="13"/>
      <c r="F745" s="13"/>
      <c r="H745" s="24"/>
      <c r="J745" s="13"/>
      <c r="K745" s="13"/>
      <c r="M745" s="24"/>
      <c r="O745" s="13"/>
      <c r="P745" s="13"/>
    </row>
    <row r="746">
      <c r="C746" s="24"/>
      <c r="E746" s="13"/>
      <c r="F746" s="13"/>
      <c r="H746" s="24"/>
      <c r="J746" s="13"/>
      <c r="K746" s="13"/>
      <c r="M746" s="24"/>
      <c r="O746" s="13"/>
      <c r="P746" s="13"/>
    </row>
    <row r="747">
      <c r="C747" s="24"/>
      <c r="E747" s="13"/>
      <c r="F747" s="13"/>
      <c r="H747" s="24"/>
      <c r="J747" s="13"/>
      <c r="K747" s="13"/>
      <c r="M747" s="24"/>
      <c r="O747" s="13"/>
      <c r="P747" s="13"/>
    </row>
    <row r="748">
      <c r="C748" s="24"/>
      <c r="E748" s="13"/>
      <c r="F748" s="13"/>
      <c r="H748" s="24"/>
      <c r="J748" s="13"/>
      <c r="K748" s="13"/>
      <c r="M748" s="24"/>
      <c r="O748" s="13"/>
      <c r="P748" s="13"/>
    </row>
    <row r="749">
      <c r="C749" s="24"/>
      <c r="E749" s="13"/>
      <c r="F749" s="13"/>
      <c r="H749" s="24"/>
      <c r="J749" s="13"/>
      <c r="K749" s="13"/>
      <c r="M749" s="24"/>
      <c r="O749" s="13"/>
      <c r="P749" s="13"/>
    </row>
    <row r="750">
      <c r="C750" s="24"/>
      <c r="E750" s="13"/>
      <c r="F750" s="13"/>
      <c r="H750" s="24"/>
      <c r="J750" s="13"/>
      <c r="K750" s="13"/>
      <c r="M750" s="24"/>
      <c r="O750" s="13"/>
      <c r="P750" s="13"/>
    </row>
    <row r="751">
      <c r="C751" s="24"/>
      <c r="E751" s="13"/>
      <c r="F751" s="13"/>
      <c r="H751" s="24"/>
      <c r="J751" s="13"/>
      <c r="K751" s="13"/>
      <c r="M751" s="24"/>
      <c r="O751" s="13"/>
      <c r="P751" s="13"/>
    </row>
    <row r="752">
      <c r="C752" s="24"/>
      <c r="E752" s="13"/>
      <c r="F752" s="13"/>
      <c r="H752" s="24"/>
      <c r="J752" s="13"/>
      <c r="K752" s="13"/>
      <c r="M752" s="24"/>
      <c r="O752" s="13"/>
      <c r="P752" s="13"/>
    </row>
    <row r="753">
      <c r="C753" s="24"/>
      <c r="E753" s="13"/>
      <c r="F753" s="13"/>
      <c r="H753" s="24"/>
      <c r="J753" s="13"/>
      <c r="K753" s="13"/>
      <c r="M753" s="24"/>
      <c r="O753" s="13"/>
      <c r="P753" s="13"/>
    </row>
    <row r="754">
      <c r="C754" s="24"/>
      <c r="E754" s="13"/>
      <c r="F754" s="13"/>
      <c r="H754" s="24"/>
      <c r="J754" s="13"/>
      <c r="K754" s="13"/>
      <c r="M754" s="24"/>
      <c r="O754" s="13"/>
      <c r="P754" s="13"/>
    </row>
    <row r="755">
      <c r="C755" s="24"/>
      <c r="E755" s="13"/>
      <c r="F755" s="13"/>
      <c r="H755" s="24"/>
      <c r="J755" s="13"/>
      <c r="K755" s="13"/>
      <c r="M755" s="24"/>
      <c r="O755" s="13"/>
      <c r="P755" s="13"/>
    </row>
    <row r="756">
      <c r="C756" s="24"/>
      <c r="E756" s="13"/>
      <c r="F756" s="13"/>
      <c r="H756" s="24"/>
      <c r="J756" s="13"/>
      <c r="K756" s="13"/>
      <c r="M756" s="24"/>
      <c r="O756" s="13"/>
      <c r="P756" s="13"/>
    </row>
    <row r="757">
      <c r="C757" s="24"/>
      <c r="E757" s="13"/>
      <c r="F757" s="13"/>
      <c r="H757" s="24"/>
      <c r="J757" s="13"/>
      <c r="K757" s="13"/>
      <c r="M757" s="24"/>
      <c r="O757" s="13"/>
      <c r="P757" s="13"/>
    </row>
    <row r="758">
      <c r="C758" s="24"/>
      <c r="E758" s="13"/>
      <c r="F758" s="13"/>
      <c r="H758" s="24"/>
      <c r="J758" s="13"/>
      <c r="K758" s="13"/>
      <c r="M758" s="24"/>
      <c r="O758" s="13"/>
      <c r="P758" s="13"/>
    </row>
    <row r="759">
      <c r="C759" s="24"/>
      <c r="E759" s="13"/>
      <c r="F759" s="13"/>
      <c r="H759" s="24"/>
      <c r="J759" s="13"/>
      <c r="K759" s="13"/>
      <c r="M759" s="24"/>
      <c r="O759" s="13"/>
      <c r="P759" s="13"/>
    </row>
    <row r="760">
      <c r="C760" s="24"/>
      <c r="E760" s="13"/>
      <c r="F760" s="13"/>
      <c r="H760" s="24"/>
      <c r="J760" s="13"/>
      <c r="K760" s="13"/>
      <c r="M760" s="24"/>
      <c r="O760" s="13"/>
      <c r="P760" s="13"/>
    </row>
    <row r="761">
      <c r="C761" s="24"/>
      <c r="E761" s="13"/>
      <c r="F761" s="13"/>
      <c r="H761" s="24"/>
      <c r="J761" s="13"/>
      <c r="K761" s="13"/>
      <c r="M761" s="24"/>
      <c r="O761" s="13"/>
      <c r="P761" s="13"/>
    </row>
    <row r="762">
      <c r="C762" s="24"/>
      <c r="E762" s="13"/>
      <c r="F762" s="13"/>
      <c r="H762" s="24"/>
      <c r="J762" s="13"/>
      <c r="K762" s="13"/>
      <c r="M762" s="24"/>
      <c r="O762" s="13"/>
      <c r="P762" s="13"/>
    </row>
    <row r="763">
      <c r="C763" s="24"/>
      <c r="E763" s="13"/>
      <c r="F763" s="13"/>
      <c r="H763" s="24"/>
      <c r="J763" s="13"/>
      <c r="K763" s="13"/>
      <c r="M763" s="24"/>
      <c r="O763" s="13"/>
      <c r="P763" s="13"/>
    </row>
    <row r="764">
      <c r="C764" s="24"/>
      <c r="E764" s="13"/>
      <c r="F764" s="13"/>
      <c r="H764" s="24"/>
      <c r="J764" s="13"/>
      <c r="K764" s="13"/>
      <c r="M764" s="24"/>
      <c r="O764" s="13"/>
      <c r="P764" s="13"/>
    </row>
    <row r="765">
      <c r="C765" s="24"/>
      <c r="E765" s="13"/>
      <c r="F765" s="13"/>
      <c r="H765" s="24"/>
      <c r="J765" s="13"/>
      <c r="K765" s="13"/>
      <c r="M765" s="24"/>
      <c r="O765" s="13"/>
      <c r="P765" s="13"/>
    </row>
    <row r="766">
      <c r="C766" s="24"/>
      <c r="E766" s="13"/>
      <c r="F766" s="13"/>
      <c r="H766" s="24"/>
      <c r="J766" s="13"/>
      <c r="K766" s="13"/>
      <c r="M766" s="24"/>
      <c r="O766" s="13"/>
      <c r="P766" s="13"/>
    </row>
    <row r="767">
      <c r="C767" s="24"/>
      <c r="E767" s="13"/>
      <c r="F767" s="13"/>
      <c r="H767" s="24"/>
      <c r="J767" s="13"/>
      <c r="K767" s="13"/>
      <c r="M767" s="24"/>
      <c r="O767" s="13"/>
      <c r="P767" s="13"/>
    </row>
    <row r="768">
      <c r="C768" s="24"/>
      <c r="E768" s="13"/>
      <c r="F768" s="13"/>
      <c r="H768" s="24"/>
      <c r="J768" s="13"/>
      <c r="K768" s="13"/>
      <c r="M768" s="24"/>
      <c r="O768" s="13"/>
      <c r="P768" s="13"/>
    </row>
    <row r="769">
      <c r="C769" s="24"/>
      <c r="E769" s="13"/>
      <c r="F769" s="13"/>
      <c r="H769" s="24"/>
      <c r="J769" s="13"/>
      <c r="K769" s="13"/>
      <c r="M769" s="24"/>
      <c r="O769" s="13"/>
      <c r="P769" s="13"/>
    </row>
    <row r="770">
      <c r="C770" s="24"/>
      <c r="E770" s="13"/>
      <c r="F770" s="13"/>
      <c r="H770" s="24"/>
      <c r="J770" s="13"/>
      <c r="K770" s="13"/>
      <c r="M770" s="24"/>
      <c r="O770" s="13"/>
      <c r="P770" s="13"/>
    </row>
    <row r="771">
      <c r="C771" s="24"/>
      <c r="E771" s="13"/>
      <c r="F771" s="13"/>
      <c r="H771" s="24"/>
      <c r="J771" s="13"/>
      <c r="K771" s="13"/>
      <c r="M771" s="24"/>
      <c r="O771" s="13"/>
      <c r="P771" s="13"/>
    </row>
    <row r="772">
      <c r="C772" s="24"/>
      <c r="E772" s="13"/>
      <c r="F772" s="13"/>
      <c r="H772" s="24"/>
      <c r="J772" s="13"/>
      <c r="K772" s="13"/>
      <c r="M772" s="24"/>
      <c r="O772" s="13"/>
      <c r="P772" s="13"/>
    </row>
    <row r="773">
      <c r="C773" s="24"/>
      <c r="E773" s="13"/>
      <c r="F773" s="13"/>
      <c r="H773" s="24"/>
      <c r="J773" s="13"/>
      <c r="K773" s="13"/>
      <c r="M773" s="24"/>
      <c r="O773" s="13"/>
      <c r="P773" s="13"/>
    </row>
    <row r="774">
      <c r="C774" s="24"/>
      <c r="E774" s="13"/>
      <c r="F774" s="13"/>
      <c r="H774" s="24"/>
      <c r="J774" s="13"/>
      <c r="K774" s="13"/>
      <c r="M774" s="24"/>
      <c r="O774" s="13"/>
      <c r="P774" s="13"/>
    </row>
    <row r="775">
      <c r="C775" s="24"/>
      <c r="E775" s="13"/>
      <c r="F775" s="13"/>
      <c r="H775" s="24"/>
      <c r="J775" s="13"/>
      <c r="K775" s="13"/>
      <c r="M775" s="24"/>
      <c r="O775" s="13"/>
      <c r="P775" s="13"/>
    </row>
    <row r="776">
      <c r="C776" s="24"/>
      <c r="E776" s="13"/>
      <c r="F776" s="13"/>
      <c r="H776" s="24"/>
      <c r="J776" s="13"/>
      <c r="K776" s="13"/>
      <c r="M776" s="24"/>
      <c r="O776" s="13"/>
      <c r="P776" s="13"/>
    </row>
    <row r="777">
      <c r="C777" s="24"/>
      <c r="E777" s="13"/>
      <c r="F777" s="13"/>
      <c r="H777" s="24"/>
      <c r="J777" s="13"/>
      <c r="K777" s="13"/>
      <c r="M777" s="24"/>
      <c r="O777" s="13"/>
      <c r="P777" s="13"/>
    </row>
    <row r="778">
      <c r="C778" s="24"/>
      <c r="E778" s="13"/>
      <c r="F778" s="13"/>
      <c r="H778" s="24"/>
      <c r="J778" s="13"/>
      <c r="K778" s="13"/>
      <c r="M778" s="24"/>
      <c r="O778" s="13"/>
      <c r="P778" s="13"/>
    </row>
    <row r="779">
      <c r="C779" s="24"/>
      <c r="E779" s="13"/>
      <c r="F779" s="13"/>
      <c r="H779" s="24"/>
      <c r="J779" s="13"/>
      <c r="K779" s="13"/>
      <c r="M779" s="24"/>
      <c r="O779" s="13"/>
      <c r="P779" s="13"/>
    </row>
    <row r="780">
      <c r="C780" s="24"/>
      <c r="E780" s="13"/>
      <c r="F780" s="13"/>
      <c r="H780" s="24"/>
      <c r="J780" s="13"/>
      <c r="K780" s="13"/>
      <c r="M780" s="24"/>
      <c r="O780" s="13"/>
      <c r="P780" s="13"/>
    </row>
    <row r="781">
      <c r="C781" s="24"/>
      <c r="E781" s="13"/>
      <c r="F781" s="13"/>
      <c r="H781" s="24"/>
      <c r="J781" s="13"/>
      <c r="K781" s="13"/>
      <c r="M781" s="24"/>
      <c r="O781" s="13"/>
      <c r="P781" s="13"/>
    </row>
    <row r="782">
      <c r="C782" s="24"/>
      <c r="E782" s="13"/>
      <c r="F782" s="13"/>
      <c r="H782" s="24"/>
      <c r="J782" s="13"/>
      <c r="K782" s="13"/>
      <c r="M782" s="24"/>
      <c r="O782" s="13"/>
      <c r="P782" s="13"/>
    </row>
    <row r="783">
      <c r="C783" s="24"/>
      <c r="E783" s="13"/>
      <c r="F783" s="13"/>
      <c r="H783" s="24"/>
      <c r="J783" s="13"/>
      <c r="K783" s="13"/>
      <c r="M783" s="24"/>
      <c r="O783" s="13"/>
      <c r="P783" s="13"/>
    </row>
    <row r="784">
      <c r="C784" s="24"/>
      <c r="E784" s="13"/>
      <c r="F784" s="13"/>
      <c r="H784" s="24"/>
      <c r="J784" s="13"/>
      <c r="K784" s="13"/>
      <c r="M784" s="24"/>
      <c r="O784" s="13"/>
      <c r="P784" s="13"/>
    </row>
    <row r="785">
      <c r="C785" s="24"/>
      <c r="E785" s="13"/>
      <c r="F785" s="13"/>
      <c r="H785" s="24"/>
      <c r="J785" s="13"/>
      <c r="K785" s="13"/>
      <c r="M785" s="24"/>
      <c r="O785" s="13"/>
      <c r="P785" s="13"/>
    </row>
    <row r="786">
      <c r="C786" s="24"/>
      <c r="E786" s="13"/>
      <c r="F786" s="13"/>
      <c r="H786" s="24"/>
      <c r="J786" s="13"/>
      <c r="K786" s="13"/>
      <c r="M786" s="24"/>
      <c r="O786" s="13"/>
      <c r="P786" s="13"/>
    </row>
    <row r="787">
      <c r="C787" s="24"/>
      <c r="E787" s="13"/>
      <c r="F787" s="13"/>
      <c r="H787" s="24"/>
      <c r="J787" s="13"/>
      <c r="K787" s="13"/>
      <c r="M787" s="24"/>
      <c r="O787" s="13"/>
      <c r="P787" s="13"/>
    </row>
    <row r="788">
      <c r="C788" s="24"/>
      <c r="E788" s="13"/>
      <c r="F788" s="13"/>
      <c r="H788" s="24"/>
      <c r="J788" s="13"/>
      <c r="K788" s="13"/>
      <c r="M788" s="24"/>
      <c r="O788" s="13"/>
      <c r="P788" s="13"/>
    </row>
    <row r="789">
      <c r="C789" s="24"/>
      <c r="E789" s="13"/>
      <c r="F789" s="13"/>
      <c r="H789" s="24"/>
      <c r="J789" s="13"/>
      <c r="K789" s="13"/>
      <c r="M789" s="24"/>
      <c r="O789" s="13"/>
      <c r="P789" s="13"/>
    </row>
    <row r="790">
      <c r="C790" s="24"/>
      <c r="E790" s="13"/>
      <c r="F790" s="13"/>
      <c r="H790" s="24"/>
      <c r="J790" s="13"/>
      <c r="K790" s="13"/>
      <c r="M790" s="24"/>
      <c r="O790" s="13"/>
      <c r="P790" s="13"/>
    </row>
    <row r="791">
      <c r="C791" s="24"/>
      <c r="E791" s="13"/>
      <c r="F791" s="13"/>
      <c r="H791" s="24"/>
      <c r="J791" s="13"/>
      <c r="K791" s="13"/>
      <c r="M791" s="24"/>
      <c r="O791" s="13"/>
      <c r="P791" s="13"/>
    </row>
    <row r="792">
      <c r="C792" s="24"/>
      <c r="E792" s="13"/>
      <c r="F792" s="13"/>
      <c r="H792" s="24"/>
      <c r="J792" s="13"/>
      <c r="K792" s="13"/>
      <c r="M792" s="24"/>
      <c r="O792" s="13"/>
      <c r="P792" s="13"/>
    </row>
    <row r="793">
      <c r="C793" s="24"/>
      <c r="E793" s="13"/>
      <c r="F793" s="13"/>
      <c r="H793" s="24"/>
      <c r="J793" s="13"/>
      <c r="K793" s="13"/>
      <c r="M793" s="24"/>
      <c r="O793" s="13"/>
      <c r="P793" s="13"/>
    </row>
    <row r="794">
      <c r="C794" s="24"/>
      <c r="E794" s="13"/>
      <c r="F794" s="13"/>
      <c r="H794" s="24"/>
      <c r="J794" s="13"/>
      <c r="K794" s="13"/>
      <c r="M794" s="24"/>
      <c r="O794" s="13"/>
      <c r="P794" s="13"/>
    </row>
    <row r="795">
      <c r="C795" s="24"/>
      <c r="E795" s="13"/>
      <c r="F795" s="13"/>
      <c r="H795" s="24"/>
      <c r="J795" s="13"/>
      <c r="K795" s="13"/>
      <c r="M795" s="24"/>
      <c r="O795" s="13"/>
      <c r="P795" s="13"/>
    </row>
    <row r="796">
      <c r="C796" s="24"/>
      <c r="E796" s="13"/>
      <c r="F796" s="13"/>
      <c r="H796" s="24"/>
      <c r="J796" s="13"/>
      <c r="K796" s="13"/>
      <c r="M796" s="24"/>
      <c r="O796" s="13"/>
      <c r="P796" s="13"/>
    </row>
    <row r="797">
      <c r="C797" s="24"/>
      <c r="E797" s="13"/>
      <c r="F797" s="13"/>
      <c r="H797" s="24"/>
      <c r="J797" s="13"/>
      <c r="K797" s="13"/>
      <c r="M797" s="24"/>
      <c r="O797" s="13"/>
      <c r="P797" s="13"/>
    </row>
    <row r="798">
      <c r="C798" s="24"/>
      <c r="E798" s="13"/>
      <c r="F798" s="13"/>
      <c r="H798" s="24"/>
      <c r="J798" s="13"/>
      <c r="K798" s="13"/>
      <c r="M798" s="24"/>
      <c r="O798" s="13"/>
      <c r="P798" s="13"/>
    </row>
    <row r="799">
      <c r="C799" s="24"/>
      <c r="E799" s="13"/>
      <c r="F799" s="13"/>
      <c r="H799" s="24"/>
      <c r="J799" s="13"/>
      <c r="K799" s="13"/>
      <c r="M799" s="24"/>
      <c r="O799" s="13"/>
      <c r="P799" s="13"/>
    </row>
    <row r="800">
      <c r="C800" s="24"/>
      <c r="E800" s="13"/>
      <c r="F800" s="13"/>
      <c r="H800" s="24"/>
      <c r="J800" s="13"/>
      <c r="K800" s="13"/>
      <c r="M800" s="24"/>
      <c r="O800" s="13"/>
      <c r="P800" s="13"/>
    </row>
    <row r="801">
      <c r="C801" s="24"/>
      <c r="E801" s="13"/>
      <c r="F801" s="13"/>
      <c r="H801" s="24"/>
      <c r="J801" s="13"/>
      <c r="K801" s="13"/>
      <c r="M801" s="24"/>
      <c r="O801" s="13"/>
      <c r="P801" s="13"/>
    </row>
    <row r="802">
      <c r="C802" s="24"/>
      <c r="E802" s="13"/>
      <c r="F802" s="13"/>
      <c r="H802" s="24"/>
      <c r="J802" s="13"/>
      <c r="K802" s="13"/>
      <c r="M802" s="24"/>
      <c r="O802" s="13"/>
      <c r="P802" s="13"/>
    </row>
    <row r="803">
      <c r="C803" s="24"/>
      <c r="E803" s="13"/>
      <c r="F803" s="13"/>
      <c r="H803" s="24"/>
      <c r="J803" s="13"/>
      <c r="K803" s="13"/>
      <c r="M803" s="24"/>
      <c r="O803" s="13"/>
      <c r="P803" s="13"/>
    </row>
    <row r="804">
      <c r="C804" s="24"/>
      <c r="E804" s="13"/>
      <c r="F804" s="13"/>
      <c r="H804" s="24"/>
      <c r="J804" s="13"/>
      <c r="K804" s="13"/>
      <c r="M804" s="24"/>
      <c r="O804" s="13"/>
      <c r="P804" s="13"/>
    </row>
    <row r="805">
      <c r="C805" s="24"/>
      <c r="E805" s="13"/>
      <c r="F805" s="13"/>
      <c r="H805" s="24"/>
      <c r="J805" s="13"/>
      <c r="K805" s="13"/>
      <c r="M805" s="24"/>
      <c r="O805" s="13"/>
      <c r="P805" s="13"/>
    </row>
    <row r="806">
      <c r="C806" s="24"/>
      <c r="E806" s="13"/>
      <c r="F806" s="13"/>
      <c r="H806" s="24"/>
      <c r="J806" s="13"/>
      <c r="K806" s="13"/>
      <c r="M806" s="24"/>
      <c r="O806" s="13"/>
      <c r="P806" s="13"/>
    </row>
    <row r="807">
      <c r="C807" s="24"/>
      <c r="E807" s="13"/>
      <c r="F807" s="13"/>
      <c r="H807" s="24"/>
      <c r="J807" s="13"/>
      <c r="K807" s="13"/>
      <c r="M807" s="24"/>
      <c r="O807" s="13"/>
      <c r="P807" s="13"/>
    </row>
    <row r="808">
      <c r="C808" s="24"/>
      <c r="E808" s="13"/>
      <c r="F808" s="13"/>
      <c r="H808" s="24"/>
      <c r="J808" s="13"/>
      <c r="K808" s="13"/>
      <c r="M808" s="24"/>
      <c r="O808" s="13"/>
      <c r="P808" s="13"/>
    </row>
    <row r="809">
      <c r="C809" s="24"/>
      <c r="E809" s="13"/>
      <c r="F809" s="13"/>
      <c r="H809" s="24"/>
      <c r="J809" s="13"/>
      <c r="K809" s="13"/>
      <c r="M809" s="24"/>
      <c r="O809" s="13"/>
      <c r="P809" s="13"/>
    </row>
    <row r="810">
      <c r="C810" s="24"/>
      <c r="E810" s="13"/>
      <c r="F810" s="13"/>
      <c r="H810" s="24"/>
      <c r="J810" s="13"/>
      <c r="K810" s="13"/>
      <c r="M810" s="24"/>
      <c r="O810" s="13"/>
      <c r="P810" s="13"/>
    </row>
    <row r="811">
      <c r="C811" s="24"/>
      <c r="E811" s="13"/>
      <c r="F811" s="13"/>
      <c r="H811" s="24"/>
      <c r="J811" s="13"/>
      <c r="K811" s="13"/>
      <c r="M811" s="24"/>
      <c r="O811" s="13"/>
      <c r="P811" s="13"/>
    </row>
    <row r="812">
      <c r="C812" s="24"/>
      <c r="E812" s="13"/>
      <c r="F812" s="13"/>
      <c r="H812" s="24"/>
      <c r="J812" s="13"/>
      <c r="K812" s="13"/>
      <c r="M812" s="24"/>
      <c r="O812" s="13"/>
      <c r="P812" s="13"/>
    </row>
    <row r="813">
      <c r="C813" s="24"/>
      <c r="E813" s="13"/>
      <c r="F813" s="13"/>
      <c r="H813" s="24"/>
      <c r="J813" s="13"/>
      <c r="K813" s="13"/>
      <c r="M813" s="24"/>
      <c r="O813" s="13"/>
      <c r="P813" s="13"/>
    </row>
    <row r="814">
      <c r="C814" s="24"/>
      <c r="E814" s="13"/>
      <c r="F814" s="13"/>
      <c r="H814" s="24"/>
      <c r="J814" s="13"/>
      <c r="K814" s="13"/>
      <c r="M814" s="24"/>
      <c r="O814" s="13"/>
      <c r="P814" s="13"/>
    </row>
    <row r="815">
      <c r="C815" s="24"/>
      <c r="E815" s="13"/>
      <c r="F815" s="13"/>
      <c r="H815" s="24"/>
      <c r="J815" s="13"/>
      <c r="K815" s="13"/>
      <c r="M815" s="24"/>
      <c r="O815" s="13"/>
      <c r="P815" s="13"/>
    </row>
    <row r="816">
      <c r="C816" s="24"/>
      <c r="E816" s="13"/>
      <c r="F816" s="13"/>
      <c r="H816" s="24"/>
      <c r="J816" s="13"/>
      <c r="K816" s="13"/>
      <c r="M816" s="24"/>
      <c r="O816" s="13"/>
      <c r="P816" s="13"/>
    </row>
    <row r="817">
      <c r="C817" s="24"/>
      <c r="E817" s="13"/>
      <c r="F817" s="13"/>
      <c r="H817" s="24"/>
      <c r="J817" s="13"/>
      <c r="K817" s="13"/>
      <c r="M817" s="24"/>
      <c r="O817" s="13"/>
      <c r="P817" s="13"/>
    </row>
    <row r="818">
      <c r="C818" s="24"/>
      <c r="E818" s="13"/>
      <c r="F818" s="13"/>
      <c r="H818" s="24"/>
      <c r="J818" s="13"/>
      <c r="K818" s="13"/>
      <c r="M818" s="24"/>
      <c r="O818" s="13"/>
      <c r="P818" s="13"/>
    </row>
    <row r="819">
      <c r="C819" s="24"/>
      <c r="E819" s="13"/>
      <c r="F819" s="13"/>
      <c r="H819" s="24"/>
      <c r="J819" s="13"/>
      <c r="K819" s="13"/>
      <c r="M819" s="24"/>
      <c r="O819" s="13"/>
      <c r="P819" s="13"/>
    </row>
    <row r="820">
      <c r="C820" s="24"/>
      <c r="E820" s="13"/>
      <c r="F820" s="13"/>
      <c r="H820" s="24"/>
      <c r="J820" s="13"/>
      <c r="K820" s="13"/>
      <c r="M820" s="24"/>
      <c r="O820" s="13"/>
      <c r="P820" s="13"/>
    </row>
    <row r="821">
      <c r="C821" s="24"/>
      <c r="E821" s="13"/>
      <c r="F821" s="13"/>
      <c r="H821" s="24"/>
      <c r="J821" s="13"/>
      <c r="K821" s="13"/>
      <c r="M821" s="24"/>
      <c r="O821" s="13"/>
      <c r="P821" s="13"/>
    </row>
    <row r="822">
      <c r="C822" s="24"/>
      <c r="E822" s="13"/>
      <c r="F822" s="13"/>
      <c r="H822" s="24"/>
      <c r="J822" s="13"/>
      <c r="K822" s="13"/>
      <c r="M822" s="24"/>
      <c r="O822" s="13"/>
      <c r="P822" s="13"/>
    </row>
    <row r="823">
      <c r="C823" s="24"/>
      <c r="E823" s="13"/>
      <c r="F823" s="13"/>
      <c r="H823" s="24"/>
      <c r="J823" s="13"/>
      <c r="K823" s="13"/>
      <c r="M823" s="24"/>
      <c r="O823" s="13"/>
      <c r="P823" s="13"/>
    </row>
    <row r="824">
      <c r="C824" s="24"/>
      <c r="E824" s="13"/>
      <c r="F824" s="13"/>
      <c r="H824" s="24"/>
      <c r="J824" s="13"/>
      <c r="K824" s="13"/>
      <c r="M824" s="24"/>
      <c r="O824" s="13"/>
      <c r="P824" s="13"/>
    </row>
    <row r="825">
      <c r="C825" s="24"/>
      <c r="E825" s="13"/>
      <c r="F825" s="13"/>
      <c r="H825" s="24"/>
      <c r="J825" s="13"/>
      <c r="K825" s="13"/>
      <c r="M825" s="24"/>
      <c r="O825" s="13"/>
      <c r="P825" s="13"/>
    </row>
    <row r="826">
      <c r="C826" s="24"/>
      <c r="E826" s="13"/>
      <c r="F826" s="13"/>
      <c r="H826" s="24"/>
      <c r="J826" s="13"/>
      <c r="K826" s="13"/>
      <c r="M826" s="24"/>
      <c r="O826" s="13"/>
      <c r="P826" s="13"/>
    </row>
    <row r="827">
      <c r="C827" s="24"/>
      <c r="E827" s="13"/>
      <c r="F827" s="13"/>
      <c r="H827" s="24"/>
      <c r="J827" s="13"/>
      <c r="K827" s="13"/>
      <c r="M827" s="24"/>
      <c r="O827" s="13"/>
      <c r="P827" s="13"/>
    </row>
    <row r="828">
      <c r="C828" s="24"/>
      <c r="E828" s="13"/>
      <c r="F828" s="13"/>
      <c r="H828" s="24"/>
      <c r="J828" s="13"/>
      <c r="K828" s="13"/>
      <c r="M828" s="24"/>
      <c r="O828" s="13"/>
      <c r="P828" s="13"/>
    </row>
    <row r="829">
      <c r="C829" s="24"/>
      <c r="E829" s="13"/>
      <c r="F829" s="13"/>
      <c r="H829" s="24"/>
      <c r="J829" s="13"/>
      <c r="K829" s="13"/>
      <c r="M829" s="24"/>
      <c r="O829" s="13"/>
      <c r="P829" s="13"/>
    </row>
    <row r="830">
      <c r="C830" s="24"/>
      <c r="E830" s="13"/>
      <c r="F830" s="13"/>
      <c r="H830" s="24"/>
      <c r="J830" s="13"/>
      <c r="K830" s="13"/>
      <c r="M830" s="24"/>
      <c r="O830" s="13"/>
      <c r="P830" s="13"/>
    </row>
    <row r="831">
      <c r="C831" s="24"/>
      <c r="E831" s="13"/>
      <c r="F831" s="13"/>
      <c r="H831" s="24"/>
      <c r="J831" s="13"/>
      <c r="K831" s="13"/>
      <c r="M831" s="24"/>
      <c r="O831" s="13"/>
      <c r="P831" s="13"/>
    </row>
    <row r="832">
      <c r="C832" s="24"/>
      <c r="E832" s="13"/>
      <c r="F832" s="13"/>
      <c r="H832" s="24"/>
      <c r="J832" s="13"/>
      <c r="K832" s="13"/>
      <c r="M832" s="24"/>
      <c r="O832" s="13"/>
      <c r="P832" s="13"/>
    </row>
    <row r="833">
      <c r="C833" s="24"/>
      <c r="E833" s="13"/>
      <c r="F833" s="13"/>
      <c r="H833" s="24"/>
      <c r="J833" s="13"/>
      <c r="K833" s="13"/>
      <c r="M833" s="24"/>
      <c r="O833" s="13"/>
      <c r="P833" s="13"/>
    </row>
    <row r="834">
      <c r="C834" s="24"/>
      <c r="E834" s="13"/>
      <c r="F834" s="13"/>
      <c r="H834" s="24"/>
      <c r="J834" s="13"/>
      <c r="K834" s="13"/>
      <c r="M834" s="24"/>
      <c r="O834" s="13"/>
      <c r="P834" s="13"/>
    </row>
    <row r="835">
      <c r="C835" s="24"/>
      <c r="E835" s="13"/>
      <c r="F835" s="13"/>
      <c r="H835" s="24"/>
      <c r="J835" s="13"/>
      <c r="K835" s="13"/>
      <c r="M835" s="24"/>
      <c r="O835" s="13"/>
      <c r="P835" s="13"/>
    </row>
    <row r="836">
      <c r="C836" s="24"/>
      <c r="E836" s="13"/>
      <c r="F836" s="13"/>
      <c r="H836" s="24"/>
      <c r="J836" s="13"/>
      <c r="K836" s="13"/>
      <c r="M836" s="24"/>
      <c r="O836" s="13"/>
      <c r="P836" s="13"/>
    </row>
    <row r="837">
      <c r="C837" s="24"/>
      <c r="E837" s="13"/>
      <c r="F837" s="13"/>
      <c r="H837" s="24"/>
      <c r="J837" s="13"/>
      <c r="K837" s="13"/>
      <c r="M837" s="24"/>
      <c r="O837" s="13"/>
      <c r="P837" s="13"/>
    </row>
    <row r="838">
      <c r="C838" s="24"/>
      <c r="E838" s="13"/>
      <c r="F838" s="13"/>
      <c r="H838" s="24"/>
      <c r="J838" s="13"/>
      <c r="K838" s="13"/>
      <c r="M838" s="24"/>
      <c r="O838" s="13"/>
      <c r="P838" s="13"/>
    </row>
    <row r="839">
      <c r="C839" s="24"/>
      <c r="E839" s="13"/>
      <c r="F839" s="13"/>
      <c r="H839" s="24"/>
      <c r="J839" s="13"/>
      <c r="K839" s="13"/>
      <c r="M839" s="24"/>
      <c r="O839" s="13"/>
      <c r="P839" s="13"/>
    </row>
    <row r="840">
      <c r="C840" s="24"/>
      <c r="E840" s="13"/>
      <c r="F840" s="13"/>
      <c r="H840" s="24"/>
      <c r="J840" s="13"/>
      <c r="K840" s="13"/>
      <c r="M840" s="24"/>
      <c r="O840" s="13"/>
      <c r="P840" s="13"/>
    </row>
    <row r="841">
      <c r="C841" s="24"/>
      <c r="E841" s="13"/>
      <c r="F841" s="13"/>
      <c r="H841" s="24"/>
      <c r="J841" s="13"/>
      <c r="K841" s="13"/>
      <c r="M841" s="24"/>
      <c r="O841" s="13"/>
      <c r="P841" s="13"/>
    </row>
    <row r="842">
      <c r="C842" s="24"/>
      <c r="E842" s="13"/>
      <c r="F842" s="13"/>
      <c r="H842" s="24"/>
      <c r="J842" s="13"/>
      <c r="K842" s="13"/>
      <c r="M842" s="24"/>
      <c r="O842" s="13"/>
      <c r="P842" s="13"/>
    </row>
    <row r="843">
      <c r="C843" s="24"/>
      <c r="E843" s="13"/>
      <c r="F843" s="13"/>
      <c r="H843" s="24"/>
      <c r="J843" s="13"/>
      <c r="K843" s="13"/>
      <c r="M843" s="24"/>
      <c r="O843" s="13"/>
      <c r="P843" s="13"/>
    </row>
    <row r="844">
      <c r="C844" s="24"/>
      <c r="E844" s="13"/>
      <c r="F844" s="13"/>
      <c r="H844" s="24"/>
      <c r="J844" s="13"/>
      <c r="K844" s="13"/>
      <c r="M844" s="24"/>
      <c r="O844" s="13"/>
      <c r="P844" s="13"/>
    </row>
    <row r="845">
      <c r="C845" s="24"/>
      <c r="E845" s="13"/>
      <c r="F845" s="13"/>
      <c r="H845" s="24"/>
      <c r="J845" s="13"/>
      <c r="K845" s="13"/>
      <c r="M845" s="24"/>
      <c r="O845" s="13"/>
      <c r="P845" s="13"/>
    </row>
    <row r="846">
      <c r="C846" s="24"/>
      <c r="E846" s="13"/>
      <c r="F846" s="13"/>
      <c r="H846" s="24"/>
      <c r="J846" s="13"/>
      <c r="K846" s="13"/>
      <c r="M846" s="24"/>
      <c r="O846" s="13"/>
      <c r="P846" s="13"/>
    </row>
    <row r="847">
      <c r="C847" s="24"/>
      <c r="E847" s="13"/>
      <c r="F847" s="13"/>
      <c r="H847" s="24"/>
      <c r="J847" s="13"/>
      <c r="K847" s="13"/>
      <c r="M847" s="24"/>
      <c r="O847" s="13"/>
      <c r="P847" s="13"/>
    </row>
    <row r="848">
      <c r="C848" s="24"/>
      <c r="E848" s="13"/>
      <c r="F848" s="13"/>
      <c r="H848" s="24"/>
      <c r="J848" s="13"/>
      <c r="K848" s="13"/>
      <c r="M848" s="24"/>
      <c r="O848" s="13"/>
      <c r="P848" s="13"/>
    </row>
    <row r="849">
      <c r="C849" s="24"/>
      <c r="E849" s="13"/>
      <c r="F849" s="13"/>
      <c r="H849" s="24"/>
      <c r="J849" s="13"/>
      <c r="K849" s="13"/>
      <c r="M849" s="24"/>
      <c r="O849" s="13"/>
      <c r="P849" s="13"/>
    </row>
    <row r="850">
      <c r="C850" s="24"/>
      <c r="E850" s="13"/>
      <c r="F850" s="13"/>
      <c r="H850" s="24"/>
      <c r="J850" s="13"/>
      <c r="K850" s="13"/>
      <c r="M850" s="24"/>
      <c r="O850" s="13"/>
      <c r="P850" s="13"/>
    </row>
    <row r="851">
      <c r="C851" s="24"/>
      <c r="E851" s="13"/>
      <c r="F851" s="13"/>
      <c r="H851" s="24"/>
      <c r="J851" s="13"/>
      <c r="K851" s="13"/>
      <c r="M851" s="24"/>
      <c r="O851" s="13"/>
      <c r="P851" s="13"/>
    </row>
    <row r="852">
      <c r="C852" s="24"/>
      <c r="E852" s="13"/>
      <c r="F852" s="13"/>
      <c r="H852" s="24"/>
      <c r="J852" s="13"/>
      <c r="K852" s="13"/>
      <c r="M852" s="24"/>
      <c r="O852" s="13"/>
      <c r="P852" s="13"/>
    </row>
    <row r="853">
      <c r="C853" s="24"/>
      <c r="E853" s="13"/>
      <c r="F853" s="13"/>
      <c r="H853" s="24"/>
      <c r="J853" s="13"/>
      <c r="K853" s="13"/>
      <c r="M853" s="24"/>
      <c r="O853" s="13"/>
      <c r="P853" s="13"/>
    </row>
    <row r="854">
      <c r="C854" s="24"/>
      <c r="E854" s="13"/>
      <c r="F854" s="13"/>
      <c r="H854" s="24"/>
      <c r="J854" s="13"/>
      <c r="K854" s="13"/>
      <c r="M854" s="24"/>
      <c r="O854" s="13"/>
      <c r="P854" s="13"/>
    </row>
    <row r="855">
      <c r="C855" s="24"/>
      <c r="E855" s="13"/>
      <c r="F855" s="13"/>
      <c r="H855" s="24"/>
      <c r="J855" s="13"/>
      <c r="K855" s="13"/>
      <c r="M855" s="24"/>
      <c r="O855" s="13"/>
      <c r="P855" s="13"/>
    </row>
    <row r="856">
      <c r="C856" s="24"/>
      <c r="E856" s="13"/>
      <c r="F856" s="13"/>
      <c r="H856" s="24"/>
      <c r="J856" s="13"/>
      <c r="K856" s="13"/>
      <c r="M856" s="24"/>
      <c r="O856" s="13"/>
      <c r="P856" s="13"/>
    </row>
    <row r="857">
      <c r="C857" s="24"/>
      <c r="E857" s="13"/>
      <c r="F857" s="13"/>
      <c r="H857" s="24"/>
      <c r="J857" s="13"/>
      <c r="K857" s="13"/>
      <c r="M857" s="24"/>
      <c r="O857" s="13"/>
      <c r="P857" s="13"/>
    </row>
    <row r="858">
      <c r="C858" s="24"/>
      <c r="E858" s="13"/>
      <c r="F858" s="13"/>
      <c r="H858" s="24"/>
      <c r="J858" s="13"/>
      <c r="K858" s="13"/>
      <c r="M858" s="24"/>
      <c r="O858" s="13"/>
      <c r="P858" s="13"/>
    </row>
    <row r="859">
      <c r="C859" s="24"/>
      <c r="E859" s="13"/>
      <c r="F859" s="13"/>
      <c r="H859" s="24"/>
      <c r="J859" s="13"/>
      <c r="K859" s="13"/>
      <c r="M859" s="24"/>
      <c r="O859" s="13"/>
      <c r="P859" s="13"/>
    </row>
    <row r="860">
      <c r="C860" s="24"/>
      <c r="E860" s="13"/>
      <c r="F860" s="13"/>
      <c r="H860" s="24"/>
      <c r="J860" s="13"/>
      <c r="K860" s="13"/>
      <c r="M860" s="24"/>
      <c r="O860" s="13"/>
      <c r="P860" s="13"/>
    </row>
    <row r="861">
      <c r="C861" s="24"/>
      <c r="E861" s="13"/>
      <c r="F861" s="13"/>
      <c r="H861" s="24"/>
      <c r="J861" s="13"/>
      <c r="K861" s="13"/>
      <c r="M861" s="24"/>
      <c r="O861" s="13"/>
      <c r="P861" s="13"/>
    </row>
    <row r="862">
      <c r="C862" s="24"/>
      <c r="E862" s="13"/>
      <c r="F862" s="13"/>
      <c r="H862" s="24"/>
      <c r="J862" s="13"/>
      <c r="K862" s="13"/>
      <c r="M862" s="24"/>
      <c r="O862" s="13"/>
      <c r="P862" s="13"/>
    </row>
    <row r="863">
      <c r="C863" s="24"/>
      <c r="E863" s="13"/>
      <c r="F863" s="13"/>
      <c r="H863" s="24"/>
      <c r="J863" s="13"/>
      <c r="K863" s="13"/>
      <c r="M863" s="24"/>
      <c r="O863" s="13"/>
      <c r="P863" s="13"/>
    </row>
    <row r="864">
      <c r="C864" s="24"/>
      <c r="E864" s="13"/>
      <c r="F864" s="13"/>
      <c r="H864" s="24"/>
      <c r="J864" s="13"/>
      <c r="K864" s="13"/>
      <c r="M864" s="24"/>
      <c r="O864" s="13"/>
      <c r="P864" s="13"/>
    </row>
    <row r="865">
      <c r="C865" s="24"/>
      <c r="E865" s="13"/>
      <c r="F865" s="13"/>
      <c r="H865" s="24"/>
      <c r="J865" s="13"/>
      <c r="K865" s="13"/>
      <c r="M865" s="24"/>
      <c r="O865" s="13"/>
      <c r="P865" s="13"/>
    </row>
    <row r="866">
      <c r="C866" s="24"/>
      <c r="E866" s="13"/>
      <c r="F866" s="13"/>
      <c r="H866" s="24"/>
      <c r="J866" s="13"/>
      <c r="K866" s="13"/>
      <c r="M866" s="24"/>
      <c r="O866" s="13"/>
      <c r="P866" s="13"/>
    </row>
    <row r="867">
      <c r="C867" s="24"/>
      <c r="E867" s="13"/>
      <c r="F867" s="13"/>
      <c r="H867" s="24"/>
      <c r="J867" s="13"/>
      <c r="K867" s="13"/>
      <c r="M867" s="24"/>
      <c r="O867" s="13"/>
      <c r="P867" s="13"/>
    </row>
    <row r="868">
      <c r="C868" s="24"/>
      <c r="E868" s="13"/>
      <c r="F868" s="13"/>
      <c r="H868" s="24"/>
      <c r="J868" s="13"/>
      <c r="K868" s="13"/>
      <c r="M868" s="24"/>
      <c r="O868" s="13"/>
      <c r="P868" s="13"/>
    </row>
    <row r="869">
      <c r="C869" s="24"/>
      <c r="E869" s="13"/>
      <c r="F869" s="13"/>
      <c r="H869" s="24"/>
      <c r="J869" s="13"/>
      <c r="K869" s="13"/>
      <c r="M869" s="24"/>
      <c r="O869" s="13"/>
      <c r="P869" s="13"/>
    </row>
    <row r="870">
      <c r="C870" s="24"/>
      <c r="E870" s="13"/>
      <c r="F870" s="13"/>
      <c r="H870" s="24"/>
      <c r="J870" s="13"/>
      <c r="K870" s="13"/>
      <c r="M870" s="24"/>
      <c r="O870" s="13"/>
      <c r="P870" s="13"/>
    </row>
    <row r="871">
      <c r="C871" s="24"/>
      <c r="E871" s="13"/>
      <c r="F871" s="13"/>
      <c r="H871" s="24"/>
      <c r="J871" s="13"/>
      <c r="K871" s="13"/>
      <c r="M871" s="24"/>
      <c r="O871" s="13"/>
      <c r="P871" s="13"/>
    </row>
    <row r="872">
      <c r="C872" s="24"/>
      <c r="E872" s="13"/>
      <c r="F872" s="13"/>
      <c r="H872" s="24"/>
      <c r="J872" s="13"/>
      <c r="K872" s="13"/>
      <c r="M872" s="24"/>
      <c r="O872" s="13"/>
      <c r="P872" s="13"/>
    </row>
    <row r="873">
      <c r="C873" s="24"/>
      <c r="E873" s="13"/>
      <c r="F873" s="13"/>
      <c r="H873" s="24"/>
      <c r="J873" s="13"/>
      <c r="K873" s="13"/>
      <c r="M873" s="24"/>
      <c r="O873" s="13"/>
      <c r="P873" s="13"/>
    </row>
    <row r="874">
      <c r="C874" s="24"/>
      <c r="E874" s="13"/>
      <c r="F874" s="13"/>
      <c r="H874" s="24"/>
      <c r="J874" s="13"/>
      <c r="K874" s="13"/>
      <c r="M874" s="24"/>
      <c r="O874" s="13"/>
      <c r="P874" s="13"/>
    </row>
    <row r="875">
      <c r="C875" s="24"/>
      <c r="E875" s="13"/>
      <c r="F875" s="13"/>
      <c r="H875" s="24"/>
      <c r="J875" s="13"/>
      <c r="K875" s="13"/>
      <c r="M875" s="24"/>
      <c r="O875" s="13"/>
      <c r="P875" s="13"/>
    </row>
    <row r="876">
      <c r="C876" s="24"/>
      <c r="E876" s="13"/>
      <c r="F876" s="13"/>
      <c r="H876" s="24"/>
      <c r="J876" s="13"/>
      <c r="K876" s="13"/>
      <c r="M876" s="24"/>
      <c r="O876" s="13"/>
      <c r="P876" s="13"/>
    </row>
    <row r="877">
      <c r="C877" s="24"/>
      <c r="E877" s="13"/>
      <c r="F877" s="13"/>
      <c r="H877" s="24"/>
      <c r="J877" s="13"/>
      <c r="K877" s="13"/>
      <c r="M877" s="24"/>
      <c r="O877" s="13"/>
      <c r="P877" s="13"/>
    </row>
    <row r="878">
      <c r="C878" s="24"/>
      <c r="E878" s="13"/>
      <c r="F878" s="13"/>
      <c r="H878" s="24"/>
      <c r="J878" s="13"/>
      <c r="K878" s="13"/>
      <c r="M878" s="24"/>
      <c r="O878" s="13"/>
      <c r="P878" s="13"/>
    </row>
    <row r="879">
      <c r="C879" s="24"/>
      <c r="E879" s="13"/>
      <c r="F879" s="13"/>
      <c r="H879" s="24"/>
      <c r="J879" s="13"/>
      <c r="K879" s="13"/>
      <c r="M879" s="24"/>
      <c r="O879" s="13"/>
      <c r="P879" s="13"/>
    </row>
    <row r="880">
      <c r="C880" s="24"/>
      <c r="E880" s="13"/>
      <c r="F880" s="13"/>
      <c r="H880" s="24"/>
      <c r="J880" s="13"/>
      <c r="K880" s="13"/>
      <c r="M880" s="24"/>
      <c r="O880" s="13"/>
      <c r="P880" s="13"/>
    </row>
    <row r="881">
      <c r="C881" s="24"/>
      <c r="E881" s="13"/>
      <c r="F881" s="13"/>
      <c r="H881" s="24"/>
      <c r="J881" s="13"/>
      <c r="K881" s="13"/>
      <c r="M881" s="24"/>
      <c r="O881" s="13"/>
      <c r="P881" s="13"/>
    </row>
    <row r="882">
      <c r="C882" s="24"/>
      <c r="E882" s="13"/>
      <c r="F882" s="13"/>
      <c r="H882" s="24"/>
      <c r="J882" s="13"/>
      <c r="K882" s="13"/>
      <c r="M882" s="24"/>
      <c r="O882" s="13"/>
      <c r="P882" s="13"/>
    </row>
    <row r="883">
      <c r="C883" s="24"/>
      <c r="E883" s="13"/>
      <c r="F883" s="13"/>
      <c r="H883" s="24"/>
      <c r="J883" s="13"/>
      <c r="K883" s="13"/>
      <c r="M883" s="24"/>
      <c r="O883" s="13"/>
      <c r="P883" s="13"/>
    </row>
    <row r="884">
      <c r="C884" s="24"/>
      <c r="E884" s="13"/>
      <c r="F884" s="13"/>
      <c r="H884" s="24"/>
      <c r="J884" s="13"/>
      <c r="K884" s="13"/>
      <c r="M884" s="24"/>
      <c r="O884" s="13"/>
      <c r="P884" s="13"/>
    </row>
    <row r="885">
      <c r="C885" s="24"/>
      <c r="E885" s="13"/>
      <c r="F885" s="13"/>
      <c r="H885" s="24"/>
      <c r="J885" s="13"/>
      <c r="K885" s="13"/>
      <c r="M885" s="24"/>
      <c r="O885" s="13"/>
      <c r="P885" s="13"/>
    </row>
    <row r="886">
      <c r="C886" s="24"/>
      <c r="E886" s="13"/>
      <c r="F886" s="13"/>
      <c r="H886" s="24"/>
      <c r="J886" s="13"/>
      <c r="K886" s="13"/>
      <c r="M886" s="24"/>
      <c r="O886" s="13"/>
      <c r="P886" s="13"/>
    </row>
    <row r="887">
      <c r="C887" s="24"/>
      <c r="E887" s="13"/>
      <c r="F887" s="13"/>
      <c r="H887" s="24"/>
      <c r="J887" s="13"/>
      <c r="K887" s="13"/>
      <c r="M887" s="24"/>
      <c r="O887" s="13"/>
      <c r="P887" s="13"/>
    </row>
    <row r="888">
      <c r="C888" s="24"/>
      <c r="E888" s="13"/>
      <c r="F888" s="13"/>
      <c r="H888" s="24"/>
      <c r="J888" s="13"/>
      <c r="K888" s="13"/>
      <c r="M888" s="24"/>
      <c r="O888" s="13"/>
      <c r="P888" s="13"/>
    </row>
    <row r="889">
      <c r="C889" s="24"/>
      <c r="E889" s="13"/>
      <c r="F889" s="13"/>
      <c r="H889" s="24"/>
      <c r="J889" s="13"/>
      <c r="K889" s="13"/>
      <c r="M889" s="24"/>
      <c r="O889" s="13"/>
      <c r="P889" s="13"/>
    </row>
    <row r="890">
      <c r="C890" s="24"/>
      <c r="E890" s="13"/>
      <c r="F890" s="13"/>
      <c r="H890" s="24"/>
      <c r="J890" s="13"/>
      <c r="K890" s="13"/>
      <c r="M890" s="24"/>
      <c r="O890" s="13"/>
      <c r="P890" s="13"/>
    </row>
    <row r="891">
      <c r="C891" s="24"/>
      <c r="E891" s="13"/>
      <c r="F891" s="13"/>
      <c r="H891" s="24"/>
      <c r="J891" s="13"/>
      <c r="K891" s="13"/>
      <c r="M891" s="24"/>
      <c r="O891" s="13"/>
      <c r="P891" s="13"/>
    </row>
    <row r="892">
      <c r="C892" s="24"/>
      <c r="E892" s="13"/>
      <c r="F892" s="13"/>
      <c r="H892" s="24"/>
      <c r="J892" s="13"/>
      <c r="K892" s="13"/>
      <c r="M892" s="24"/>
      <c r="O892" s="13"/>
      <c r="P892" s="13"/>
    </row>
    <row r="893">
      <c r="C893" s="24"/>
      <c r="E893" s="13"/>
      <c r="F893" s="13"/>
      <c r="H893" s="24"/>
      <c r="J893" s="13"/>
      <c r="K893" s="13"/>
      <c r="M893" s="24"/>
      <c r="O893" s="13"/>
      <c r="P893" s="13"/>
    </row>
    <row r="894">
      <c r="C894" s="24"/>
      <c r="E894" s="13"/>
      <c r="F894" s="13"/>
      <c r="H894" s="24"/>
      <c r="J894" s="13"/>
      <c r="K894" s="13"/>
      <c r="M894" s="24"/>
      <c r="O894" s="13"/>
      <c r="P894" s="13"/>
    </row>
    <row r="895">
      <c r="C895" s="24"/>
      <c r="E895" s="13"/>
      <c r="F895" s="13"/>
      <c r="H895" s="24"/>
      <c r="J895" s="13"/>
      <c r="K895" s="13"/>
      <c r="M895" s="24"/>
      <c r="O895" s="13"/>
      <c r="P895" s="13"/>
    </row>
    <row r="896">
      <c r="C896" s="24"/>
      <c r="E896" s="13"/>
      <c r="F896" s="13"/>
      <c r="H896" s="24"/>
      <c r="J896" s="13"/>
      <c r="K896" s="13"/>
      <c r="M896" s="24"/>
      <c r="O896" s="13"/>
      <c r="P896" s="13"/>
    </row>
    <row r="897">
      <c r="C897" s="24"/>
      <c r="E897" s="13"/>
      <c r="F897" s="13"/>
      <c r="H897" s="24"/>
      <c r="J897" s="13"/>
      <c r="K897" s="13"/>
      <c r="M897" s="24"/>
      <c r="O897" s="13"/>
      <c r="P897" s="13"/>
    </row>
    <row r="898">
      <c r="C898" s="24"/>
      <c r="E898" s="13"/>
      <c r="F898" s="13"/>
      <c r="H898" s="24"/>
      <c r="J898" s="13"/>
      <c r="K898" s="13"/>
      <c r="M898" s="24"/>
      <c r="O898" s="13"/>
      <c r="P898" s="13"/>
    </row>
    <row r="899">
      <c r="C899" s="24"/>
      <c r="E899" s="13"/>
      <c r="F899" s="13"/>
      <c r="H899" s="24"/>
      <c r="J899" s="13"/>
      <c r="K899" s="13"/>
      <c r="M899" s="24"/>
      <c r="O899" s="13"/>
      <c r="P899" s="13"/>
    </row>
    <row r="900">
      <c r="C900" s="24"/>
      <c r="E900" s="13"/>
      <c r="F900" s="13"/>
      <c r="H900" s="24"/>
      <c r="J900" s="13"/>
      <c r="K900" s="13"/>
      <c r="M900" s="24"/>
      <c r="O900" s="13"/>
      <c r="P900" s="13"/>
    </row>
    <row r="901">
      <c r="C901" s="24"/>
      <c r="E901" s="13"/>
      <c r="F901" s="13"/>
      <c r="H901" s="24"/>
      <c r="J901" s="13"/>
      <c r="K901" s="13"/>
      <c r="M901" s="24"/>
      <c r="O901" s="13"/>
      <c r="P901" s="13"/>
    </row>
    <row r="902">
      <c r="C902" s="24"/>
      <c r="E902" s="13"/>
      <c r="F902" s="13"/>
      <c r="H902" s="24"/>
      <c r="J902" s="13"/>
      <c r="K902" s="13"/>
      <c r="M902" s="24"/>
      <c r="O902" s="13"/>
      <c r="P902" s="13"/>
    </row>
    <row r="903">
      <c r="C903" s="24"/>
      <c r="E903" s="13"/>
      <c r="F903" s="13"/>
      <c r="H903" s="24"/>
      <c r="J903" s="13"/>
      <c r="K903" s="13"/>
      <c r="M903" s="24"/>
      <c r="O903" s="13"/>
      <c r="P903" s="13"/>
    </row>
    <row r="904">
      <c r="C904" s="24"/>
      <c r="E904" s="13"/>
      <c r="F904" s="13"/>
      <c r="H904" s="24"/>
      <c r="J904" s="13"/>
      <c r="K904" s="13"/>
      <c r="M904" s="24"/>
      <c r="O904" s="13"/>
      <c r="P904" s="13"/>
    </row>
    <row r="905">
      <c r="C905" s="24"/>
      <c r="E905" s="13"/>
      <c r="F905" s="13"/>
      <c r="H905" s="24"/>
      <c r="J905" s="13"/>
      <c r="K905" s="13"/>
      <c r="M905" s="24"/>
      <c r="O905" s="13"/>
      <c r="P905" s="13"/>
    </row>
    <row r="906">
      <c r="C906" s="24"/>
      <c r="E906" s="13"/>
      <c r="F906" s="13"/>
      <c r="H906" s="24"/>
      <c r="J906" s="13"/>
      <c r="K906" s="13"/>
      <c r="M906" s="24"/>
      <c r="O906" s="13"/>
      <c r="P906" s="13"/>
    </row>
    <row r="907">
      <c r="C907" s="24"/>
      <c r="E907" s="13"/>
      <c r="F907" s="13"/>
      <c r="H907" s="24"/>
      <c r="J907" s="13"/>
      <c r="K907" s="13"/>
      <c r="M907" s="24"/>
      <c r="O907" s="13"/>
      <c r="P907" s="13"/>
    </row>
    <row r="908">
      <c r="C908" s="24"/>
      <c r="E908" s="13"/>
      <c r="F908" s="13"/>
      <c r="H908" s="24"/>
      <c r="J908" s="13"/>
      <c r="K908" s="13"/>
      <c r="M908" s="24"/>
      <c r="O908" s="13"/>
      <c r="P908" s="13"/>
    </row>
    <row r="909">
      <c r="C909" s="24"/>
      <c r="E909" s="13"/>
      <c r="F909" s="13"/>
      <c r="H909" s="24"/>
      <c r="J909" s="13"/>
      <c r="K909" s="13"/>
      <c r="M909" s="24"/>
      <c r="O909" s="13"/>
      <c r="P909" s="13"/>
    </row>
    <row r="910">
      <c r="C910" s="24"/>
      <c r="E910" s="13"/>
      <c r="F910" s="13"/>
      <c r="H910" s="24"/>
      <c r="J910" s="13"/>
      <c r="K910" s="13"/>
      <c r="M910" s="24"/>
      <c r="O910" s="13"/>
      <c r="P910" s="13"/>
    </row>
    <row r="911">
      <c r="C911" s="24"/>
      <c r="E911" s="13"/>
      <c r="F911" s="13"/>
      <c r="H911" s="24"/>
      <c r="J911" s="13"/>
      <c r="K911" s="13"/>
      <c r="M911" s="24"/>
      <c r="O911" s="13"/>
      <c r="P911" s="13"/>
    </row>
    <row r="912">
      <c r="C912" s="24"/>
      <c r="E912" s="13"/>
      <c r="F912" s="13"/>
      <c r="H912" s="24"/>
      <c r="J912" s="13"/>
      <c r="K912" s="13"/>
      <c r="M912" s="24"/>
      <c r="O912" s="13"/>
      <c r="P912" s="13"/>
    </row>
    <row r="913">
      <c r="C913" s="24"/>
      <c r="E913" s="13"/>
      <c r="F913" s="13"/>
      <c r="H913" s="24"/>
      <c r="J913" s="13"/>
      <c r="K913" s="13"/>
      <c r="M913" s="24"/>
      <c r="O913" s="13"/>
      <c r="P913" s="13"/>
    </row>
    <row r="914">
      <c r="C914" s="24"/>
      <c r="E914" s="13"/>
      <c r="F914" s="13"/>
      <c r="H914" s="24"/>
      <c r="J914" s="13"/>
      <c r="K914" s="13"/>
      <c r="M914" s="24"/>
      <c r="O914" s="13"/>
      <c r="P914" s="13"/>
    </row>
    <row r="915">
      <c r="C915" s="24"/>
      <c r="E915" s="13"/>
      <c r="F915" s="13"/>
      <c r="H915" s="24"/>
      <c r="J915" s="13"/>
      <c r="K915" s="13"/>
      <c r="M915" s="24"/>
      <c r="O915" s="13"/>
      <c r="P915" s="13"/>
    </row>
    <row r="916">
      <c r="C916" s="24"/>
      <c r="E916" s="13"/>
      <c r="F916" s="13"/>
      <c r="H916" s="24"/>
      <c r="J916" s="13"/>
      <c r="K916" s="13"/>
      <c r="M916" s="24"/>
      <c r="O916" s="13"/>
      <c r="P916" s="13"/>
    </row>
    <row r="917">
      <c r="C917" s="24"/>
      <c r="E917" s="13"/>
      <c r="F917" s="13"/>
      <c r="H917" s="24"/>
      <c r="J917" s="13"/>
      <c r="K917" s="13"/>
      <c r="M917" s="24"/>
      <c r="O917" s="13"/>
      <c r="P917" s="13"/>
    </row>
    <row r="918">
      <c r="C918" s="24"/>
      <c r="E918" s="13"/>
      <c r="F918" s="13"/>
      <c r="H918" s="24"/>
      <c r="J918" s="13"/>
      <c r="K918" s="13"/>
      <c r="M918" s="24"/>
      <c r="O918" s="13"/>
      <c r="P918" s="13"/>
    </row>
    <row r="919">
      <c r="C919" s="24"/>
      <c r="E919" s="13"/>
      <c r="F919" s="13"/>
      <c r="H919" s="24"/>
      <c r="J919" s="13"/>
      <c r="K919" s="13"/>
      <c r="M919" s="24"/>
      <c r="O919" s="13"/>
      <c r="P919" s="13"/>
    </row>
    <row r="920">
      <c r="C920" s="24"/>
      <c r="E920" s="13"/>
      <c r="F920" s="13"/>
      <c r="H920" s="24"/>
      <c r="J920" s="13"/>
      <c r="K920" s="13"/>
      <c r="M920" s="24"/>
      <c r="O920" s="13"/>
      <c r="P920" s="13"/>
    </row>
    <row r="921">
      <c r="C921" s="24"/>
      <c r="E921" s="13"/>
      <c r="F921" s="13"/>
      <c r="H921" s="24"/>
      <c r="J921" s="13"/>
      <c r="K921" s="13"/>
      <c r="M921" s="24"/>
      <c r="O921" s="13"/>
      <c r="P921" s="13"/>
    </row>
    <row r="922">
      <c r="C922" s="24"/>
      <c r="E922" s="13"/>
      <c r="F922" s="13"/>
      <c r="H922" s="24"/>
      <c r="J922" s="13"/>
      <c r="K922" s="13"/>
      <c r="M922" s="24"/>
      <c r="O922" s="13"/>
      <c r="P922" s="13"/>
    </row>
    <row r="923">
      <c r="C923" s="24"/>
      <c r="E923" s="13"/>
      <c r="F923" s="13"/>
      <c r="H923" s="24"/>
      <c r="J923" s="13"/>
      <c r="K923" s="13"/>
      <c r="M923" s="24"/>
      <c r="O923" s="13"/>
      <c r="P923" s="13"/>
    </row>
    <row r="924">
      <c r="C924" s="24"/>
      <c r="E924" s="13"/>
      <c r="F924" s="13"/>
      <c r="H924" s="24"/>
      <c r="J924" s="13"/>
      <c r="K924" s="13"/>
      <c r="M924" s="24"/>
      <c r="O924" s="13"/>
      <c r="P924" s="13"/>
    </row>
    <row r="925">
      <c r="C925" s="24"/>
      <c r="E925" s="13"/>
      <c r="F925" s="13"/>
      <c r="H925" s="24"/>
      <c r="J925" s="13"/>
      <c r="K925" s="13"/>
      <c r="M925" s="24"/>
      <c r="O925" s="13"/>
      <c r="P925" s="13"/>
    </row>
    <row r="926">
      <c r="C926" s="24"/>
      <c r="E926" s="13"/>
      <c r="F926" s="13"/>
      <c r="H926" s="24"/>
      <c r="J926" s="13"/>
      <c r="K926" s="13"/>
      <c r="M926" s="24"/>
      <c r="O926" s="13"/>
      <c r="P926" s="13"/>
    </row>
    <row r="927">
      <c r="C927" s="24"/>
      <c r="E927" s="13"/>
      <c r="F927" s="13"/>
      <c r="H927" s="24"/>
      <c r="J927" s="13"/>
      <c r="K927" s="13"/>
      <c r="M927" s="24"/>
      <c r="O927" s="13"/>
      <c r="P927" s="13"/>
    </row>
    <row r="928">
      <c r="C928" s="24"/>
      <c r="E928" s="13"/>
      <c r="F928" s="13"/>
      <c r="H928" s="24"/>
      <c r="J928" s="13"/>
      <c r="K928" s="13"/>
      <c r="M928" s="24"/>
      <c r="O928" s="13"/>
      <c r="P928" s="13"/>
    </row>
    <row r="929">
      <c r="C929" s="24"/>
      <c r="E929" s="13"/>
      <c r="F929" s="13"/>
      <c r="H929" s="24"/>
      <c r="J929" s="13"/>
      <c r="K929" s="13"/>
      <c r="M929" s="24"/>
      <c r="O929" s="13"/>
      <c r="P929" s="13"/>
    </row>
    <row r="930">
      <c r="C930" s="24"/>
      <c r="E930" s="13"/>
      <c r="F930" s="13"/>
      <c r="H930" s="24"/>
      <c r="J930" s="13"/>
      <c r="K930" s="13"/>
      <c r="M930" s="24"/>
      <c r="O930" s="13"/>
      <c r="P930" s="13"/>
    </row>
    <row r="931">
      <c r="C931" s="24"/>
      <c r="E931" s="13"/>
      <c r="F931" s="13"/>
      <c r="H931" s="24"/>
      <c r="J931" s="13"/>
      <c r="K931" s="13"/>
      <c r="M931" s="24"/>
      <c r="O931" s="13"/>
      <c r="P931" s="13"/>
    </row>
    <row r="932">
      <c r="C932" s="24"/>
      <c r="E932" s="13"/>
      <c r="F932" s="13"/>
      <c r="H932" s="24"/>
      <c r="J932" s="13"/>
      <c r="K932" s="13"/>
      <c r="M932" s="24"/>
      <c r="O932" s="13"/>
      <c r="P932" s="13"/>
    </row>
    <row r="933">
      <c r="C933" s="24"/>
      <c r="E933" s="13"/>
      <c r="F933" s="13"/>
      <c r="H933" s="24"/>
      <c r="J933" s="13"/>
      <c r="K933" s="13"/>
      <c r="M933" s="24"/>
      <c r="O933" s="13"/>
      <c r="P933" s="13"/>
    </row>
    <row r="934">
      <c r="C934" s="24"/>
      <c r="E934" s="13"/>
      <c r="F934" s="13"/>
      <c r="H934" s="24"/>
      <c r="J934" s="13"/>
      <c r="K934" s="13"/>
      <c r="M934" s="24"/>
      <c r="O934" s="13"/>
      <c r="P934" s="13"/>
    </row>
    <row r="935">
      <c r="C935" s="24"/>
      <c r="E935" s="13"/>
      <c r="F935" s="13"/>
      <c r="H935" s="24"/>
      <c r="J935" s="13"/>
      <c r="K935" s="13"/>
      <c r="M935" s="24"/>
      <c r="O935" s="13"/>
      <c r="P935" s="13"/>
    </row>
    <row r="936">
      <c r="C936" s="24"/>
      <c r="E936" s="13"/>
      <c r="F936" s="13"/>
      <c r="H936" s="24"/>
      <c r="J936" s="13"/>
      <c r="K936" s="13"/>
      <c r="M936" s="24"/>
      <c r="O936" s="13"/>
      <c r="P936" s="13"/>
    </row>
    <row r="937">
      <c r="C937" s="24"/>
      <c r="E937" s="13"/>
      <c r="F937" s="13"/>
      <c r="H937" s="24"/>
      <c r="J937" s="13"/>
      <c r="K937" s="13"/>
      <c r="M937" s="24"/>
      <c r="O937" s="13"/>
      <c r="P937" s="13"/>
    </row>
    <row r="938">
      <c r="C938" s="24"/>
      <c r="E938" s="13"/>
      <c r="F938" s="13"/>
      <c r="H938" s="24"/>
      <c r="J938" s="13"/>
      <c r="K938" s="13"/>
      <c r="M938" s="24"/>
      <c r="O938" s="13"/>
      <c r="P938" s="13"/>
    </row>
    <row r="939">
      <c r="C939" s="24"/>
      <c r="E939" s="13"/>
      <c r="F939" s="13"/>
      <c r="H939" s="24"/>
      <c r="J939" s="13"/>
      <c r="K939" s="13"/>
      <c r="M939" s="24"/>
      <c r="O939" s="13"/>
      <c r="P939" s="13"/>
    </row>
    <row r="940">
      <c r="C940" s="24"/>
      <c r="E940" s="13"/>
      <c r="F940" s="13"/>
      <c r="H940" s="24"/>
      <c r="J940" s="13"/>
      <c r="K940" s="13"/>
      <c r="M940" s="24"/>
      <c r="O940" s="13"/>
      <c r="P940" s="13"/>
    </row>
    <row r="941">
      <c r="C941" s="24"/>
      <c r="E941" s="13"/>
      <c r="F941" s="13"/>
      <c r="H941" s="24"/>
      <c r="J941" s="13"/>
      <c r="K941" s="13"/>
      <c r="M941" s="24"/>
      <c r="O941" s="13"/>
      <c r="P941" s="13"/>
    </row>
    <row r="942">
      <c r="C942" s="24"/>
      <c r="E942" s="13"/>
      <c r="F942" s="13"/>
      <c r="H942" s="24"/>
      <c r="J942" s="13"/>
      <c r="K942" s="13"/>
      <c r="M942" s="24"/>
      <c r="O942" s="13"/>
      <c r="P942" s="13"/>
    </row>
    <row r="943">
      <c r="C943" s="24"/>
      <c r="E943" s="13"/>
      <c r="F943" s="13"/>
      <c r="H943" s="24"/>
      <c r="J943" s="13"/>
      <c r="K943" s="13"/>
      <c r="M943" s="24"/>
      <c r="O943" s="13"/>
      <c r="P943" s="13"/>
    </row>
    <row r="944">
      <c r="C944" s="24"/>
      <c r="E944" s="13"/>
      <c r="F944" s="13"/>
      <c r="H944" s="24"/>
      <c r="J944" s="13"/>
      <c r="K944" s="13"/>
      <c r="M944" s="24"/>
      <c r="O944" s="13"/>
      <c r="P944" s="13"/>
    </row>
    <row r="945">
      <c r="C945" s="24"/>
      <c r="E945" s="13"/>
      <c r="F945" s="13"/>
      <c r="H945" s="24"/>
      <c r="J945" s="13"/>
      <c r="K945" s="13"/>
      <c r="M945" s="24"/>
      <c r="O945" s="13"/>
      <c r="P945" s="13"/>
    </row>
    <row r="946">
      <c r="C946" s="24"/>
      <c r="E946" s="13"/>
      <c r="F946" s="13"/>
      <c r="H946" s="24"/>
      <c r="J946" s="13"/>
      <c r="K946" s="13"/>
      <c r="M946" s="24"/>
      <c r="O946" s="13"/>
      <c r="P946" s="13"/>
    </row>
    <row r="947">
      <c r="C947" s="24"/>
      <c r="E947" s="13"/>
      <c r="F947" s="13"/>
      <c r="H947" s="24"/>
      <c r="J947" s="13"/>
      <c r="K947" s="13"/>
      <c r="M947" s="24"/>
      <c r="O947" s="13"/>
      <c r="P947" s="13"/>
    </row>
    <row r="948">
      <c r="C948" s="24"/>
      <c r="E948" s="13"/>
      <c r="F948" s="13"/>
      <c r="H948" s="24"/>
      <c r="J948" s="13"/>
      <c r="K948" s="13"/>
      <c r="M948" s="24"/>
      <c r="O948" s="13"/>
      <c r="P948" s="13"/>
    </row>
    <row r="949">
      <c r="C949" s="24"/>
      <c r="E949" s="13"/>
      <c r="F949" s="13"/>
      <c r="H949" s="24"/>
      <c r="J949" s="13"/>
      <c r="K949" s="13"/>
      <c r="M949" s="24"/>
      <c r="O949" s="13"/>
      <c r="P949" s="13"/>
    </row>
    <row r="950">
      <c r="C950" s="24"/>
      <c r="E950" s="13"/>
      <c r="F950" s="13"/>
      <c r="H950" s="24"/>
      <c r="J950" s="13"/>
      <c r="K950" s="13"/>
      <c r="M950" s="24"/>
      <c r="O950" s="13"/>
      <c r="P950" s="13"/>
    </row>
    <row r="951">
      <c r="C951" s="24"/>
      <c r="E951" s="13"/>
      <c r="F951" s="13"/>
      <c r="H951" s="24"/>
      <c r="J951" s="13"/>
      <c r="K951" s="13"/>
      <c r="M951" s="24"/>
      <c r="O951" s="13"/>
      <c r="P951" s="13"/>
    </row>
    <row r="952">
      <c r="C952" s="24"/>
      <c r="E952" s="13"/>
      <c r="F952" s="13"/>
      <c r="H952" s="24"/>
      <c r="J952" s="13"/>
      <c r="K952" s="13"/>
      <c r="M952" s="24"/>
      <c r="O952" s="13"/>
      <c r="P952" s="13"/>
    </row>
    <row r="953">
      <c r="C953" s="24"/>
      <c r="E953" s="13"/>
      <c r="F953" s="13"/>
      <c r="H953" s="24"/>
      <c r="J953" s="13"/>
      <c r="K953" s="13"/>
      <c r="M953" s="24"/>
      <c r="O953" s="13"/>
      <c r="P953" s="13"/>
    </row>
    <row r="954">
      <c r="C954" s="24"/>
      <c r="E954" s="13"/>
      <c r="F954" s="13"/>
      <c r="H954" s="24"/>
      <c r="J954" s="13"/>
      <c r="K954" s="13"/>
      <c r="M954" s="24"/>
      <c r="O954" s="13"/>
      <c r="P954" s="13"/>
    </row>
    <row r="955">
      <c r="C955" s="24"/>
      <c r="E955" s="13"/>
      <c r="F955" s="13"/>
      <c r="H955" s="24"/>
      <c r="J955" s="13"/>
      <c r="K955" s="13"/>
      <c r="M955" s="24"/>
      <c r="O955" s="13"/>
      <c r="P955" s="13"/>
    </row>
    <row r="956">
      <c r="C956" s="24"/>
      <c r="E956" s="13"/>
      <c r="F956" s="13"/>
      <c r="H956" s="24"/>
      <c r="J956" s="13"/>
      <c r="K956" s="13"/>
      <c r="M956" s="24"/>
      <c r="O956" s="13"/>
      <c r="P956" s="13"/>
    </row>
    <row r="957">
      <c r="C957" s="24"/>
      <c r="E957" s="13"/>
      <c r="F957" s="13"/>
      <c r="H957" s="24"/>
      <c r="J957" s="13"/>
      <c r="K957" s="13"/>
      <c r="M957" s="24"/>
      <c r="O957" s="13"/>
      <c r="P957" s="13"/>
    </row>
    <row r="958">
      <c r="C958" s="24"/>
      <c r="E958" s="13"/>
      <c r="F958" s="13"/>
      <c r="H958" s="24"/>
      <c r="J958" s="13"/>
      <c r="K958" s="13"/>
      <c r="M958" s="24"/>
      <c r="O958" s="13"/>
      <c r="P958" s="13"/>
    </row>
    <row r="959">
      <c r="C959" s="24"/>
      <c r="E959" s="13"/>
      <c r="F959" s="13"/>
      <c r="H959" s="24"/>
      <c r="J959" s="13"/>
      <c r="K959" s="13"/>
      <c r="M959" s="24"/>
      <c r="O959" s="13"/>
      <c r="P959" s="13"/>
    </row>
    <row r="960">
      <c r="C960" s="24"/>
      <c r="E960" s="13"/>
      <c r="F960" s="13"/>
      <c r="H960" s="24"/>
      <c r="J960" s="13"/>
      <c r="K960" s="13"/>
      <c r="M960" s="24"/>
      <c r="O960" s="13"/>
      <c r="P960" s="13"/>
    </row>
    <row r="961">
      <c r="C961" s="24"/>
      <c r="E961" s="13"/>
      <c r="F961" s="13"/>
      <c r="H961" s="24"/>
      <c r="J961" s="13"/>
      <c r="K961" s="13"/>
      <c r="M961" s="24"/>
      <c r="O961" s="13"/>
      <c r="P961" s="13"/>
    </row>
    <row r="962">
      <c r="C962" s="24"/>
      <c r="E962" s="13"/>
      <c r="F962" s="13"/>
      <c r="H962" s="24"/>
      <c r="J962" s="13"/>
      <c r="K962" s="13"/>
      <c r="M962" s="24"/>
      <c r="O962" s="13"/>
      <c r="P962" s="13"/>
    </row>
    <row r="963">
      <c r="C963" s="24"/>
      <c r="E963" s="13"/>
      <c r="F963" s="13"/>
      <c r="H963" s="24"/>
      <c r="J963" s="13"/>
      <c r="K963" s="13"/>
      <c r="M963" s="24"/>
      <c r="O963" s="13"/>
      <c r="P963" s="13"/>
    </row>
    <row r="964">
      <c r="C964" s="24"/>
      <c r="E964" s="13"/>
      <c r="F964" s="13"/>
      <c r="H964" s="24"/>
      <c r="J964" s="13"/>
      <c r="K964" s="13"/>
      <c r="M964" s="24"/>
      <c r="O964" s="13"/>
      <c r="P964" s="13"/>
    </row>
    <row r="965">
      <c r="C965" s="24"/>
      <c r="E965" s="13"/>
      <c r="F965" s="13"/>
      <c r="H965" s="24"/>
      <c r="J965" s="13"/>
      <c r="K965" s="13"/>
      <c r="M965" s="24"/>
      <c r="O965" s="13"/>
      <c r="P965" s="13"/>
    </row>
    <row r="966">
      <c r="C966" s="24"/>
      <c r="E966" s="13"/>
      <c r="F966" s="13"/>
      <c r="H966" s="24"/>
      <c r="J966" s="13"/>
      <c r="K966" s="13"/>
      <c r="M966" s="24"/>
      <c r="O966" s="13"/>
      <c r="P966" s="13"/>
    </row>
    <row r="967">
      <c r="C967" s="24"/>
      <c r="E967" s="13"/>
      <c r="F967" s="13"/>
      <c r="H967" s="24"/>
      <c r="J967" s="13"/>
      <c r="K967" s="13"/>
      <c r="M967" s="24"/>
      <c r="O967" s="13"/>
      <c r="P967" s="13"/>
    </row>
    <row r="968">
      <c r="C968" s="24"/>
      <c r="E968" s="13"/>
      <c r="F968" s="13"/>
      <c r="H968" s="24"/>
      <c r="J968" s="13"/>
      <c r="K968" s="13"/>
      <c r="M968" s="24"/>
      <c r="O968" s="13"/>
      <c r="P968" s="13"/>
    </row>
    <row r="969">
      <c r="C969" s="24"/>
      <c r="E969" s="13"/>
      <c r="F969" s="13"/>
      <c r="H969" s="24"/>
      <c r="J969" s="13"/>
      <c r="K969" s="13"/>
      <c r="M969" s="24"/>
      <c r="O969" s="13"/>
      <c r="P969" s="13"/>
    </row>
    <row r="970">
      <c r="C970" s="24"/>
      <c r="E970" s="13"/>
      <c r="F970" s="13"/>
      <c r="H970" s="24"/>
      <c r="J970" s="13"/>
      <c r="K970" s="13"/>
      <c r="M970" s="24"/>
      <c r="O970" s="13"/>
      <c r="P970" s="13"/>
    </row>
    <row r="971">
      <c r="C971" s="24"/>
      <c r="E971" s="13"/>
      <c r="F971" s="13"/>
      <c r="H971" s="24"/>
      <c r="J971" s="13"/>
      <c r="K971" s="13"/>
      <c r="M971" s="24"/>
      <c r="O971" s="13"/>
      <c r="P971" s="13"/>
    </row>
    <row r="972">
      <c r="C972" s="24"/>
      <c r="E972" s="13"/>
      <c r="F972" s="13"/>
      <c r="H972" s="24"/>
      <c r="J972" s="13"/>
      <c r="K972" s="13"/>
      <c r="M972" s="24"/>
      <c r="O972" s="13"/>
      <c r="P972" s="13"/>
    </row>
    <row r="973">
      <c r="C973" s="24"/>
      <c r="E973" s="13"/>
      <c r="F973" s="13"/>
      <c r="H973" s="24"/>
      <c r="J973" s="13"/>
      <c r="K973" s="13"/>
      <c r="M973" s="24"/>
      <c r="O973" s="13"/>
      <c r="P973" s="13"/>
    </row>
    <row r="974">
      <c r="C974" s="24"/>
      <c r="E974" s="13"/>
      <c r="F974" s="13"/>
      <c r="H974" s="24"/>
      <c r="J974" s="13"/>
      <c r="K974" s="13"/>
      <c r="M974" s="24"/>
      <c r="O974" s="13"/>
      <c r="P974" s="13"/>
    </row>
    <row r="975">
      <c r="C975" s="24"/>
      <c r="E975" s="13"/>
      <c r="F975" s="13"/>
      <c r="H975" s="24"/>
      <c r="J975" s="13"/>
      <c r="K975" s="13"/>
      <c r="M975" s="24"/>
      <c r="O975" s="13"/>
      <c r="P975" s="13"/>
    </row>
    <row r="976">
      <c r="C976" s="24"/>
      <c r="E976" s="13"/>
      <c r="F976" s="13"/>
      <c r="H976" s="24"/>
      <c r="J976" s="13"/>
      <c r="K976" s="13"/>
      <c r="M976" s="24"/>
      <c r="O976" s="13"/>
      <c r="P976" s="13"/>
    </row>
    <row r="977">
      <c r="C977" s="24"/>
      <c r="E977" s="13"/>
      <c r="F977" s="13"/>
      <c r="H977" s="24"/>
      <c r="J977" s="13"/>
      <c r="K977" s="13"/>
      <c r="M977" s="24"/>
      <c r="O977" s="13"/>
      <c r="P977" s="13"/>
    </row>
    <row r="978">
      <c r="C978" s="24"/>
      <c r="E978" s="13"/>
      <c r="F978" s="13"/>
      <c r="H978" s="24"/>
      <c r="J978" s="13"/>
      <c r="K978" s="13"/>
      <c r="M978" s="24"/>
      <c r="O978" s="13"/>
      <c r="P978" s="13"/>
    </row>
    <row r="979">
      <c r="C979" s="24"/>
      <c r="E979" s="13"/>
      <c r="F979" s="13"/>
      <c r="H979" s="24"/>
      <c r="J979" s="13"/>
      <c r="K979" s="13"/>
      <c r="M979" s="24"/>
      <c r="O979" s="13"/>
      <c r="P979" s="13"/>
    </row>
    <row r="980">
      <c r="C980" s="24"/>
      <c r="E980" s="13"/>
      <c r="F980" s="13"/>
      <c r="H980" s="24"/>
      <c r="J980" s="13"/>
      <c r="K980" s="13"/>
      <c r="M980" s="24"/>
      <c r="O980" s="13"/>
      <c r="P980" s="13"/>
    </row>
    <row r="981">
      <c r="C981" s="24"/>
      <c r="E981" s="13"/>
      <c r="F981" s="13"/>
      <c r="H981" s="24"/>
      <c r="J981" s="13"/>
      <c r="K981" s="13"/>
      <c r="M981" s="24"/>
      <c r="O981" s="13"/>
      <c r="P981" s="13"/>
    </row>
    <row r="982">
      <c r="C982" s="24"/>
      <c r="E982" s="13"/>
      <c r="F982" s="13"/>
      <c r="H982" s="24"/>
      <c r="J982" s="13"/>
      <c r="K982" s="13"/>
      <c r="M982" s="24"/>
      <c r="O982" s="13"/>
      <c r="P982" s="13"/>
    </row>
    <row r="983">
      <c r="C983" s="24"/>
      <c r="E983" s="13"/>
      <c r="F983" s="13"/>
      <c r="H983" s="24"/>
      <c r="J983" s="13"/>
      <c r="K983" s="13"/>
      <c r="M983" s="24"/>
      <c r="O983" s="13"/>
      <c r="P983" s="13"/>
    </row>
    <row r="984">
      <c r="C984" s="24"/>
      <c r="E984" s="13"/>
      <c r="F984" s="13"/>
      <c r="H984" s="24"/>
      <c r="J984" s="13"/>
      <c r="K984" s="13"/>
      <c r="M984" s="24"/>
      <c r="O984" s="13"/>
      <c r="P984" s="13"/>
    </row>
    <row r="985">
      <c r="C985" s="24"/>
      <c r="E985" s="13"/>
      <c r="F985" s="13"/>
      <c r="H985" s="24"/>
      <c r="J985" s="13"/>
      <c r="K985" s="13"/>
      <c r="M985" s="24"/>
      <c r="O985" s="13"/>
      <c r="P985" s="13"/>
    </row>
    <row r="986">
      <c r="C986" s="24"/>
      <c r="E986" s="13"/>
      <c r="F986" s="13"/>
      <c r="H986" s="24"/>
      <c r="J986" s="13"/>
      <c r="K986" s="13"/>
      <c r="M986" s="24"/>
      <c r="O986" s="13"/>
      <c r="P986" s="13"/>
    </row>
    <row r="987">
      <c r="C987" s="24"/>
      <c r="E987" s="13"/>
      <c r="F987" s="13"/>
      <c r="H987" s="24"/>
      <c r="J987" s="13"/>
      <c r="K987" s="13"/>
      <c r="M987" s="24"/>
      <c r="O987" s="13"/>
      <c r="P987" s="13"/>
    </row>
    <row r="988">
      <c r="C988" s="24"/>
      <c r="E988" s="13"/>
      <c r="F988" s="13"/>
      <c r="H988" s="24"/>
      <c r="J988" s="13"/>
      <c r="K988" s="13"/>
      <c r="M988" s="24"/>
      <c r="O988" s="13"/>
      <c r="P988" s="13"/>
    </row>
    <row r="989">
      <c r="C989" s="24"/>
      <c r="E989" s="13"/>
      <c r="F989" s="13"/>
      <c r="H989" s="24"/>
      <c r="J989" s="13"/>
      <c r="K989" s="13"/>
      <c r="M989" s="24"/>
      <c r="O989" s="13"/>
      <c r="P989" s="13"/>
    </row>
    <row r="990">
      <c r="C990" s="24"/>
      <c r="E990" s="13"/>
      <c r="F990" s="13"/>
      <c r="H990" s="24"/>
      <c r="J990" s="13"/>
      <c r="K990" s="13"/>
      <c r="M990" s="24"/>
      <c r="O990" s="13"/>
      <c r="P990" s="13"/>
    </row>
    <row r="991">
      <c r="C991" s="24"/>
      <c r="E991" s="13"/>
      <c r="F991" s="13"/>
      <c r="H991" s="24"/>
      <c r="J991" s="13"/>
      <c r="K991" s="13"/>
      <c r="M991" s="24"/>
      <c r="O991" s="13"/>
      <c r="P991" s="13"/>
    </row>
    <row r="992">
      <c r="C992" s="24"/>
      <c r="E992" s="13"/>
      <c r="F992" s="13"/>
      <c r="H992" s="24"/>
      <c r="J992" s="13"/>
      <c r="K992" s="13"/>
      <c r="M992" s="24"/>
      <c r="O992" s="13"/>
      <c r="P992" s="13"/>
    </row>
    <row r="993">
      <c r="C993" s="24"/>
      <c r="E993" s="13"/>
      <c r="F993" s="13"/>
      <c r="H993" s="24"/>
      <c r="J993" s="13"/>
      <c r="K993" s="13"/>
      <c r="M993" s="24"/>
      <c r="O993" s="13"/>
      <c r="P993" s="13"/>
    </row>
    <row r="994">
      <c r="C994" s="24"/>
      <c r="E994" s="13"/>
      <c r="F994" s="13"/>
      <c r="H994" s="24"/>
      <c r="J994" s="13"/>
      <c r="K994" s="13"/>
      <c r="M994" s="24"/>
      <c r="O994" s="13"/>
      <c r="P994" s="13"/>
    </row>
    <row r="995">
      <c r="C995" s="24"/>
      <c r="E995" s="13"/>
      <c r="F995" s="13"/>
      <c r="H995" s="24"/>
      <c r="J995" s="13"/>
      <c r="K995" s="13"/>
      <c r="M995" s="24"/>
      <c r="O995" s="13"/>
      <c r="P995" s="13"/>
    </row>
    <row r="996">
      <c r="C996" s="24"/>
      <c r="E996" s="13"/>
      <c r="F996" s="13"/>
      <c r="H996" s="24"/>
      <c r="J996" s="13"/>
      <c r="K996" s="13"/>
      <c r="M996" s="24"/>
      <c r="O996" s="13"/>
      <c r="P996" s="13"/>
    </row>
    <row r="997">
      <c r="C997" s="24"/>
      <c r="E997" s="13"/>
      <c r="F997" s="13"/>
      <c r="H997" s="24"/>
      <c r="J997" s="13"/>
      <c r="K997" s="13"/>
      <c r="M997" s="24"/>
      <c r="O997" s="13"/>
      <c r="P997" s="13"/>
    </row>
    <row r="998">
      <c r="C998" s="24"/>
      <c r="E998" s="13"/>
      <c r="F998" s="13"/>
      <c r="H998" s="24"/>
      <c r="J998" s="13"/>
      <c r="K998" s="13"/>
      <c r="M998" s="24"/>
      <c r="O998" s="13"/>
      <c r="P998" s="13"/>
    </row>
    <row r="999">
      <c r="C999" s="24"/>
      <c r="E999" s="13"/>
      <c r="F999" s="13"/>
      <c r="H999" s="24"/>
      <c r="J999" s="13"/>
      <c r="K999" s="13"/>
      <c r="M999" s="24"/>
      <c r="O999" s="13"/>
      <c r="P999" s="13"/>
    </row>
    <row r="1000">
      <c r="C1000" s="24"/>
      <c r="E1000" s="13"/>
      <c r="F1000" s="13"/>
      <c r="H1000" s="24"/>
      <c r="J1000" s="13"/>
      <c r="K1000" s="13"/>
      <c r="M1000" s="24"/>
      <c r="O1000" s="13"/>
      <c r="P1000" s="13"/>
    </row>
    <row r="1001">
      <c r="C1001" s="24"/>
      <c r="E1001" s="13"/>
      <c r="F1001" s="13"/>
      <c r="H1001" s="24"/>
      <c r="J1001" s="13"/>
      <c r="K1001" s="13"/>
      <c r="M1001" s="24"/>
      <c r="O1001" s="13"/>
      <c r="P1001" s="13"/>
    </row>
    <row r="1002">
      <c r="C1002" s="24"/>
      <c r="E1002" s="13"/>
      <c r="F1002" s="13"/>
      <c r="H1002" s="24"/>
      <c r="J1002" s="13"/>
      <c r="K1002" s="13"/>
      <c r="M1002" s="24"/>
      <c r="O1002" s="13"/>
      <c r="P1002" s="13"/>
    </row>
    <row r="1003">
      <c r="C1003" s="24"/>
      <c r="E1003" s="13"/>
      <c r="F1003" s="13"/>
      <c r="H1003" s="24"/>
      <c r="J1003" s="13"/>
      <c r="K1003" s="13"/>
      <c r="M1003" s="24"/>
      <c r="O1003" s="13"/>
      <c r="P1003" s="13"/>
    </row>
    <row r="1004">
      <c r="C1004" s="24"/>
      <c r="E1004" s="13"/>
      <c r="F1004" s="13"/>
      <c r="H1004" s="24"/>
      <c r="J1004" s="13"/>
      <c r="K1004" s="13"/>
      <c r="M1004" s="24"/>
      <c r="O1004" s="13"/>
      <c r="P1004" s="13"/>
    </row>
    <row r="1005">
      <c r="C1005" s="24"/>
      <c r="E1005" s="13"/>
      <c r="F1005" s="13"/>
      <c r="H1005" s="24"/>
      <c r="J1005" s="13"/>
      <c r="K1005" s="13"/>
      <c r="M1005" s="24"/>
      <c r="O1005" s="13"/>
      <c r="P1005" s="13"/>
    </row>
    <row r="1006">
      <c r="C1006" s="24"/>
      <c r="E1006" s="13"/>
      <c r="F1006" s="13"/>
      <c r="H1006" s="24"/>
      <c r="J1006" s="13"/>
      <c r="K1006" s="13"/>
      <c r="M1006" s="24"/>
      <c r="O1006" s="13"/>
      <c r="P1006" s="13"/>
    </row>
    <row r="1007">
      <c r="C1007" s="24"/>
      <c r="E1007" s="13"/>
      <c r="F1007" s="13"/>
      <c r="H1007" s="24"/>
      <c r="J1007" s="13"/>
      <c r="K1007" s="13"/>
      <c r="M1007" s="24"/>
      <c r="O1007" s="13"/>
      <c r="P1007" s="13"/>
    </row>
    <row r="1008">
      <c r="C1008" s="24"/>
      <c r="E1008" s="13"/>
      <c r="F1008" s="13"/>
      <c r="H1008" s="24"/>
      <c r="J1008" s="13"/>
      <c r="K1008" s="13"/>
      <c r="M1008" s="24"/>
      <c r="O1008" s="13"/>
      <c r="P1008" s="13"/>
    </row>
    <row r="1009">
      <c r="C1009" s="24"/>
      <c r="E1009" s="13"/>
      <c r="F1009" s="13"/>
      <c r="H1009" s="24"/>
      <c r="J1009" s="13"/>
      <c r="K1009" s="13"/>
      <c r="M1009" s="24"/>
      <c r="O1009" s="13"/>
      <c r="P1009" s="13"/>
    </row>
    <row r="1010">
      <c r="C1010" s="55"/>
      <c r="F1010" s="13"/>
      <c r="H1010" s="55"/>
      <c r="K1010" s="13"/>
      <c r="M1010" s="55"/>
      <c r="P1010" s="13"/>
    </row>
  </sheetData>
  <mergeCells count="9">
    <mergeCell ref="M2:O2"/>
    <mergeCell ref="M3:O3"/>
    <mergeCell ref="C1:E1"/>
    <mergeCell ref="H1:J1"/>
    <mergeCell ref="M1:O1"/>
    <mergeCell ref="C2:E2"/>
    <mergeCell ref="H2:J2"/>
    <mergeCell ref="C3:E3"/>
    <mergeCell ref="H3:J3"/>
  </mergeCells>
  <drawing r:id="rId2"/>
  <legacyDrawing r:id="rId3"/>
</worksheet>
</file>